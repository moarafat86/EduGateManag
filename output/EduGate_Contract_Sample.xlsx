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drawing4.xml" ContentType="application/vnd.openxmlformats-officedocument.drawing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دليل الاستخدام" sheetId="1" state="visible" r:id="rId3"/>
    <sheet name="الإعدادات" sheetId="2" state="visible" r:id="rId4"/>
    <sheet name="البنود" sheetId="3" state="visible" r:id="rId5"/>
    <sheet name="المخرجات" sheetId="4" state="visible" r:id="rId6"/>
    <sheet name="سجل المراجعات" sheetId="5" state="visible" r:id="rId7"/>
    <sheet name="الأجازات" sheetId="6" state="visible" r:id="rId8"/>
    <sheet name="القوائم" sheetId="7" state="hidden" r:id="rId9"/>
  </sheets>
  <definedNames>
    <definedName function="false" hidden="true" localSheetId="5" name="_xlnm._FilterDatabase" vbProcedure="false">الأجازات!$A$4:$C$204</definedName>
    <definedName function="false" hidden="true" localSheetId="2" name="_xlnm._FilterDatabase" vbProcedure="false">البنود!$A$4:$O$44</definedName>
    <definedName function="false" hidden="true" localSheetId="3" name="_xlnm._FilterDatabase" vbProcedure="false">المخرجات!$A$4:$S$404</definedName>
    <definedName function="false" hidden="true" localSheetId="4" name="_xlnm._FilterDatabase" vbProcedure="false">'سجل المراجعات'!$A$4:$N$1504</definedName>
    <definedName function="false" hidden="false" name="أيام_الأجازات" vbProcedure="false">الأجازات!$A$5:$A$204</definedName>
    <definedName function="false" hidden="false" name="بند_الاسم" vbProcedure="false">البنود!$C$5:$C$44</definedName>
    <definedName function="false" hidden="false" name="بند_سعر_الوحدة" vbProcedure="false">البنود!$E$5:$E$44</definedName>
    <definedName function="false" hidden="false" name="تاريخ_الاحتساب" vbProcedure="false">الإعدادات!$B$16</definedName>
    <definedName function="false" hidden="false" name="رمز_العطلة" vbProcedure="false">الإعدادات!$B$14</definedName>
    <definedName function="false" hidden="false" name="سجل_المخرج" vbProcedure="false">'سجل المراجعات'!$A$5:$A$1504</definedName>
    <definedName function="false" hidden="false" name="قائمة_البنود" vbProcedure="false">البنود!$A$5:$A$44</definedName>
    <definedName function="false" hidden="false" name="قائمة_الحركات" vbProcedure="false">القوائم!$B$2:$B$4</definedName>
    <definedName function="false" hidden="false" name="قائمة_المخرجات" vbProcedure="false">المخرجات!$A$5:$A$404</definedName>
    <definedName function="false" hidden="false" name="قائمة_حالة_العمل" vbProcedure="false">القوائم!$A$2:$A$4</definedName>
    <definedName function="false" hidden="false" name="مخرج_البند" vbProcedure="false">المخرجات!$B$5:$B$404</definedName>
    <definedName function="false" hidden="false" name="مخرج_الوصف" vbProcedure="false">المخرجات!$D$5:$D$404</definedName>
    <definedName function="false" hidden="false" name="مهلة_المراجعة" vbProcedure="false">الإعدادات!$B$13</definedName>
    <definedName function="false" hidden="false" name="نسبة_الضريبة" vbProcedure="false">الإعدادات!$B$12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F4" authorId="0">
      <text>
        <r>
          <rPr>
            <sz val="10"/>
            <rFont val="FreeSans"/>
            <family val="2"/>
          </rPr>
          <t xml:space="preserve">الكمية × سعر الوحدة</t>
        </r>
      </text>
    </comment>
    <comment ref="G4" authorId="0">
      <text>
        <r>
          <rPr>
            <sz val="10"/>
            <rFont val="FreeSans"/>
            <family val="2"/>
          </rPr>
          <t xml:space="preserve">الإجمالي × نسبة الضريبة (من شيت الإعدادات)</t>
        </r>
      </text>
    </comment>
    <comment ref="I4" authorId="0">
      <text>
        <r>
          <rPr>
            <sz val="10"/>
            <rFont val="FreeSans"/>
            <family val="2"/>
          </rPr>
          <t xml:space="preserve">عدد صفوف المخرجات المسجلة لهذا البند في شيت المخرجات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يتلوّن أحمر لو مختلف عن الكمية التعاقدية</t>
        </r>
        <r>
          <rPr>
            <sz val="10"/>
            <rFont val="Arial"/>
            <family val="2"/>
          </rPr>
          <t xml:space="preserve">.</t>
        </r>
      </text>
    </comment>
    <comment ref="J4" authorId="0">
      <text>
        <r>
          <rPr>
            <sz val="10"/>
            <rFont val="FreeSans"/>
            <family val="2"/>
          </rPr>
          <t xml:space="preserve">المخرجات اللي اتسلمت مرة واحدة على الأقل</t>
        </r>
      </text>
    </comment>
    <comment ref="M3" authorId="0">
      <text>
        <r>
          <rPr>
            <sz val="10"/>
            <rFont val="FreeSans"/>
            <family val="2"/>
          </rPr>
          <t xml:space="preserve">الإنجاز الكلي موزون بالقيمة المالية</t>
        </r>
        <r>
          <rPr>
            <sz val="10"/>
            <rFont val="Arial"/>
            <family val="2"/>
          </rPr>
          <t xml:space="preserve">:
</t>
        </r>
        <r>
          <rPr>
            <sz val="10"/>
            <rFont val="FreeSans"/>
            <family val="2"/>
          </rPr>
          <t xml:space="preserve">قيمة كل المخرجات المقبولة ÷ قيمة العقد قبل الضريبة</t>
        </r>
      </text>
    </comment>
    <comment ref="M4" authorId="0">
      <text>
        <r>
          <rPr>
            <sz val="10"/>
            <rFont val="FreeSans"/>
            <family val="2"/>
          </rPr>
          <t xml:space="preserve">عدد المخرجات المقبولة ÷ الكمية التعاقدية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FreeSans"/>
            <family val="2"/>
          </rPr>
          <t xml:space="preserve">رقم ثابت ومميز لكل مخرج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مثال</t>
        </r>
        <r>
          <rPr>
            <sz val="10"/>
            <rFont val="Arial"/>
            <family val="2"/>
          </rPr>
          <t xml:space="preserve">: D-001).
</t>
        </r>
        <r>
          <rPr>
            <sz val="10"/>
            <rFont val="FreeSans"/>
            <family val="2"/>
          </rPr>
          <t xml:space="preserve">هو اللي بيتربط بيه سجل المراجعات — متغيّروش بعد ما تستخدمه</t>
        </r>
        <r>
          <rPr>
            <sz val="10"/>
            <rFont val="Arial"/>
            <family val="2"/>
          </rPr>
          <t xml:space="preserve">.</t>
        </r>
      </text>
    </comment>
    <comment ref="B4" authorId="0">
      <text>
        <r>
          <rPr>
            <sz val="10"/>
            <rFont val="FreeSans"/>
            <family val="2"/>
          </rPr>
          <t xml:space="preserve">اختر من قائمة بنود العقد</t>
        </r>
      </text>
    </comment>
    <comment ref="E4" authorId="0">
      <text>
        <r>
          <rPr>
            <sz val="10"/>
            <rFont val="FreeSans"/>
            <family val="2"/>
          </rPr>
          <t xml:space="preserve">اختياري. لو اتكتب وعدّى من غير تسليم، الحالة تبقى "متأخر" ويتحسب تأخير التسليم</t>
        </r>
        <r>
          <rPr>
            <sz val="10"/>
            <rFont val="Arial"/>
            <family val="2"/>
          </rPr>
          <t xml:space="preserve">.</t>
        </r>
      </text>
    </comment>
    <comment ref="F4" authorId="0">
      <text>
        <r>
          <rPr>
            <sz val="10"/>
            <rFont val="FreeSans"/>
            <family val="2"/>
          </rPr>
          <t xml:space="preserve">تُستخدم قبل التسليم فقط: لم يبدأ / جاري العمل</t>
        </r>
        <r>
          <rPr>
            <sz val="10"/>
            <rFont val="Arial"/>
            <family val="2"/>
          </rPr>
          <t xml:space="preserve">.
"</t>
        </r>
        <r>
          <rPr>
            <sz val="10"/>
            <rFont val="FreeSans"/>
            <family val="2"/>
          </rPr>
          <t xml:space="preserve">معلق" تغلب على أي حالة تانية ما عدا "تم القبول</t>
        </r>
        <r>
          <rPr>
            <sz val="10"/>
            <rFont val="Arial"/>
            <family val="2"/>
          </rPr>
          <t xml:space="preserve">".</t>
        </r>
      </text>
    </comment>
    <comment ref="G4" authorId="0">
      <text>
        <r>
          <rPr>
            <sz val="10"/>
            <rFont val="FreeSans"/>
            <family val="2"/>
          </rPr>
          <t xml:space="preserve">اختياري — مثال: عدد الخدمات المنجزة من </t>
        </r>
        <r>
          <rPr>
            <sz val="10"/>
            <rFont val="Arial"/>
            <family val="2"/>
          </rPr>
          <t xml:space="preserve">25 داخل المخرج</t>
        </r>
      </text>
    </comment>
    <comment ref="H4" authorId="0">
      <text>
        <r>
          <rPr>
            <sz val="10"/>
            <rFont val="FreeSans"/>
            <family val="2"/>
          </rPr>
          <t xml:space="preserve">سعر الوحدة من شيت البنود</t>
        </r>
      </text>
    </comment>
    <comment ref="O4" authorId="0">
      <text>
        <r>
          <rPr>
            <sz val="10"/>
            <rFont val="FreeSans"/>
            <family val="2"/>
          </rPr>
          <t xml:space="preserve">تتحسب تلقائياً بالترتيب ده</t>
        </r>
        <r>
          <rPr>
            <sz val="10"/>
            <rFont val="Arial"/>
            <family val="2"/>
          </rPr>
          <t xml:space="preserve">:
1) </t>
        </r>
        <r>
          <rPr>
            <sz val="10"/>
            <rFont val="FreeSans"/>
            <family val="2"/>
          </rPr>
          <t xml:space="preserve">في تاريخ قبول ← تم القبول
</t>
        </r>
        <r>
          <rPr>
            <sz val="10"/>
            <rFont val="Arial"/>
            <family val="2"/>
          </rPr>
          <t xml:space="preserve">2) </t>
        </r>
        <r>
          <rPr>
            <sz val="10"/>
            <rFont val="FreeSans"/>
            <family val="2"/>
          </rPr>
          <t xml:space="preserve">حالة العمل = معلق ← معلق
</t>
        </r>
        <r>
          <rPr>
            <sz val="10"/>
            <rFont val="Arial"/>
            <family val="2"/>
          </rPr>
          <t xml:space="preserve">3) </t>
        </r>
        <r>
          <rPr>
            <sz val="10"/>
            <rFont val="FreeSans"/>
            <family val="2"/>
          </rPr>
          <t xml:space="preserve">آخر حركة رد بملاحظات ← مُعاد بملاحظات
</t>
        </r>
        <r>
          <rPr>
            <sz val="10"/>
            <rFont val="Arial"/>
            <family val="2"/>
          </rPr>
          <t xml:space="preserve">4) </t>
        </r>
        <r>
          <rPr>
            <sz val="10"/>
            <rFont val="FreeSans"/>
            <family val="2"/>
          </rPr>
          <t xml:space="preserve">في تسليم ← في انتظار القبول
</t>
        </r>
        <r>
          <rPr>
            <sz val="10"/>
            <rFont val="Arial"/>
            <family val="2"/>
          </rPr>
          <t xml:space="preserve">5) </t>
        </r>
        <r>
          <rPr>
            <sz val="10"/>
            <rFont val="FreeSans"/>
            <family val="2"/>
          </rPr>
          <t xml:space="preserve">عدّى التاريخ المخطط ← متأخر
</t>
        </r>
        <r>
          <rPr>
            <sz val="10"/>
            <rFont val="Arial"/>
            <family val="2"/>
          </rPr>
          <t xml:space="preserve">6) </t>
        </r>
        <r>
          <rPr>
            <sz val="10"/>
            <rFont val="FreeSans"/>
            <family val="2"/>
          </rPr>
          <t xml:space="preserve">غير كده ← حالة العمل اليدوية</t>
        </r>
      </text>
    </comment>
    <comment ref="P4" authorId="0">
      <text>
        <r>
          <rPr>
            <sz val="10"/>
            <rFont val="FreeSans"/>
            <family val="2"/>
          </rPr>
          <t xml:space="preserve">مجموع أيام العمل اللي قعدها المخرج عند العميل في كل دورات المراجعة (من سجل المراجعات)</t>
        </r>
      </text>
    </comment>
    <comment ref="Q4" authorId="0">
      <text>
        <r>
          <rPr>
            <sz val="10"/>
            <rFont val="FreeSans"/>
            <family val="2"/>
          </rPr>
          <t xml:space="preserve">مجموع الأيام الزيادة عن مهلة المراجعة — كل دورة بتتقاس لوحدها</t>
        </r>
      </text>
    </comment>
    <comment ref="R4" authorId="0">
      <text>
        <r>
          <rPr>
            <sz val="10"/>
            <rFont val="FreeSans"/>
            <family val="2"/>
          </rPr>
          <t xml:space="preserve">أيام العمل من التاريخ المخطط لحد أول تسليم (أو لحد النهارده لو لسه ماتسلمش)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FreeSans"/>
            <family val="2"/>
          </rPr>
          <t xml:space="preserve">اختر من قائمة المخرجات</t>
        </r>
      </text>
    </comment>
    <comment ref="G4" authorId="0">
      <text>
        <r>
          <rPr>
            <sz val="10"/>
            <rFont val="FreeSans"/>
            <family val="2"/>
          </rPr>
          <t xml:space="preserve">ترتيب التسليم ده بين تسليمات نفس المخرج (</t>
        </r>
        <r>
          <rPr>
            <sz val="10"/>
            <rFont val="Arial"/>
            <family val="2"/>
          </rPr>
          <t xml:space="preserve">1 = التسليم الأول)</t>
        </r>
      </text>
    </comment>
    <comment ref="J4" authorId="0">
      <text>
        <r>
          <rPr>
            <sz val="10"/>
            <rFont val="FreeSans"/>
            <family val="2"/>
          </rPr>
          <t xml:space="preserve">الدورة بتنتهي عند أقرب حدث بعد التسليم</t>
        </r>
        <r>
          <rPr>
            <sz val="10"/>
            <rFont val="Arial"/>
            <family val="2"/>
          </rPr>
          <t xml:space="preserve">:
</t>
        </r>
        <r>
          <rPr>
            <sz val="10"/>
            <rFont val="FreeSans"/>
            <family val="2"/>
          </rPr>
          <t xml:space="preserve">رد بملاحظات أو قبول أو تسليم جديد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لو مفيش أي حدث ← لحد تاريخ الاحتساب (النهارده)</t>
        </r>
        <r>
          <rPr>
            <sz val="10"/>
            <rFont val="Arial"/>
            <family val="2"/>
          </rPr>
          <t xml:space="preserve">.</t>
        </r>
      </text>
    </comment>
    <comment ref="L4" authorId="0">
      <text>
        <r>
          <rPr>
            <sz val="10"/>
            <rFont val="FreeSans"/>
            <family val="2"/>
          </rPr>
          <t xml:space="preserve">أيام العمل من اليوم التالي للتسليم لحد نهاية الدورة</t>
        </r>
        <r>
          <rPr>
            <sz val="10"/>
            <rFont val="Arial"/>
            <family val="2"/>
          </rPr>
          <t xml:space="preserve">.
</t>
        </r>
        <r>
          <rPr>
            <sz val="10"/>
            <rFont val="FreeSans"/>
            <family val="2"/>
          </rPr>
          <t xml:space="preserve">الإجازة الأسبوعية والأجازات الرسمية مش محسوبة</t>
        </r>
        <r>
          <rPr>
            <sz val="10"/>
            <rFont val="Arial"/>
            <family val="2"/>
          </rPr>
          <t xml:space="preserve">.</t>
        </r>
      </text>
    </comment>
    <comment ref="M4" authorId="0">
      <text>
        <r>
          <rPr>
            <sz val="10"/>
            <rFont val="FreeSans"/>
            <family val="2"/>
          </rPr>
          <t xml:space="preserve">أيام المراجعة − مهلة المراجعة (لو بالسالب = صفر)</t>
        </r>
      </text>
    </comment>
  </commentList>
</comments>
</file>

<file path=xl/sharedStrings.xml><?xml version="1.0" encoding="utf-8"?>
<sst xmlns="http://schemas.openxmlformats.org/spreadsheetml/2006/main" count="219" uniqueCount="153">
  <si>
    <t xml:space="preserve">نظام إدارة بنود عقد البوابة الموحدة</t>
  </si>
  <si>
    <t xml:space="preserve">دليل الاستخدام</t>
  </si>
  <si>
    <t xml:space="preserve">طريقة العمل</t>
  </si>
  <si>
    <t xml:space="preserve">1) شيت «الإعدادات»: بيانات العقد، نسبة الضريبة، مهلة المراجعة، والإجازة الأسبوعية.</t>
  </si>
  <si>
    <t xml:space="preserve">2) شيت «البنود»: كل بند تعاقدي في صف — الرقم، WBS، الاسم، الكمية، سعر الوحدة.</t>
  </si>
  <si>
    <t xml:space="preserve">3) شيت «المخرجات»: صف لكل مخرج تحت البند بتاعه، برقم ثابت (D-001، D-002، ...).</t>
  </si>
  <si>
    <t xml:space="preserve">4) شيت «سجل المراجعات»: كل ما يحصل تسليم أو رد بملاحظات أو قبول، ضيف صف جديد بالتاريخ.</t>
  </si>
  <si>
    <t xml:space="preserve">5) شيت «الأجازات»: أي إجازة رسمية جديدة تضاف هنا عشان تتشال من حساب الأيام.</t>
  </si>
  <si>
    <t xml:space="preserve">ألوان الخلايا</t>
  </si>
  <si>
    <t xml:space="preserve">رأس عمود أزرق = عمود إدخال، اكتب فيه.</t>
  </si>
  <si>
    <t xml:space="preserve">رأس عمود رمادي وخلفية رمادية = معادلة، متكتبش فيه.</t>
  </si>
  <si>
    <t xml:space="preserve">حط الماوس على رأس أي عمود عليه مثلث أحمر صغير عشان تشوف شرح المعادلة.</t>
  </si>
  <si>
    <t xml:space="preserve">حساب الحالة</t>
  </si>
  <si>
    <t xml:space="preserve">الحالة مش بتتكتب يدوي — بتتحسب من سجل المراجعات:</t>
  </si>
  <si>
    <t xml:space="preserve">• في حركة «قبول» ← تم القبول</t>
  </si>
  <si>
    <t xml:space="preserve">• حالة العمل اليدوية = معلق ← معلق</t>
  </si>
  <si>
    <t xml:space="preserve">• آخر حركة «رد بملاحظات» ← مُعاد بملاحظات</t>
  </si>
  <si>
    <t xml:space="preserve">• آخر حركة «تسليم» ← في انتظار القبول</t>
  </si>
  <si>
    <t xml:space="preserve">• عدّى تاريخ التسليم المخطط من غير تسليم ← متأخر</t>
  </si>
  <si>
    <t xml:space="preserve">• غير كده ← حالة العمل اليدوية (لم يبدأ / جاري العمل)</t>
  </si>
  <si>
    <t xml:space="preserve">حساب أيام المراجعة والتأخير</t>
  </si>
  <si>
    <t xml:space="preserve">• كل «تسليم» بيفتح دورة مراجعة، والدورة بتقفل عند أول رد أو قبول أو تسليم جديد بعده.</t>
  </si>
  <si>
    <t xml:space="preserve">• الأيام = أيام عمل من اليوم التالي للتسليم، من غير الإجازة الأسبوعية والأجازات الرسمية.</t>
  </si>
  <si>
    <t xml:space="preserve">• التأخير = الزيادة عن مهلة المراجعة في كل دورة لوحدها (توفير دورة مش بيعوّض تأخير دورة تانية).</t>
  </si>
  <si>
    <t xml:space="preserve">• لو الدورة لسه مفتوحة، الحساب بيكمّل لحد تاريخ الاحتساب (النهارده أو التاريخ الثابت في الإعدادات).</t>
  </si>
  <si>
    <t xml:space="preserve">مثال لتسجيل مخرج في سجل المراجعات</t>
  </si>
  <si>
    <t xml:space="preserve">D-005 | تسليم | 2026-03-15</t>
  </si>
  <si>
    <t xml:space="preserve">D-005 | رد بملاحظات | 2026-03-29</t>
  </si>
  <si>
    <t xml:space="preserve">D-005 | تسليم | 2026-04-05      ← إعادة التسليم = تسليم جديد</t>
  </si>
  <si>
    <t xml:space="preserve">D-005 | قبول | 2026-04-12</t>
  </si>
  <si>
    <t xml:space="preserve">الإعدادات وبيانات العقد</t>
  </si>
  <si>
    <t xml:space="preserve">الخلايا البيضاء للإدخال — الرمادية محسوبة تلقائياً</t>
  </si>
  <si>
    <t xml:space="preserve">البيان</t>
  </si>
  <si>
    <t xml:space="preserve">القيمة</t>
  </si>
  <si>
    <t xml:space="preserve">ملاحظة</t>
  </si>
  <si>
    <t xml:space="preserve">اسم المشروع</t>
  </si>
  <si>
    <t xml:space="preserve">مشروع تجريبي</t>
  </si>
  <si>
    <t xml:space="preserve">رقم العقد / كود المشروع</t>
  </si>
  <si>
    <t xml:space="preserve">CX-0000-0000</t>
  </si>
  <si>
    <t xml:space="preserve">الجهة المالكة</t>
  </si>
  <si>
    <t xml:space="preserve">الجهة المالكة (مثال)</t>
  </si>
  <si>
    <t xml:space="preserve">المورد / المنفذ</t>
  </si>
  <si>
    <t xml:space="preserve">المورد (مثال)</t>
  </si>
  <si>
    <t xml:space="preserve">تاريخ بداية العقد</t>
  </si>
  <si>
    <t xml:space="preserve">مدة العقد (بالأشهر)</t>
  </si>
  <si>
    <t xml:space="preserve">تاريخ نهاية العقد</t>
  </si>
  <si>
    <t xml:space="preserve">تاريخ البداية + المدة بالأشهر − يوم</t>
  </si>
  <si>
    <t xml:space="preserve">نسبة ضريبة القيمة المضافة</t>
  </si>
  <si>
    <t xml:space="preserve">مهلة المراجعة (أيام عمل)</t>
  </si>
  <si>
    <t xml:space="preserve">عدد أيام العمل المسموح بها للرد على كل تسليم. أي يوم زيادة يُحسب تأخير.</t>
  </si>
  <si>
    <t xml:space="preserve">رمز الإجازة الأسبوعية</t>
  </si>
  <si>
    <t xml:space="preserve">رمز Excel لأيام الإجازة الأسبوعية في دالة NETWORKDAYS.INTL: — 7 = الجمعة والسبت — 1 = السبت والأحد — 16 = الجمعة فقط</t>
  </si>
  <si>
    <t xml:space="preserve">تاريخ احتساب ثابت (اختياري)</t>
  </si>
  <si>
    <t xml:space="preserve">اتركه فارغاً ليتم الحساب حتى تاريخ اليوم. — اكتب تاريخاً لو عايز تطلع تقرير "كما في تاريخ معين".</t>
  </si>
  <si>
    <t xml:space="preserve">تاريخ الاحتساب الفعلي</t>
  </si>
  <si>
    <t xml:space="preserve">لو في تاريخ ثابت يُستخدم، وإلا تاريخ اليوم</t>
  </si>
  <si>
    <t xml:space="preserve">بنود العقد</t>
  </si>
  <si>
    <t xml:space="preserve">أدخل البنود كما في جدول الكميات — كل الأعمدة الرمادية محسوبة من شيت المخرجات</t>
  </si>
  <si>
    <t xml:space="preserve">الإجمالي</t>
  </si>
  <si>
    <t xml:space="preserve">رقم البند</t>
  </si>
  <si>
    <t xml:space="preserve">WBS</t>
  </si>
  <si>
    <t xml:space="preserve">اسم البند</t>
  </si>
  <si>
    <t xml:space="preserve">الكمية التعاقدية</t>
  </si>
  <si>
    <t xml:space="preserve">سعر الوحدة (قبل الضريبة)</t>
  </si>
  <si>
    <t xml:space="preserve">الإجمالي قبل الضريبة</t>
  </si>
  <si>
    <t xml:space="preserve">الضريبة</t>
  </si>
  <si>
    <t xml:space="preserve">الإجمالي شامل الضريبة</t>
  </si>
  <si>
    <t xml:space="preserve">المخرجات المسجلة</t>
  </si>
  <si>
    <t xml:space="preserve">المسلّمة</t>
  </si>
  <si>
    <t xml:space="preserve">المقبولة</t>
  </si>
  <si>
    <t xml:space="preserve">المتأخرة</t>
  </si>
  <si>
    <t xml:space="preserve">نسبة الإنجاز</t>
  </si>
  <si>
    <t xml:space="preserve">قيمة المقبول (قبل الضريبة)</t>
  </si>
  <si>
    <t xml:space="preserve">المتبقي (قبل الضريبة)</t>
  </si>
  <si>
    <t xml:space="preserve">CX-0000-0000-001</t>
  </si>
  <si>
    <t xml:space="preserve">إعداد خطة المشروع</t>
  </si>
  <si>
    <t xml:space="preserve">CX-0000-0000-002</t>
  </si>
  <si>
    <t xml:space="preserve">تحليل المتطلبات</t>
  </si>
  <si>
    <t xml:space="preserve">3.أ</t>
  </si>
  <si>
    <t xml:space="preserve">CX-0000-0000-003</t>
  </si>
  <si>
    <t xml:space="preserve">تطوير الخدمات</t>
  </si>
  <si>
    <t xml:space="preserve">مخرجات العقد</t>
  </si>
  <si>
    <t xml:space="preserve">صف لكل مخرج — التواريخ والحالة والأيام بتتحسب من سجل المراجعات</t>
  </si>
  <si>
    <t xml:space="preserve">الرقم التالي المقترح:</t>
  </si>
  <si>
    <t xml:space="preserve">رقم المخرج</t>
  </si>
  <si>
    <t xml:space="preserve">وصف المخرج</t>
  </si>
  <si>
    <t xml:space="preserve">تاريخ التسليم المخطط</t>
  </si>
  <si>
    <t xml:space="preserve">حالة العمل (يدوي)</t>
  </si>
  <si>
    <t xml:space="preserve">النقاط المنجزة</t>
  </si>
  <si>
    <t xml:space="preserve">القيمة قبل الضريبة</t>
  </si>
  <si>
    <t xml:space="preserve">القيمة شامل الضريبة</t>
  </si>
  <si>
    <t xml:space="preserve">أول تسليم</t>
  </si>
  <si>
    <t xml:space="preserve">آخر تسليم</t>
  </si>
  <si>
    <t xml:space="preserve">آخر رد بملاحظات</t>
  </si>
  <si>
    <t xml:space="preserve">تاريخ القبول</t>
  </si>
  <si>
    <t xml:space="preserve">عدد مرات التسليم</t>
  </si>
  <si>
    <t xml:space="preserve">الحالة</t>
  </si>
  <si>
    <t xml:space="preserve">أيام المراجعة</t>
  </si>
  <si>
    <t xml:space="preserve">أيام التأخير في القبول</t>
  </si>
  <si>
    <t xml:space="preserve">أيام تأخير التسليم</t>
  </si>
  <si>
    <t xml:space="preserve">ملاحظات</t>
  </si>
  <si>
    <t xml:space="preserve">D-001</t>
  </si>
  <si>
    <t xml:space="preserve">وثيقة ميثاق المشروع</t>
  </si>
  <si>
    <t xml:space="preserve">D-002</t>
  </si>
  <si>
    <t xml:space="preserve">الخطة التفصيلية للمشروع</t>
  </si>
  <si>
    <t xml:space="preserve">D-003</t>
  </si>
  <si>
    <t xml:space="preserve">وثيقة متطلبات - الدفعة 1</t>
  </si>
  <si>
    <t xml:space="preserve">D-004</t>
  </si>
  <si>
    <t xml:space="preserve">وثيقة متطلبات - الدفعة 2</t>
  </si>
  <si>
    <t xml:space="preserve">مثال: تسليم بدون رد ثم إعادة تسليم</t>
  </si>
  <si>
    <t xml:space="preserve">D-005</t>
  </si>
  <si>
    <t xml:space="preserve">وثيقة متطلبات - الدفعة 3</t>
  </si>
  <si>
    <t xml:space="preserve">جاري العمل</t>
  </si>
  <si>
    <t xml:space="preserve">D-006</t>
  </si>
  <si>
    <t xml:space="preserve">وثيقة متطلبات - الدفعة 4</t>
  </si>
  <si>
    <t xml:space="preserve">لم يبدأ</t>
  </si>
  <si>
    <t xml:space="preserve">D-007</t>
  </si>
  <si>
    <t xml:space="preserve">تقرير تطوير الخدمات 1</t>
  </si>
  <si>
    <t xml:space="preserve">D-008</t>
  </si>
  <si>
    <t xml:space="preserve">تقرير تطوير الخدمات 2</t>
  </si>
  <si>
    <t xml:space="preserve">معلق</t>
  </si>
  <si>
    <t xml:space="preserve">مثال: بند معلق بقرار من العميل</t>
  </si>
  <si>
    <t xml:space="preserve">D-009</t>
  </si>
  <si>
    <t xml:space="preserve">تقرير تطوير الخدمات 3</t>
  </si>
  <si>
    <t xml:space="preserve">سجل المراجعات</t>
  </si>
  <si>
    <t xml:space="preserve">سجّل كل حركة في صف: تسليم / رد بملاحظات / قبول — الترتيب مش مهم</t>
  </si>
  <si>
    <t xml:space="preserve">نوع الحركة</t>
  </si>
  <si>
    <t xml:space="preserve">التاريخ</t>
  </si>
  <si>
    <t xml:space="preserve">رقم الدورة</t>
  </si>
  <si>
    <t xml:space="preserve">أول رد/قبول بعده</t>
  </si>
  <si>
    <t xml:space="preserve">التسليم التالي</t>
  </si>
  <si>
    <t xml:space="preserve">نهاية الدورة</t>
  </si>
  <si>
    <t xml:space="preserve">حالة الدورة</t>
  </si>
  <si>
    <t xml:space="preserve">أيام التأخير</t>
  </si>
  <si>
    <t xml:space="preserve">تنبيه</t>
  </si>
  <si>
    <t xml:space="preserve">تسليم</t>
  </si>
  <si>
    <t xml:space="preserve">قبول</t>
  </si>
  <si>
    <t xml:space="preserve">رد بملاحظات</t>
  </si>
  <si>
    <t xml:space="preserve">الأجازات الرسمية</t>
  </si>
  <si>
    <t xml:space="preserve">تُستثنى من حساب أيام المراجعة والتأخير — أضف أي إجازة جديدة في أول صف فاضي</t>
  </si>
  <si>
    <t xml:space="preserve">المناسبة</t>
  </si>
  <si>
    <t xml:space="preserve">يوم التأسيس 2025</t>
  </si>
  <si>
    <t xml:space="preserve">عيد الفطر 1446</t>
  </si>
  <si>
    <t xml:space="preserve">تقديري</t>
  </si>
  <si>
    <t xml:space="preserve">عيد الأضحى 1446</t>
  </si>
  <si>
    <t xml:space="preserve">اليوم الوطني 2025</t>
  </si>
  <si>
    <t xml:space="preserve">يوم التأسيس 2026</t>
  </si>
  <si>
    <t xml:space="preserve">عيد الفطر 1447</t>
  </si>
  <si>
    <t xml:space="preserve">عيد الأضحى 1447</t>
  </si>
  <si>
    <t xml:space="preserve">اليوم الوطني 2026</t>
  </si>
  <si>
    <t xml:space="preserve">يوم التأسيس 2027</t>
  </si>
  <si>
    <t xml:space="preserve">اليوم الوطني 2027</t>
  </si>
  <si>
    <t xml:space="preserve">حالة العمل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</si>
</sst>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\-mm\-dd"/>
    <numFmt numFmtId="166" formatCode="0%"/>
    <numFmt numFmtId="167" formatCode="#,##0;\-#,##0;\-"/>
    <numFmt numFmtId="168" formatCode="#,##0.00;\-#,##0.00;\-"/>
    <numFmt numFmtId="169" formatCode="0.0%;\-0.0%;&quot;0%&quot;"/>
    <numFmt numFmtId="170" formatCode="0.##"/>
    <numFmt numFmtId="171" formatCode="yyyy\-mm\-dd;;;"/>
    <numFmt numFmtId="172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5C6B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2"/>
      <color rgb="FF1F5C6B"/>
      <name val="Arial"/>
      <family val="0"/>
      <charset val="1"/>
    </font>
    <font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sz val="10"/>
      <name val="FreeSans"/>
      <family val="2"/>
    </font>
    <font>
      <sz val="10"/>
      <name val="Arial"/>
      <family val="2"/>
    </font>
    <font>
      <b val="true"/>
      <sz val="10"/>
      <color rgb="FF1F5C6B"/>
      <name val="Arial"/>
      <family val="0"/>
      <charset val="1"/>
    </font>
    <font>
      <sz val="11"/>
      <color theme="1"/>
      <name val="FreeSans"/>
      <family val="2"/>
    </font>
  </fonts>
  <fills count="6">
    <fill>
      <patternFill patternType="none"/>
    </fill>
    <fill>
      <patternFill patternType="gray125"/>
    </fill>
    <fill>
      <patternFill patternType="solid">
        <fgColor rgb="FF1F5C6B"/>
        <bgColor rgb="FF1F4E78"/>
      </patternFill>
    </fill>
    <fill>
      <patternFill patternType="solid">
        <fgColor rgb="FF4D4D4D"/>
        <bgColor rgb="FF595959"/>
      </patternFill>
    </fill>
    <fill>
      <patternFill patternType="solid">
        <fgColor rgb="FFEFEFEF"/>
        <bgColor rgb="FFDDEBF7"/>
      </patternFill>
    </fill>
    <fill>
      <patternFill patternType="solid">
        <fgColor rgb="FFD9E7EA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1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2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10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7">
    <dxf>
      <fill>
        <patternFill patternType="solid">
          <fgColor rgb="FF1F5C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D4D4D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404040"/>
          <bgColor rgb="FF000000"/>
        </patternFill>
      </fill>
    </dxf>
    <dxf>
      <fill>
        <patternFill patternType="solid">
          <fgColor rgb="FF7F6000"/>
          <bgColor rgb="FF000000"/>
        </patternFill>
      </fill>
    </dxf>
    <dxf>
      <fill>
        <patternFill patternType="solid">
          <fgColor rgb="FF843C0C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1F4E78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843C0C"/>
      </font>
      <fill>
        <patternFill>
          <bgColor rgb="FFFCE4D6"/>
        </patternFill>
      </fill>
    </dxf>
    <dxf>
      <font>
        <name val="Arial"/>
        <charset val="1"/>
        <family val="0"/>
        <b val="1"/>
        <color rgb="FF404040"/>
      </font>
      <fill>
        <patternFill>
          <bgColor rgb="FFD9D9D9"/>
        </patternFill>
      </fill>
    </dxf>
    <dxf>
      <font>
        <name val="Arial"/>
        <charset val="1"/>
        <family val="0"/>
        <b val="1"/>
        <color rgb="FF7F6000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C00000"/>
      </font>
    </dxf>
    <dxf>
      <fill>
        <patternFill>
          <bgColor rgb="FFFFF2CC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7F6000"/>
      <rgbColor rgb="FF800080"/>
      <rgbColor rgb="FF1F5C6B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7EA"/>
      <rgbColor rgb="FFC6EFCE"/>
      <rgbColor rgb="FFFCE4D6"/>
      <rgbColor rgb="FFEFEFEF"/>
      <rgbColor rgb="FFFF99CC"/>
      <rgbColor rgb="FFCC99FF"/>
      <rgbColor rgb="FFFFC7CE"/>
      <rgbColor rgb="FF2E75B6"/>
      <rgbColor rgb="FF33CCCC"/>
      <rgbColor rgb="FF99CC00"/>
      <rgbColor rgb="FFFFCC00"/>
      <rgbColor rgb="FFBF8F00"/>
      <rgbColor rgb="FFFF6600"/>
      <rgbColor rgb="FF595959"/>
      <rgbColor rgb="FF969696"/>
      <rgbColor rgb="FF003366"/>
      <rgbColor rgb="FF548235"/>
      <rgbColor rgb="FF003300"/>
      <rgbColor rgb="FF4D4D4D"/>
      <rgbColor rgb="FF843C0C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true"/>
  </sheetPr>
  <dimension ref="A1:A36"/>
  <sheetViews>
    <sheetView showFormulas="false" showGridLines="fals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5" customFormat="false" ht="15" hidden="false" customHeight="false" outlineLevel="0" collapsed="false">
      <c r="A5" s="3" t="s">
        <v>2</v>
      </c>
    </row>
    <row r="6" customFormat="false" ht="14.15" hidden="false" customHeight="false" outlineLevel="0" collapsed="false">
      <c r="A6" s="4" t="s">
        <v>3</v>
      </c>
    </row>
    <row r="7" customFormat="false" ht="14.15" hidden="false" customHeight="false" outlineLevel="0" collapsed="false">
      <c r="A7" s="4" t="s">
        <v>4</v>
      </c>
    </row>
    <row r="8" customFormat="false" ht="14.15" hidden="false" customHeight="false" outlineLevel="0" collapsed="false">
      <c r="A8" s="4" t="s">
        <v>5</v>
      </c>
    </row>
    <row r="9" customFormat="false" ht="14.15" hidden="false" customHeight="false" outlineLevel="0" collapsed="false">
      <c r="A9" s="4" t="s">
        <v>6</v>
      </c>
    </row>
    <row r="10" customFormat="false" ht="14.15" hidden="false" customHeight="false" outlineLevel="0" collapsed="false">
      <c r="A10" s="4" t="s">
        <v>7</v>
      </c>
    </row>
    <row r="12" customFormat="false" ht="15" hidden="false" customHeight="false" outlineLevel="0" collapsed="false">
      <c r="A12" s="3" t="s">
        <v>8</v>
      </c>
    </row>
    <row r="13" customFormat="false" ht="12.65" hidden="false" customHeight="false" outlineLevel="0" collapsed="false">
      <c r="A13" s="5" t="s">
        <v>9</v>
      </c>
    </row>
    <row r="14" customFormat="false" ht="12.65" hidden="false" customHeight="false" outlineLevel="0" collapsed="false">
      <c r="A14" s="6" t="s">
        <v>10</v>
      </c>
    </row>
    <row r="15" customFormat="false" ht="14.15" hidden="false" customHeight="false" outlineLevel="0" collapsed="false">
      <c r="A15" s="4" t="s">
        <v>11</v>
      </c>
    </row>
    <row r="17" customFormat="false" ht="15" hidden="false" customHeight="false" outlineLevel="0" collapsed="false">
      <c r="A17" s="3" t="s">
        <v>12</v>
      </c>
    </row>
    <row r="18" customFormat="false" ht="14.15" hidden="false" customHeight="false" outlineLevel="0" collapsed="false">
      <c r="A18" s="4" t="s">
        <v>13</v>
      </c>
    </row>
    <row r="19" customFormat="false" ht="14.15" hidden="false" customHeight="false" outlineLevel="0" collapsed="false">
      <c r="A19" s="4" t="s">
        <v>14</v>
      </c>
    </row>
    <row r="20" customFormat="false" ht="14.15" hidden="false" customHeight="false" outlineLevel="0" collapsed="false">
      <c r="A20" s="4" t="s">
        <v>15</v>
      </c>
    </row>
    <row r="21" customFormat="false" ht="14.15" hidden="false" customHeight="false" outlineLevel="0" collapsed="false">
      <c r="A21" s="4" t="s">
        <v>16</v>
      </c>
    </row>
    <row r="22" customFormat="false" ht="14.15" hidden="false" customHeight="false" outlineLevel="0" collapsed="false">
      <c r="A22" s="4" t="s">
        <v>17</v>
      </c>
    </row>
    <row r="23" customFormat="false" ht="15" hidden="false" customHeight="false" outlineLevel="0" collapsed="false">
      <c r="A23" s="4" t="s">
        <v>18</v>
      </c>
    </row>
    <row r="24" customFormat="false" ht="14.15" hidden="false" customHeight="false" outlineLevel="0" collapsed="false">
      <c r="A24" s="4" t="s">
        <v>19</v>
      </c>
    </row>
    <row r="26" customFormat="false" ht="15" hidden="false" customHeight="false" outlineLevel="0" collapsed="false">
      <c r="A26" s="3" t="s">
        <v>20</v>
      </c>
    </row>
    <row r="27" customFormat="false" ht="14.15" hidden="false" customHeight="false" outlineLevel="0" collapsed="false">
      <c r="A27" s="4" t="s">
        <v>21</v>
      </c>
    </row>
    <row r="28" customFormat="false" ht="14.15" hidden="false" customHeight="false" outlineLevel="0" collapsed="false">
      <c r="A28" s="4" t="s">
        <v>22</v>
      </c>
    </row>
    <row r="29" customFormat="false" ht="14.15" hidden="false" customHeight="false" outlineLevel="0" collapsed="false">
      <c r="A29" s="4" t="s">
        <v>23</v>
      </c>
    </row>
    <row r="30" customFormat="false" ht="14.15" hidden="false" customHeight="false" outlineLevel="0" collapsed="false">
      <c r="A30" s="4" t="s">
        <v>24</v>
      </c>
    </row>
    <row r="32" customFormat="false" ht="15" hidden="false" customHeight="false" outlineLevel="0" collapsed="false">
      <c r="A32" s="3" t="s">
        <v>25</v>
      </c>
    </row>
    <row r="33" customFormat="false" ht="14.15" hidden="false" customHeight="false" outlineLevel="0" collapsed="false">
      <c r="A33" s="4" t="s">
        <v>26</v>
      </c>
    </row>
    <row r="34" customFormat="false" ht="14.15" hidden="false" customHeight="false" outlineLevel="0" collapsed="false">
      <c r="A34" s="4" t="s">
        <v>27</v>
      </c>
    </row>
    <row r="35" customFormat="false" ht="14.15" hidden="false" customHeight="false" outlineLevel="0" collapsed="false">
      <c r="A35" s="4" t="s">
        <v>28</v>
      </c>
    </row>
    <row r="36" customFormat="false" ht="14.15" hidden="false" customHeight="false" outlineLevel="0" collapsed="false">
      <c r="A36" s="4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5C6B"/>
    <pageSetUpPr fitToPage="true"/>
  </sheetPr>
  <dimension ref="A1:C16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34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" t="s">
        <v>30</v>
      </c>
    </row>
    <row r="2" customFormat="false" ht="15" hidden="false" customHeight="false" outlineLevel="0" collapsed="false">
      <c r="A2" s="2" t="s">
        <v>31</v>
      </c>
    </row>
    <row r="4" customFormat="false" ht="15" hidden="false" customHeight="false" outlineLevel="0" collapsed="false">
      <c r="A4" s="7" t="s">
        <v>32</v>
      </c>
      <c r="B4" s="7" t="s">
        <v>33</v>
      </c>
      <c r="C4" s="7" t="s">
        <v>34</v>
      </c>
    </row>
    <row r="5" customFormat="false" ht="15" hidden="false" customHeight="false" outlineLevel="0" collapsed="false">
      <c r="A5" s="8" t="s">
        <v>35</v>
      </c>
      <c r="B5" s="9" t="s">
        <v>36</v>
      </c>
      <c r="C5" s="10"/>
    </row>
    <row r="6" customFormat="false" ht="15" hidden="false" customHeight="false" outlineLevel="0" collapsed="false">
      <c r="A6" s="8" t="s">
        <v>37</v>
      </c>
      <c r="B6" s="9" t="s">
        <v>38</v>
      </c>
      <c r="C6" s="10"/>
    </row>
    <row r="7" customFormat="false" ht="15" hidden="false" customHeight="false" outlineLevel="0" collapsed="false">
      <c r="A7" s="8" t="s">
        <v>39</v>
      </c>
      <c r="B7" s="9" t="s">
        <v>40</v>
      </c>
      <c r="C7" s="10"/>
    </row>
    <row r="8" customFormat="false" ht="15" hidden="false" customHeight="false" outlineLevel="0" collapsed="false">
      <c r="A8" s="8" t="s">
        <v>41</v>
      </c>
      <c r="B8" s="9" t="s">
        <v>42</v>
      </c>
      <c r="C8" s="10"/>
    </row>
    <row r="9" customFormat="false" ht="15" hidden="false" customHeight="false" outlineLevel="0" collapsed="false">
      <c r="A9" s="8" t="s">
        <v>43</v>
      </c>
      <c r="B9" s="11" t="n">
        <v>45658</v>
      </c>
      <c r="C9" s="10"/>
    </row>
    <row r="10" customFormat="false" ht="15" hidden="false" customHeight="false" outlineLevel="0" collapsed="false">
      <c r="A10" s="8" t="s">
        <v>44</v>
      </c>
      <c r="B10" s="9" t="n">
        <v>24</v>
      </c>
      <c r="C10" s="10"/>
    </row>
    <row r="11" customFormat="false" ht="15" hidden="false" customHeight="false" outlineLevel="0" collapsed="false">
      <c r="A11" s="8" t="s">
        <v>45</v>
      </c>
      <c r="B11" s="12" t="n">
        <f aca="false">IF(ISNUMBER(B9),EDATE(B9,B10)-1,"")</f>
        <v>46387</v>
      </c>
      <c r="C11" s="10" t="s">
        <v>46</v>
      </c>
    </row>
    <row r="12" customFormat="false" ht="15" hidden="false" customHeight="false" outlineLevel="0" collapsed="false">
      <c r="A12" s="8" t="s">
        <v>47</v>
      </c>
      <c r="B12" s="13" t="n">
        <v>0.15</v>
      </c>
      <c r="C12" s="10"/>
    </row>
    <row r="13" customFormat="false" ht="15" hidden="false" customHeight="false" outlineLevel="0" collapsed="false">
      <c r="A13" s="8" t="s">
        <v>48</v>
      </c>
      <c r="B13" s="9" t="n">
        <v>10</v>
      </c>
      <c r="C13" s="10" t="s">
        <v>49</v>
      </c>
    </row>
    <row r="14" customFormat="false" ht="22.35" hidden="false" customHeight="false" outlineLevel="0" collapsed="false">
      <c r="A14" s="8" t="s">
        <v>50</v>
      </c>
      <c r="B14" s="9" t="n">
        <v>7</v>
      </c>
      <c r="C14" s="10" t="s">
        <v>51</v>
      </c>
    </row>
    <row r="15" customFormat="false" ht="15" hidden="false" customHeight="false" outlineLevel="0" collapsed="false">
      <c r="A15" s="8" t="s">
        <v>52</v>
      </c>
      <c r="B15" s="11" t="n">
        <v>46203</v>
      </c>
      <c r="C15" s="10" t="s">
        <v>53</v>
      </c>
    </row>
    <row r="16" customFormat="false" ht="15" hidden="false" customHeight="false" outlineLevel="0" collapsed="false">
      <c r="A16" s="8" t="s">
        <v>54</v>
      </c>
      <c r="B16" s="12" t="n">
        <f aca="true">IF(ISNUMBER(B15),B15,TODAY())</f>
        <v>46203</v>
      </c>
      <c r="C16" s="10" t="s">
        <v>55</v>
      </c>
    </row>
  </sheetData>
  <dataValidations count="2">
    <dataValidation allowBlank="true" error="اكتب تاريخ صحيح (مثال: 2026-01-15)" errorStyle="stop" errorTitle="تاريخ غير صحيح" operator="between" showDropDown="false" showErrorMessage="true" showInputMessage="false" sqref="B9 B15" type="date">
      <formula1>DATE(2020,1,1)</formula1>
      <formula2>DATE(2040,12,31)</formula2>
    </dataValidation>
    <dataValidation allowBlank="true" error="اكتب رقم أكبر من أو يساوي صفر" errorStyle="stop" operator="greaterThanOrEqual" showDropDown="false" showErrorMessage="true" showInputMessage="false" sqref="B10 B13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true"/>
  </sheetPr>
  <dimension ref="A1:O4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9"/>
    <col collapsed="false" customWidth="true" hidden="false" outlineLevel="0" max="3" min="3" style="0" width="44"/>
    <col collapsed="false" customWidth="true" hidden="false" outlineLevel="0" max="4" min="4" style="0" width="11"/>
    <col collapsed="false" customWidth="true" hidden="false" outlineLevel="0" max="5" min="5" style="0" width="17"/>
    <col collapsed="false" customWidth="true" hidden="false" outlineLevel="0" max="6" min="6" style="0" width="18"/>
    <col collapsed="false" customWidth="true" hidden="false" outlineLevel="0" max="7" min="7" style="0" width="15"/>
    <col collapsed="false" customWidth="true" hidden="false" outlineLevel="0" max="8" min="8" style="0" width="18"/>
    <col collapsed="false" customWidth="true" hidden="false" outlineLevel="0" max="9" min="9" style="0" width="11"/>
    <col collapsed="false" customWidth="true" hidden="false" outlineLevel="0" max="12" min="10" style="0" width="10"/>
    <col collapsed="false" customWidth="true" hidden="false" outlineLevel="0" max="13" min="13" style="0" width="11"/>
    <col collapsed="false" customWidth="true" hidden="false" outlineLevel="0" max="15" min="14" style="0" width="18"/>
  </cols>
  <sheetData>
    <row r="1" customFormat="false" ht="19.7" hidden="false" customHeight="false" outlineLevel="0" collapsed="false">
      <c r="A1" s="1" t="s">
        <v>56</v>
      </c>
    </row>
    <row r="2" customFormat="false" ht="15" hidden="false" customHeight="false" outlineLevel="0" collapsed="false">
      <c r="A2" s="2" t="s">
        <v>57</v>
      </c>
    </row>
    <row r="3" customFormat="false" ht="15" hidden="false" customHeight="false" outlineLevel="0" collapsed="false">
      <c r="A3" s="14"/>
      <c r="B3" s="14"/>
      <c r="C3" s="14" t="s">
        <v>58</v>
      </c>
      <c r="D3" s="15" t="n">
        <f aca="false">SUM(D5:D44)</f>
        <v>9</v>
      </c>
      <c r="E3" s="16"/>
      <c r="F3" s="16" t="n">
        <f aca="false">SUM(F5:F44)</f>
        <v>3900000</v>
      </c>
      <c r="G3" s="16" t="n">
        <f aca="false">SUM(G5:G44)</f>
        <v>585000</v>
      </c>
      <c r="H3" s="16" t="n">
        <f aca="false">SUM(H5:H44)</f>
        <v>4485000</v>
      </c>
      <c r="I3" s="15" t="n">
        <f aca="false">SUM(I5:I44)</f>
        <v>9</v>
      </c>
      <c r="J3" s="15" t="n">
        <f aca="false">SUM(J5:J44)</f>
        <v>5</v>
      </c>
      <c r="K3" s="15" t="n">
        <f aca="false">SUM(K5:K44)</f>
        <v>2</v>
      </c>
      <c r="L3" s="15" t="n">
        <f aca="false">SUM(L5:L44)</f>
        <v>1</v>
      </c>
      <c r="M3" s="17" t="n">
        <f aca="false">IF(SUM(F5:F44)=0,"",SUM(N5:N44)/SUM(F5:F44))</f>
        <v>0.0512820512820513</v>
      </c>
      <c r="N3" s="16" t="n">
        <f aca="false">SUM(N5:N44)</f>
        <v>200000</v>
      </c>
      <c r="O3" s="16" t="n">
        <f aca="false">SUM(O5:O44)</f>
        <v>3700000</v>
      </c>
    </row>
    <row r="4" customFormat="false" ht="42" hidden="false" customHeight="true" outlineLevel="0" collapsed="false">
      <c r="A4" s="18" t="s">
        <v>59</v>
      </c>
      <c r="B4" s="18" t="s">
        <v>60</v>
      </c>
      <c r="C4" s="18" t="s">
        <v>61</v>
      </c>
      <c r="D4" s="18" t="s">
        <v>62</v>
      </c>
      <c r="E4" s="18" t="s">
        <v>63</v>
      </c>
      <c r="F4" s="19" t="s">
        <v>64</v>
      </c>
      <c r="G4" s="19" t="s">
        <v>65</v>
      </c>
      <c r="H4" s="19" t="s">
        <v>66</v>
      </c>
      <c r="I4" s="19" t="s">
        <v>67</v>
      </c>
      <c r="J4" s="19" t="s">
        <v>68</v>
      </c>
      <c r="K4" s="19" t="s">
        <v>69</v>
      </c>
      <c r="L4" s="19" t="s">
        <v>70</v>
      </c>
      <c r="M4" s="19" t="s">
        <v>71</v>
      </c>
      <c r="N4" s="19" t="s">
        <v>72</v>
      </c>
      <c r="O4" s="19" t="s">
        <v>73</v>
      </c>
    </row>
    <row r="5" customFormat="false" ht="15" hidden="false" customHeight="false" outlineLevel="0" collapsed="false">
      <c r="A5" s="20" t="n">
        <v>1</v>
      </c>
      <c r="B5" s="21" t="s">
        <v>74</v>
      </c>
      <c r="C5" s="22" t="s">
        <v>75</v>
      </c>
      <c r="D5" s="23" t="n">
        <v>2</v>
      </c>
      <c r="E5" s="24" t="n">
        <v>100000</v>
      </c>
      <c r="F5" s="25" t="n">
        <f aca="false">IF(A5="","",D5*E5)</f>
        <v>200000</v>
      </c>
      <c r="G5" s="25" t="n">
        <f aca="false">IF(A5="","",F5*نسبة_الضريبة)</f>
        <v>30000</v>
      </c>
      <c r="H5" s="25" t="n">
        <f aca="false">IF(A5="","",F5+G5)</f>
        <v>230000</v>
      </c>
      <c r="I5" s="26" t="n">
        <f aca="false">IF(A5="","",COUNTIF(المخرجات!$B$5:$B$404,A5))</f>
        <v>2</v>
      </c>
      <c r="J5" s="26" t="n">
        <f aca="false">IF(A5="","",COUNTIFS(المخرجات!$B$5:$B$404,A5,المخرجات!$J$5:$J$404,"&gt;0"))</f>
        <v>2</v>
      </c>
      <c r="K5" s="26" t="n">
        <f aca="false">IF(A5="","",COUNTIFS(المخرجات!$B$5:$B$404,A5,المخرجات!$O$5:$O$404,"تم القبول"))</f>
        <v>2</v>
      </c>
      <c r="L5" s="26" t="n">
        <f aca="false">IF(A5="","",COUNTIFS(المخرجات!$B$5:$B$404,A5,المخرجات!$O$5:$O$404,"متأخر"))</f>
        <v>0</v>
      </c>
      <c r="M5" s="27" t="n">
        <f aca="false">IF(OR(A5="",N(D5)=0),"",K5/D5)</f>
        <v>1</v>
      </c>
      <c r="N5" s="25" t="n">
        <f aca="false">IF(A5="","",K5*E5)</f>
        <v>200000</v>
      </c>
      <c r="O5" s="25" t="n">
        <f aca="false">IF(A5="","",F5-N5)</f>
        <v>0</v>
      </c>
    </row>
    <row r="6" customFormat="false" ht="15" hidden="false" customHeight="false" outlineLevel="0" collapsed="false">
      <c r="A6" s="20" t="n">
        <v>2</v>
      </c>
      <c r="B6" s="21" t="s">
        <v>76</v>
      </c>
      <c r="C6" s="22" t="s">
        <v>77</v>
      </c>
      <c r="D6" s="23" t="n">
        <v>4</v>
      </c>
      <c r="E6" s="24" t="n">
        <v>250000</v>
      </c>
      <c r="F6" s="25" t="n">
        <f aca="false">IF(A6="","",D6*E6)</f>
        <v>1000000</v>
      </c>
      <c r="G6" s="25" t="n">
        <f aca="false">IF(A6="","",F6*نسبة_الضريبة)</f>
        <v>150000</v>
      </c>
      <c r="H6" s="25" t="n">
        <f aca="false">IF(A6="","",F6+G6)</f>
        <v>1150000</v>
      </c>
      <c r="I6" s="26" t="n">
        <f aca="false">IF(A6="","",COUNTIF(المخرجات!$B$5:$B$404,A6))</f>
        <v>4</v>
      </c>
      <c r="J6" s="26" t="n">
        <f aca="false">IF(A6="","",COUNTIFS(المخرجات!$B$5:$B$404,A6,المخرجات!$J$5:$J$404,"&gt;0"))</f>
        <v>2</v>
      </c>
      <c r="K6" s="26" t="n">
        <f aca="false">IF(A6="","",COUNTIFS(المخرجات!$B$5:$B$404,A6,المخرجات!$O$5:$O$404,"تم القبول"))</f>
        <v>0</v>
      </c>
      <c r="L6" s="26" t="n">
        <f aca="false">IF(A6="","",COUNTIFS(المخرجات!$B$5:$B$404,A6,المخرجات!$O$5:$O$404,"متأخر"))</f>
        <v>1</v>
      </c>
      <c r="M6" s="27" t="n">
        <f aca="false">IF(OR(A6="",N(D6)=0),"",K6/D6)</f>
        <v>0</v>
      </c>
      <c r="N6" s="25" t="n">
        <f aca="false">IF(A6="","",K6*E6)</f>
        <v>0</v>
      </c>
      <c r="O6" s="25" t="n">
        <f aca="false">IF(A6="","",F6-N6)</f>
        <v>1000000</v>
      </c>
    </row>
    <row r="7" customFormat="false" ht="15" hidden="false" customHeight="false" outlineLevel="0" collapsed="false">
      <c r="A7" s="20" t="s">
        <v>78</v>
      </c>
      <c r="B7" s="21" t="s">
        <v>79</v>
      </c>
      <c r="C7" s="22" t="s">
        <v>80</v>
      </c>
      <c r="D7" s="23" t="n">
        <v>3</v>
      </c>
      <c r="E7" s="24" t="n">
        <v>900000</v>
      </c>
      <c r="F7" s="25" t="n">
        <f aca="false">IF(A7="","",D7*E7)</f>
        <v>2700000</v>
      </c>
      <c r="G7" s="25" t="n">
        <f aca="false">IF(A7="","",F7*نسبة_الضريبة)</f>
        <v>405000</v>
      </c>
      <c r="H7" s="25" t="n">
        <f aca="false">IF(A7="","",F7+G7)</f>
        <v>3105000</v>
      </c>
      <c r="I7" s="26" t="n">
        <f aca="false">IF(A7="","",COUNTIF(المخرجات!$B$5:$B$404,A7))</f>
        <v>3</v>
      </c>
      <c r="J7" s="26" t="n">
        <f aca="false">IF(A7="","",COUNTIFS(المخرجات!$B$5:$B$404,A7,المخرجات!$J$5:$J$404,"&gt;0"))</f>
        <v>1</v>
      </c>
      <c r="K7" s="26" t="n">
        <f aca="false">IF(A7="","",COUNTIFS(المخرجات!$B$5:$B$404,A7,المخرجات!$O$5:$O$404,"تم القبول"))</f>
        <v>0</v>
      </c>
      <c r="L7" s="26" t="n">
        <f aca="false">IF(A7="","",COUNTIFS(المخرجات!$B$5:$B$404,A7,المخرجات!$O$5:$O$404,"متأخر"))</f>
        <v>0</v>
      </c>
      <c r="M7" s="27" t="n">
        <f aca="false">IF(OR(A7="",N(D7)=0),"",K7/D7)</f>
        <v>0</v>
      </c>
      <c r="N7" s="25" t="n">
        <f aca="false">IF(A7="","",K7*E7)</f>
        <v>0</v>
      </c>
      <c r="O7" s="25" t="n">
        <f aca="false">IF(A7="","",F7-N7)</f>
        <v>2700000</v>
      </c>
    </row>
    <row r="8" customFormat="false" ht="15" hidden="false" customHeight="false" outlineLevel="0" collapsed="false">
      <c r="A8" s="20"/>
      <c r="B8" s="21"/>
      <c r="C8" s="22"/>
      <c r="D8" s="23"/>
      <c r="E8" s="24"/>
      <c r="F8" s="25" t="str">
        <f aca="false">IF(A8="","",D8*E8)</f>
        <v/>
      </c>
      <c r="G8" s="25" t="str">
        <f aca="false">IF(A8="","",F8*نسبة_الضريبة)</f>
        <v/>
      </c>
      <c r="H8" s="25" t="str">
        <f aca="false">IF(A8="","",F8+G8)</f>
        <v/>
      </c>
      <c r="I8" s="26" t="str">
        <f aca="false">IF(A8="","",COUNTIF(المخرجات!$B$5:$B$404,A8))</f>
        <v/>
      </c>
      <c r="J8" s="26" t="str">
        <f aca="false">IF(A8="","",COUNTIFS(المخرجات!$B$5:$B$404,A8,المخرجات!$J$5:$J$404,"&gt;0"))</f>
        <v/>
      </c>
      <c r="K8" s="26" t="str">
        <f aca="false">IF(A8="","",COUNTIFS(المخرجات!$B$5:$B$404,A8,المخرجات!$O$5:$O$404,"تم القبول"))</f>
        <v/>
      </c>
      <c r="L8" s="26" t="str">
        <f aca="false">IF(A8="","",COUNTIFS(المخرجات!$B$5:$B$404,A8,المخرجات!$O$5:$O$404,"متأخر"))</f>
        <v/>
      </c>
      <c r="M8" s="27" t="str">
        <f aca="false">IF(OR(A8="",N(D8)=0),"",K8/D8)</f>
        <v/>
      </c>
      <c r="N8" s="25" t="str">
        <f aca="false">IF(A8="","",K8*E8)</f>
        <v/>
      </c>
      <c r="O8" s="25" t="str">
        <f aca="false">IF(A8="","",F8-N8)</f>
        <v/>
      </c>
    </row>
    <row r="9" customFormat="false" ht="15" hidden="false" customHeight="false" outlineLevel="0" collapsed="false">
      <c r="A9" s="20"/>
      <c r="B9" s="21"/>
      <c r="C9" s="22"/>
      <c r="D9" s="23"/>
      <c r="E9" s="24"/>
      <c r="F9" s="25" t="str">
        <f aca="false">IF(A9="","",D9*E9)</f>
        <v/>
      </c>
      <c r="G9" s="25" t="str">
        <f aca="false">IF(A9="","",F9*نسبة_الضريبة)</f>
        <v/>
      </c>
      <c r="H9" s="25" t="str">
        <f aca="false">IF(A9="","",F9+G9)</f>
        <v/>
      </c>
      <c r="I9" s="26" t="str">
        <f aca="false">IF(A9="","",COUNTIF(المخرجات!$B$5:$B$404,A9))</f>
        <v/>
      </c>
      <c r="J9" s="26" t="str">
        <f aca="false">IF(A9="","",COUNTIFS(المخرجات!$B$5:$B$404,A9,المخرجات!$J$5:$J$404,"&gt;0"))</f>
        <v/>
      </c>
      <c r="K9" s="26" t="str">
        <f aca="false">IF(A9="","",COUNTIFS(المخرجات!$B$5:$B$404,A9,المخرجات!$O$5:$O$404,"تم القبول"))</f>
        <v/>
      </c>
      <c r="L9" s="26" t="str">
        <f aca="false">IF(A9="","",COUNTIFS(المخرجات!$B$5:$B$404,A9,المخرجات!$O$5:$O$404,"متأخر"))</f>
        <v/>
      </c>
      <c r="M9" s="27" t="str">
        <f aca="false">IF(OR(A9="",N(D9)=0),"",K9/D9)</f>
        <v/>
      </c>
      <c r="N9" s="25" t="str">
        <f aca="false">IF(A9="","",K9*E9)</f>
        <v/>
      </c>
      <c r="O9" s="25" t="str">
        <f aca="false">IF(A9="","",F9-N9)</f>
        <v/>
      </c>
    </row>
    <row r="10" customFormat="false" ht="15" hidden="false" customHeight="false" outlineLevel="0" collapsed="false">
      <c r="A10" s="20"/>
      <c r="B10" s="21"/>
      <c r="C10" s="22"/>
      <c r="D10" s="23"/>
      <c r="E10" s="24"/>
      <c r="F10" s="25" t="str">
        <f aca="false">IF(A10="","",D10*E10)</f>
        <v/>
      </c>
      <c r="G10" s="25" t="str">
        <f aca="false">IF(A10="","",F10*نسبة_الضريبة)</f>
        <v/>
      </c>
      <c r="H10" s="25" t="str">
        <f aca="false">IF(A10="","",F10+G10)</f>
        <v/>
      </c>
      <c r="I10" s="26" t="str">
        <f aca="false">IF(A10="","",COUNTIF(المخرجات!$B$5:$B$404,A10))</f>
        <v/>
      </c>
      <c r="J10" s="26" t="str">
        <f aca="false">IF(A10="","",COUNTIFS(المخرجات!$B$5:$B$404,A10,المخرجات!$J$5:$J$404,"&gt;0"))</f>
        <v/>
      </c>
      <c r="K10" s="26" t="str">
        <f aca="false">IF(A10="","",COUNTIFS(المخرجات!$B$5:$B$404,A10,المخرجات!$O$5:$O$404,"تم القبول"))</f>
        <v/>
      </c>
      <c r="L10" s="26" t="str">
        <f aca="false">IF(A10="","",COUNTIFS(المخرجات!$B$5:$B$404,A10,المخرجات!$O$5:$O$404,"متأخر"))</f>
        <v/>
      </c>
      <c r="M10" s="27" t="str">
        <f aca="false">IF(OR(A10="",N(D10)=0),"",K10/D10)</f>
        <v/>
      </c>
      <c r="N10" s="25" t="str">
        <f aca="false">IF(A10="","",K10*E10)</f>
        <v/>
      </c>
      <c r="O10" s="25" t="str">
        <f aca="false">IF(A10="","",F10-N10)</f>
        <v/>
      </c>
    </row>
    <row r="11" customFormat="false" ht="15" hidden="false" customHeight="false" outlineLevel="0" collapsed="false">
      <c r="A11" s="20"/>
      <c r="B11" s="21"/>
      <c r="C11" s="22"/>
      <c r="D11" s="23"/>
      <c r="E11" s="24"/>
      <c r="F11" s="25" t="str">
        <f aca="false">IF(A11="","",D11*E11)</f>
        <v/>
      </c>
      <c r="G11" s="25" t="str">
        <f aca="false">IF(A11="","",F11*نسبة_الضريبة)</f>
        <v/>
      </c>
      <c r="H11" s="25" t="str">
        <f aca="false">IF(A11="","",F11+G11)</f>
        <v/>
      </c>
      <c r="I11" s="26" t="str">
        <f aca="false">IF(A11="","",COUNTIF(المخرجات!$B$5:$B$404,A11))</f>
        <v/>
      </c>
      <c r="J11" s="26" t="str">
        <f aca="false">IF(A11="","",COUNTIFS(المخرجات!$B$5:$B$404,A11,المخرجات!$J$5:$J$404,"&gt;0"))</f>
        <v/>
      </c>
      <c r="K11" s="26" t="str">
        <f aca="false">IF(A11="","",COUNTIFS(المخرجات!$B$5:$B$404,A11,المخرجات!$O$5:$O$404,"تم القبول"))</f>
        <v/>
      </c>
      <c r="L11" s="26" t="str">
        <f aca="false">IF(A11="","",COUNTIFS(المخرجات!$B$5:$B$404,A11,المخرجات!$O$5:$O$404,"متأخر"))</f>
        <v/>
      </c>
      <c r="M11" s="27" t="str">
        <f aca="false">IF(OR(A11="",N(D11)=0),"",K11/D11)</f>
        <v/>
      </c>
      <c r="N11" s="25" t="str">
        <f aca="false">IF(A11="","",K11*E11)</f>
        <v/>
      </c>
      <c r="O11" s="25" t="str">
        <f aca="false">IF(A11="","",F11-N11)</f>
        <v/>
      </c>
    </row>
    <row r="12" customFormat="false" ht="15" hidden="false" customHeight="false" outlineLevel="0" collapsed="false">
      <c r="A12" s="20"/>
      <c r="B12" s="21"/>
      <c r="C12" s="22"/>
      <c r="D12" s="23"/>
      <c r="E12" s="24"/>
      <c r="F12" s="25" t="str">
        <f aca="false">IF(A12="","",D12*E12)</f>
        <v/>
      </c>
      <c r="G12" s="25" t="str">
        <f aca="false">IF(A12="","",F12*نسبة_الضريبة)</f>
        <v/>
      </c>
      <c r="H12" s="25" t="str">
        <f aca="false">IF(A12="","",F12+G12)</f>
        <v/>
      </c>
      <c r="I12" s="26" t="str">
        <f aca="false">IF(A12="","",COUNTIF(المخرجات!$B$5:$B$404,A12))</f>
        <v/>
      </c>
      <c r="J12" s="26" t="str">
        <f aca="false">IF(A12="","",COUNTIFS(المخرجات!$B$5:$B$404,A12,المخرجات!$J$5:$J$404,"&gt;0"))</f>
        <v/>
      </c>
      <c r="K12" s="26" t="str">
        <f aca="false">IF(A12="","",COUNTIFS(المخرجات!$B$5:$B$404,A12,المخرجات!$O$5:$O$404,"تم القبول"))</f>
        <v/>
      </c>
      <c r="L12" s="26" t="str">
        <f aca="false">IF(A12="","",COUNTIFS(المخرجات!$B$5:$B$404,A12,المخرجات!$O$5:$O$404,"متأخر"))</f>
        <v/>
      </c>
      <c r="M12" s="27" t="str">
        <f aca="false">IF(OR(A12="",N(D12)=0),"",K12/D12)</f>
        <v/>
      </c>
      <c r="N12" s="25" t="str">
        <f aca="false">IF(A12="","",K12*E12)</f>
        <v/>
      </c>
      <c r="O12" s="25" t="str">
        <f aca="false">IF(A12="","",F12-N12)</f>
        <v/>
      </c>
    </row>
    <row r="13" customFormat="false" ht="15" hidden="false" customHeight="false" outlineLevel="0" collapsed="false">
      <c r="A13" s="20"/>
      <c r="B13" s="21"/>
      <c r="C13" s="22"/>
      <c r="D13" s="23"/>
      <c r="E13" s="24"/>
      <c r="F13" s="25" t="str">
        <f aca="false">IF(A13="","",D13*E13)</f>
        <v/>
      </c>
      <c r="G13" s="25" t="str">
        <f aca="false">IF(A13="","",F13*نسبة_الضريبة)</f>
        <v/>
      </c>
      <c r="H13" s="25" t="str">
        <f aca="false">IF(A13="","",F13+G13)</f>
        <v/>
      </c>
      <c r="I13" s="26" t="str">
        <f aca="false">IF(A13="","",COUNTIF(المخرجات!$B$5:$B$404,A13))</f>
        <v/>
      </c>
      <c r="J13" s="26" t="str">
        <f aca="false">IF(A13="","",COUNTIFS(المخرجات!$B$5:$B$404,A13,المخرجات!$J$5:$J$404,"&gt;0"))</f>
        <v/>
      </c>
      <c r="K13" s="26" t="str">
        <f aca="false">IF(A13="","",COUNTIFS(المخرجات!$B$5:$B$404,A13,المخرجات!$O$5:$O$404,"تم القبول"))</f>
        <v/>
      </c>
      <c r="L13" s="26" t="str">
        <f aca="false">IF(A13="","",COUNTIFS(المخرجات!$B$5:$B$404,A13,المخرجات!$O$5:$O$404,"متأخر"))</f>
        <v/>
      </c>
      <c r="M13" s="27" t="str">
        <f aca="false">IF(OR(A13="",N(D13)=0),"",K13/D13)</f>
        <v/>
      </c>
      <c r="N13" s="25" t="str">
        <f aca="false">IF(A13="","",K13*E13)</f>
        <v/>
      </c>
      <c r="O13" s="25" t="str">
        <f aca="false">IF(A13="","",F13-N13)</f>
        <v/>
      </c>
    </row>
    <row r="14" customFormat="false" ht="15" hidden="false" customHeight="false" outlineLevel="0" collapsed="false">
      <c r="A14" s="20"/>
      <c r="B14" s="21"/>
      <c r="C14" s="22"/>
      <c r="D14" s="23"/>
      <c r="E14" s="24"/>
      <c r="F14" s="25" t="str">
        <f aca="false">IF(A14="","",D14*E14)</f>
        <v/>
      </c>
      <c r="G14" s="25" t="str">
        <f aca="false">IF(A14="","",F14*نسبة_الضريبة)</f>
        <v/>
      </c>
      <c r="H14" s="25" t="str">
        <f aca="false">IF(A14="","",F14+G14)</f>
        <v/>
      </c>
      <c r="I14" s="26" t="str">
        <f aca="false">IF(A14="","",COUNTIF(المخرجات!$B$5:$B$404,A14))</f>
        <v/>
      </c>
      <c r="J14" s="26" t="str">
        <f aca="false">IF(A14="","",COUNTIFS(المخرجات!$B$5:$B$404,A14,المخرجات!$J$5:$J$404,"&gt;0"))</f>
        <v/>
      </c>
      <c r="K14" s="26" t="str">
        <f aca="false">IF(A14="","",COUNTIFS(المخرجات!$B$5:$B$404,A14,المخرجات!$O$5:$O$404,"تم القبول"))</f>
        <v/>
      </c>
      <c r="L14" s="26" t="str">
        <f aca="false">IF(A14="","",COUNTIFS(المخرجات!$B$5:$B$404,A14,المخرجات!$O$5:$O$404,"متأخر"))</f>
        <v/>
      </c>
      <c r="M14" s="27" t="str">
        <f aca="false">IF(OR(A14="",N(D14)=0),"",K14/D14)</f>
        <v/>
      </c>
      <c r="N14" s="25" t="str">
        <f aca="false">IF(A14="","",K14*E14)</f>
        <v/>
      </c>
      <c r="O14" s="25" t="str">
        <f aca="false">IF(A14="","",F14-N14)</f>
        <v/>
      </c>
    </row>
    <row r="15" customFormat="false" ht="15" hidden="false" customHeight="false" outlineLevel="0" collapsed="false">
      <c r="A15" s="20"/>
      <c r="B15" s="21"/>
      <c r="C15" s="22"/>
      <c r="D15" s="23"/>
      <c r="E15" s="24"/>
      <c r="F15" s="25" t="str">
        <f aca="false">IF(A15="","",D15*E15)</f>
        <v/>
      </c>
      <c r="G15" s="25" t="str">
        <f aca="false">IF(A15="","",F15*نسبة_الضريبة)</f>
        <v/>
      </c>
      <c r="H15" s="25" t="str">
        <f aca="false">IF(A15="","",F15+G15)</f>
        <v/>
      </c>
      <c r="I15" s="26" t="str">
        <f aca="false">IF(A15="","",COUNTIF(المخرجات!$B$5:$B$404,A15))</f>
        <v/>
      </c>
      <c r="J15" s="26" t="str">
        <f aca="false">IF(A15="","",COUNTIFS(المخرجات!$B$5:$B$404,A15,المخرجات!$J$5:$J$404,"&gt;0"))</f>
        <v/>
      </c>
      <c r="K15" s="26" t="str">
        <f aca="false">IF(A15="","",COUNTIFS(المخرجات!$B$5:$B$404,A15,المخرجات!$O$5:$O$404,"تم القبول"))</f>
        <v/>
      </c>
      <c r="L15" s="26" t="str">
        <f aca="false">IF(A15="","",COUNTIFS(المخرجات!$B$5:$B$404,A15,المخرجات!$O$5:$O$404,"متأخر"))</f>
        <v/>
      </c>
      <c r="M15" s="27" t="str">
        <f aca="false">IF(OR(A15="",N(D15)=0),"",K15/D15)</f>
        <v/>
      </c>
      <c r="N15" s="25" t="str">
        <f aca="false">IF(A15="","",K15*E15)</f>
        <v/>
      </c>
      <c r="O15" s="25" t="str">
        <f aca="false">IF(A15="","",F15-N15)</f>
        <v/>
      </c>
    </row>
    <row r="16" customFormat="false" ht="15" hidden="false" customHeight="false" outlineLevel="0" collapsed="false">
      <c r="A16" s="20"/>
      <c r="B16" s="21"/>
      <c r="C16" s="22"/>
      <c r="D16" s="23"/>
      <c r="E16" s="24"/>
      <c r="F16" s="25" t="str">
        <f aca="false">IF(A16="","",D16*E16)</f>
        <v/>
      </c>
      <c r="G16" s="25" t="str">
        <f aca="false">IF(A16="","",F16*نسبة_الضريبة)</f>
        <v/>
      </c>
      <c r="H16" s="25" t="str">
        <f aca="false">IF(A16="","",F16+G16)</f>
        <v/>
      </c>
      <c r="I16" s="26" t="str">
        <f aca="false">IF(A16="","",COUNTIF(المخرجات!$B$5:$B$404,A16))</f>
        <v/>
      </c>
      <c r="J16" s="26" t="str">
        <f aca="false">IF(A16="","",COUNTIFS(المخرجات!$B$5:$B$404,A16,المخرجات!$J$5:$J$404,"&gt;0"))</f>
        <v/>
      </c>
      <c r="K16" s="26" t="str">
        <f aca="false">IF(A16="","",COUNTIFS(المخرجات!$B$5:$B$404,A16,المخرجات!$O$5:$O$404,"تم القبول"))</f>
        <v/>
      </c>
      <c r="L16" s="26" t="str">
        <f aca="false">IF(A16="","",COUNTIFS(المخرجات!$B$5:$B$404,A16,المخرجات!$O$5:$O$404,"متأخر"))</f>
        <v/>
      </c>
      <c r="M16" s="27" t="str">
        <f aca="false">IF(OR(A16="",N(D16)=0),"",K16/D16)</f>
        <v/>
      </c>
      <c r="N16" s="25" t="str">
        <f aca="false">IF(A16="","",K16*E16)</f>
        <v/>
      </c>
      <c r="O16" s="25" t="str">
        <f aca="false">IF(A16="","",F16-N16)</f>
        <v/>
      </c>
    </row>
    <row r="17" customFormat="false" ht="15" hidden="false" customHeight="false" outlineLevel="0" collapsed="false">
      <c r="A17" s="20"/>
      <c r="B17" s="21"/>
      <c r="C17" s="22"/>
      <c r="D17" s="23"/>
      <c r="E17" s="24"/>
      <c r="F17" s="25" t="str">
        <f aca="false">IF(A17="","",D17*E17)</f>
        <v/>
      </c>
      <c r="G17" s="25" t="str">
        <f aca="false">IF(A17="","",F17*نسبة_الضريبة)</f>
        <v/>
      </c>
      <c r="H17" s="25" t="str">
        <f aca="false">IF(A17="","",F17+G17)</f>
        <v/>
      </c>
      <c r="I17" s="26" t="str">
        <f aca="false">IF(A17="","",COUNTIF(المخرجات!$B$5:$B$404,A17))</f>
        <v/>
      </c>
      <c r="J17" s="26" t="str">
        <f aca="false">IF(A17="","",COUNTIFS(المخرجات!$B$5:$B$404,A17,المخرجات!$J$5:$J$404,"&gt;0"))</f>
        <v/>
      </c>
      <c r="K17" s="26" t="str">
        <f aca="false">IF(A17="","",COUNTIFS(المخرجات!$B$5:$B$404,A17,المخرجات!$O$5:$O$404,"تم القبول"))</f>
        <v/>
      </c>
      <c r="L17" s="26" t="str">
        <f aca="false">IF(A17="","",COUNTIFS(المخرجات!$B$5:$B$404,A17,المخرجات!$O$5:$O$404,"متأخر"))</f>
        <v/>
      </c>
      <c r="M17" s="27" t="str">
        <f aca="false">IF(OR(A17="",N(D17)=0),"",K17/D17)</f>
        <v/>
      </c>
      <c r="N17" s="25" t="str">
        <f aca="false">IF(A17="","",K17*E17)</f>
        <v/>
      </c>
      <c r="O17" s="25" t="str">
        <f aca="false">IF(A17="","",F17-N17)</f>
        <v/>
      </c>
    </row>
    <row r="18" customFormat="false" ht="15" hidden="false" customHeight="false" outlineLevel="0" collapsed="false">
      <c r="A18" s="20"/>
      <c r="B18" s="21"/>
      <c r="C18" s="22"/>
      <c r="D18" s="23"/>
      <c r="E18" s="24"/>
      <c r="F18" s="25" t="str">
        <f aca="false">IF(A18="","",D18*E18)</f>
        <v/>
      </c>
      <c r="G18" s="25" t="str">
        <f aca="false">IF(A18="","",F18*نسبة_الضريبة)</f>
        <v/>
      </c>
      <c r="H18" s="25" t="str">
        <f aca="false">IF(A18="","",F18+G18)</f>
        <v/>
      </c>
      <c r="I18" s="26" t="str">
        <f aca="false">IF(A18="","",COUNTIF(المخرجات!$B$5:$B$404,A18))</f>
        <v/>
      </c>
      <c r="J18" s="26" t="str">
        <f aca="false">IF(A18="","",COUNTIFS(المخرجات!$B$5:$B$404,A18,المخرجات!$J$5:$J$404,"&gt;0"))</f>
        <v/>
      </c>
      <c r="K18" s="26" t="str">
        <f aca="false">IF(A18="","",COUNTIFS(المخرجات!$B$5:$B$404,A18,المخرجات!$O$5:$O$404,"تم القبول"))</f>
        <v/>
      </c>
      <c r="L18" s="26" t="str">
        <f aca="false">IF(A18="","",COUNTIFS(المخرجات!$B$5:$B$404,A18,المخرجات!$O$5:$O$404,"متأخر"))</f>
        <v/>
      </c>
      <c r="M18" s="27" t="str">
        <f aca="false">IF(OR(A18="",N(D18)=0),"",K18/D18)</f>
        <v/>
      </c>
      <c r="N18" s="25" t="str">
        <f aca="false">IF(A18="","",K18*E18)</f>
        <v/>
      </c>
      <c r="O18" s="25" t="str">
        <f aca="false">IF(A18="","",F18-N18)</f>
        <v/>
      </c>
    </row>
    <row r="19" customFormat="false" ht="15" hidden="false" customHeight="false" outlineLevel="0" collapsed="false">
      <c r="A19" s="20"/>
      <c r="B19" s="21"/>
      <c r="C19" s="22"/>
      <c r="D19" s="23"/>
      <c r="E19" s="24"/>
      <c r="F19" s="25" t="str">
        <f aca="false">IF(A19="","",D19*E19)</f>
        <v/>
      </c>
      <c r="G19" s="25" t="str">
        <f aca="false">IF(A19="","",F19*نسبة_الضريبة)</f>
        <v/>
      </c>
      <c r="H19" s="25" t="str">
        <f aca="false">IF(A19="","",F19+G19)</f>
        <v/>
      </c>
      <c r="I19" s="26" t="str">
        <f aca="false">IF(A19="","",COUNTIF(المخرجات!$B$5:$B$404,A19))</f>
        <v/>
      </c>
      <c r="J19" s="26" t="str">
        <f aca="false">IF(A19="","",COUNTIFS(المخرجات!$B$5:$B$404,A19,المخرجات!$J$5:$J$404,"&gt;0"))</f>
        <v/>
      </c>
      <c r="K19" s="26" t="str">
        <f aca="false">IF(A19="","",COUNTIFS(المخرجات!$B$5:$B$404,A19,المخرجات!$O$5:$O$404,"تم القبول"))</f>
        <v/>
      </c>
      <c r="L19" s="26" t="str">
        <f aca="false">IF(A19="","",COUNTIFS(المخرجات!$B$5:$B$404,A19,المخرجات!$O$5:$O$404,"متأخر"))</f>
        <v/>
      </c>
      <c r="M19" s="27" t="str">
        <f aca="false">IF(OR(A19="",N(D19)=0),"",K19/D19)</f>
        <v/>
      </c>
      <c r="N19" s="25" t="str">
        <f aca="false">IF(A19="","",K19*E19)</f>
        <v/>
      </c>
      <c r="O19" s="25" t="str">
        <f aca="false">IF(A19="","",F19-N19)</f>
        <v/>
      </c>
    </row>
    <row r="20" customFormat="false" ht="15" hidden="false" customHeight="false" outlineLevel="0" collapsed="false">
      <c r="A20" s="20"/>
      <c r="B20" s="21"/>
      <c r="C20" s="22"/>
      <c r="D20" s="23"/>
      <c r="E20" s="24"/>
      <c r="F20" s="25" t="str">
        <f aca="false">IF(A20="","",D20*E20)</f>
        <v/>
      </c>
      <c r="G20" s="25" t="str">
        <f aca="false">IF(A20="","",F20*نسبة_الضريبة)</f>
        <v/>
      </c>
      <c r="H20" s="25" t="str">
        <f aca="false">IF(A20="","",F20+G20)</f>
        <v/>
      </c>
      <c r="I20" s="26" t="str">
        <f aca="false">IF(A20="","",COUNTIF(المخرجات!$B$5:$B$404,A20))</f>
        <v/>
      </c>
      <c r="J20" s="26" t="str">
        <f aca="false">IF(A20="","",COUNTIFS(المخرجات!$B$5:$B$404,A20,المخرجات!$J$5:$J$404,"&gt;0"))</f>
        <v/>
      </c>
      <c r="K20" s="26" t="str">
        <f aca="false">IF(A20="","",COUNTIFS(المخرجات!$B$5:$B$404,A20,المخرجات!$O$5:$O$404,"تم القبول"))</f>
        <v/>
      </c>
      <c r="L20" s="26" t="str">
        <f aca="false">IF(A20="","",COUNTIFS(المخرجات!$B$5:$B$404,A20,المخرجات!$O$5:$O$404,"متأخر"))</f>
        <v/>
      </c>
      <c r="M20" s="27" t="str">
        <f aca="false">IF(OR(A20="",N(D20)=0),"",K20/D20)</f>
        <v/>
      </c>
      <c r="N20" s="25" t="str">
        <f aca="false">IF(A20="","",K20*E20)</f>
        <v/>
      </c>
      <c r="O20" s="25" t="str">
        <f aca="false">IF(A20="","",F20-N20)</f>
        <v/>
      </c>
    </row>
    <row r="21" customFormat="false" ht="15" hidden="false" customHeight="false" outlineLevel="0" collapsed="false">
      <c r="A21" s="20"/>
      <c r="B21" s="21"/>
      <c r="C21" s="22"/>
      <c r="D21" s="23"/>
      <c r="E21" s="24"/>
      <c r="F21" s="25" t="str">
        <f aca="false">IF(A21="","",D21*E21)</f>
        <v/>
      </c>
      <c r="G21" s="25" t="str">
        <f aca="false">IF(A21="","",F21*نسبة_الضريبة)</f>
        <v/>
      </c>
      <c r="H21" s="25" t="str">
        <f aca="false">IF(A21="","",F21+G21)</f>
        <v/>
      </c>
      <c r="I21" s="26" t="str">
        <f aca="false">IF(A21="","",COUNTIF(المخرجات!$B$5:$B$404,A21))</f>
        <v/>
      </c>
      <c r="J21" s="26" t="str">
        <f aca="false">IF(A21="","",COUNTIFS(المخرجات!$B$5:$B$404,A21,المخرجات!$J$5:$J$404,"&gt;0"))</f>
        <v/>
      </c>
      <c r="K21" s="26" t="str">
        <f aca="false">IF(A21="","",COUNTIFS(المخرجات!$B$5:$B$404,A21,المخرجات!$O$5:$O$404,"تم القبول"))</f>
        <v/>
      </c>
      <c r="L21" s="26" t="str">
        <f aca="false">IF(A21="","",COUNTIFS(المخرجات!$B$5:$B$404,A21,المخرجات!$O$5:$O$404,"متأخر"))</f>
        <v/>
      </c>
      <c r="M21" s="27" t="str">
        <f aca="false">IF(OR(A21="",N(D21)=0),"",K21/D21)</f>
        <v/>
      </c>
      <c r="N21" s="25" t="str">
        <f aca="false">IF(A21="","",K21*E21)</f>
        <v/>
      </c>
      <c r="O21" s="25" t="str">
        <f aca="false">IF(A21="","",F21-N21)</f>
        <v/>
      </c>
    </row>
    <row r="22" customFormat="false" ht="15" hidden="false" customHeight="false" outlineLevel="0" collapsed="false">
      <c r="A22" s="20"/>
      <c r="B22" s="21"/>
      <c r="C22" s="22"/>
      <c r="D22" s="23"/>
      <c r="E22" s="24"/>
      <c r="F22" s="25" t="str">
        <f aca="false">IF(A22="","",D22*E22)</f>
        <v/>
      </c>
      <c r="G22" s="25" t="str">
        <f aca="false">IF(A22="","",F22*نسبة_الضريبة)</f>
        <v/>
      </c>
      <c r="H22" s="25" t="str">
        <f aca="false">IF(A22="","",F22+G22)</f>
        <v/>
      </c>
      <c r="I22" s="26" t="str">
        <f aca="false">IF(A22="","",COUNTIF(المخرجات!$B$5:$B$404,A22))</f>
        <v/>
      </c>
      <c r="J22" s="26" t="str">
        <f aca="false">IF(A22="","",COUNTIFS(المخرجات!$B$5:$B$404,A22,المخرجات!$J$5:$J$404,"&gt;0"))</f>
        <v/>
      </c>
      <c r="K22" s="26" t="str">
        <f aca="false">IF(A22="","",COUNTIFS(المخرجات!$B$5:$B$404,A22,المخرجات!$O$5:$O$404,"تم القبول"))</f>
        <v/>
      </c>
      <c r="L22" s="26" t="str">
        <f aca="false">IF(A22="","",COUNTIFS(المخرجات!$B$5:$B$404,A22,المخرجات!$O$5:$O$404,"متأخر"))</f>
        <v/>
      </c>
      <c r="M22" s="27" t="str">
        <f aca="false">IF(OR(A22="",N(D22)=0),"",K22/D22)</f>
        <v/>
      </c>
      <c r="N22" s="25" t="str">
        <f aca="false">IF(A22="","",K22*E22)</f>
        <v/>
      </c>
      <c r="O22" s="25" t="str">
        <f aca="false">IF(A22="","",F22-N22)</f>
        <v/>
      </c>
    </row>
    <row r="23" customFormat="false" ht="15" hidden="false" customHeight="false" outlineLevel="0" collapsed="false">
      <c r="A23" s="20"/>
      <c r="B23" s="21"/>
      <c r="C23" s="22"/>
      <c r="D23" s="23"/>
      <c r="E23" s="24"/>
      <c r="F23" s="25" t="str">
        <f aca="false">IF(A23="","",D23*E23)</f>
        <v/>
      </c>
      <c r="G23" s="25" t="str">
        <f aca="false">IF(A23="","",F23*نسبة_الضريبة)</f>
        <v/>
      </c>
      <c r="H23" s="25" t="str">
        <f aca="false">IF(A23="","",F23+G23)</f>
        <v/>
      </c>
      <c r="I23" s="26" t="str">
        <f aca="false">IF(A23="","",COUNTIF(المخرجات!$B$5:$B$404,A23))</f>
        <v/>
      </c>
      <c r="J23" s="26" t="str">
        <f aca="false">IF(A23="","",COUNTIFS(المخرجات!$B$5:$B$404,A23,المخرجات!$J$5:$J$404,"&gt;0"))</f>
        <v/>
      </c>
      <c r="K23" s="26" t="str">
        <f aca="false">IF(A23="","",COUNTIFS(المخرجات!$B$5:$B$404,A23,المخرجات!$O$5:$O$404,"تم القبول"))</f>
        <v/>
      </c>
      <c r="L23" s="26" t="str">
        <f aca="false">IF(A23="","",COUNTIFS(المخرجات!$B$5:$B$404,A23,المخرجات!$O$5:$O$404,"متأخر"))</f>
        <v/>
      </c>
      <c r="M23" s="27" t="str">
        <f aca="false">IF(OR(A23="",N(D23)=0),"",K23/D23)</f>
        <v/>
      </c>
      <c r="N23" s="25" t="str">
        <f aca="false">IF(A23="","",K23*E23)</f>
        <v/>
      </c>
      <c r="O23" s="25" t="str">
        <f aca="false">IF(A23="","",F23-N23)</f>
        <v/>
      </c>
    </row>
    <row r="24" customFormat="false" ht="15" hidden="false" customHeight="false" outlineLevel="0" collapsed="false">
      <c r="A24" s="20"/>
      <c r="B24" s="21"/>
      <c r="C24" s="22"/>
      <c r="D24" s="23"/>
      <c r="E24" s="24"/>
      <c r="F24" s="25" t="str">
        <f aca="false">IF(A24="","",D24*E24)</f>
        <v/>
      </c>
      <c r="G24" s="25" t="str">
        <f aca="false">IF(A24="","",F24*نسبة_الضريبة)</f>
        <v/>
      </c>
      <c r="H24" s="25" t="str">
        <f aca="false">IF(A24="","",F24+G24)</f>
        <v/>
      </c>
      <c r="I24" s="26" t="str">
        <f aca="false">IF(A24="","",COUNTIF(المخرجات!$B$5:$B$404,A24))</f>
        <v/>
      </c>
      <c r="J24" s="26" t="str">
        <f aca="false">IF(A24="","",COUNTIFS(المخرجات!$B$5:$B$404,A24,المخرجات!$J$5:$J$404,"&gt;0"))</f>
        <v/>
      </c>
      <c r="K24" s="26" t="str">
        <f aca="false">IF(A24="","",COUNTIFS(المخرجات!$B$5:$B$404,A24,المخرجات!$O$5:$O$404,"تم القبول"))</f>
        <v/>
      </c>
      <c r="L24" s="26" t="str">
        <f aca="false">IF(A24="","",COUNTIFS(المخرجات!$B$5:$B$404,A24,المخرجات!$O$5:$O$404,"متأخر"))</f>
        <v/>
      </c>
      <c r="M24" s="27" t="str">
        <f aca="false">IF(OR(A24="",N(D24)=0),"",K24/D24)</f>
        <v/>
      </c>
      <c r="N24" s="25" t="str">
        <f aca="false">IF(A24="","",K24*E24)</f>
        <v/>
      </c>
      <c r="O24" s="25" t="str">
        <f aca="false">IF(A24="","",F24-N24)</f>
        <v/>
      </c>
    </row>
    <row r="25" customFormat="false" ht="15" hidden="false" customHeight="false" outlineLevel="0" collapsed="false">
      <c r="A25" s="20"/>
      <c r="B25" s="21"/>
      <c r="C25" s="22"/>
      <c r="D25" s="23"/>
      <c r="E25" s="24"/>
      <c r="F25" s="25" t="str">
        <f aca="false">IF(A25="","",D25*E25)</f>
        <v/>
      </c>
      <c r="G25" s="25" t="str">
        <f aca="false">IF(A25="","",F25*نسبة_الضريبة)</f>
        <v/>
      </c>
      <c r="H25" s="25" t="str">
        <f aca="false">IF(A25="","",F25+G25)</f>
        <v/>
      </c>
      <c r="I25" s="26" t="str">
        <f aca="false">IF(A25="","",COUNTIF(المخرجات!$B$5:$B$404,A25))</f>
        <v/>
      </c>
      <c r="J25" s="26" t="str">
        <f aca="false">IF(A25="","",COUNTIFS(المخرجات!$B$5:$B$404,A25,المخرجات!$J$5:$J$404,"&gt;0"))</f>
        <v/>
      </c>
      <c r="K25" s="26" t="str">
        <f aca="false">IF(A25="","",COUNTIFS(المخرجات!$B$5:$B$404,A25,المخرجات!$O$5:$O$404,"تم القبول"))</f>
        <v/>
      </c>
      <c r="L25" s="26" t="str">
        <f aca="false">IF(A25="","",COUNTIFS(المخرجات!$B$5:$B$404,A25,المخرجات!$O$5:$O$404,"متأخر"))</f>
        <v/>
      </c>
      <c r="M25" s="27" t="str">
        <f aca="false">IF(OR(A25="",N(D25)=0),"",K25/D25)</f>
        <v/>
      </c>
      <c r="N25" s="25" t="str">
        <f aca="false">IF(A25="","",K25*E25)</f>
        <v/>
      </c>
      <c r="O25" s="25" t="str">
        <f aca="false">IF(A25="","",F25-N25)</f>
        <v/>
      </c>
    </row>
    <row r="26" customFormat="false" ht="15" hidden="false" customHeight="false" outlineLevel="0" collapsed="false">
      <c r="A26" s="20"/>
      <c r="B26" s="21"/>
      <c r="C26" s="22"/>
      <c r="D26" s="23"/>
      <c r="E26" s="24"/>
      <c r="F26" s="25" t="str">
        <f aca="false">IF(A26="","",D26*E26)</f>
        <v/>
      </c>
      <c r="G26" s="25" t="str">
        <f aca="false">IF(A26="","",F26*نسبة_الضريبة)</f>
        <v/>
      </c>
      <c r="H26" s="25" t="str">
        <f aca="false">IF(A26="","",F26+G26)</f>
        <v/>
      </c>
      <c r="I26" s="26" t="str">
        <f aca="false">IF(A26="","",COUNTIF(المخرجات!$B$5:$B$404,A26))</f>
        <v/>
      </c>
      <c r="J26" s="26" t="str">
        <f aca="false">IF(A26="","",COUNTIFS(المخرجات!$B$5:$B$404,A26,المخرجات!$J$5:$J$404,"&gt;0"))</f>
        <v/>
      </c>
      <c r="K26" s="26" t="str">
        <f aca="false">IF(A26="","",COUNTIFS(المخرجات!$B$5:$B$404,A26,المخرجات!$O$5:$O$404,"تم القبول"))</f>
        <v/>
      </c>
      <c r="L26" s="26" t="str">
        <f aca="false">IF(A26="","",COUNTIFS(المخرجات!$B$5:$B$404,A26,المخرجات!$O$5:$O$404,"متأخر"))</f>
        <v/>
      </c>
      <c r="M26" s="27" t="str">
        <f aca="false">IF(OR(A26="",N(D26)=0),"",K26/D26)</f>
        <v/>
      </c>
      <c r="N26" s="25" t="str">
        <f aca="false">IF(A26="","",K26*E26)</f>
        <v/>
      </c>
      <c r="O26" s="25" t="str">
        <f aca="false">IF(A26="","",F26-N26)</f>
        <v/>
      </c>
    </row>
    <row r="27" customFormat="false" ht="15" hidden="false" customHeight="false" outlineLevel="0" collapsed="false">
      <c r="A27" s="20"/>
      <c r="B27" s="21"/>
      <c r="C27" s="22"/>
      <c r="D27" s="23"/>
      <c r="E27" s="24"/>
      <c r="F27" s="25" t="str">
        <f aca="false">IF(A27="","",D27*E27)</f>
        <v/>
      </c>
      <c r="G27" s="25" t="str">
        <f aca="false">IF(A27="","",F27*نسبة_الضريبة)</f>
        <v/>
      </c>
      <c r="H27" s="25" t="str">
        <f aca="false">IF(A27="","",F27+G27)</f>
        <v/>
      </c>
      <c r="I27" s="26" t="str">
        <f aca="false">IF(A27="","",COUNTIF(المخرجات!$B$5:$B$404,A27))</f>
        <v/>
      </c>
      <c r="J27" s="26" t="str">
        <f aca="false">IF(A27="","",COUNTIFS(المخرجات!$B$5:$B$404,A27,المخرجات!$J$5:$J$404,"&gt;0"))</f>
        <v/>
      </c>
      <c r="K27" s="26" t="str">
        <f aca="false">IF(A27="","",COUNTIFS(المخرجات!$B$5:$B$404,A27,المخرجات!$O$5:$O$404,"تم القبول"))</f>
        <v/>
      </c>
      <c r="L27" s="26" t="str">
        <f aca="false">IF(A27="","",COUNTIFS(المخرجات!$B$5:$B$404,A27,المخرجات!$O$5:$O$404,"متأخر"))</f>
        <v/>
      </c>
      <c r="M27" s="27" t="str">
        <f aca="false">IF(OR(A27="",N(D27)=0),"",K27/D27)</f>
        <v/>
      </c>
      <c r="N27" s="25" t="str">
        <f aca="false">IF(A27="","",K27*E27)</f>
        <v/>
      </c>
      <c r="O27" s="25" t="str">
        <f aca="false">IF(A27="","",F27-N27)</f>
        <v/>
      </c>
    </row>
    <row r="28" customFormat="false" ht="15" hidden="false" customHeight="false" outlineLevel="0" collapsed="false">
      <c r="A28" s="20"/>
      <c r="B28" s="21"/>
      <c r="C28" s="22"/>
      <c r="D28" s="23"/>
      <c r="E28" s="24"/>
      <c r="F28" s="25" t="str">
        <f aca="false">IF(A28="","",D28*E28)</f>
        <v/>
      </c>
      <c r="G28" s="25" t="str">
        <f aca="false">IF(A28="","",F28*نسبة_الضريبة)</f>
        <v/>
      </c>
      <c r="H28" s="25" t="str">
        <f aca="false">IF(A28="","",F28+G28)</f>
        <v/>
      </c>
      <c r="I28" s="26" t="str">
        <f aca="false">IF(A28="","",COUNTIF(المخرجات!$B$5:$B$404,A28))</f>
        <v/>
      </c>
      <c r="J28" s="26" t="str">
        <f aca="false">IF(A28="","",COUNTIFS(المخرجات!$B$5:$B$404,A28,المخرجات!$J$5:$J$404,"&gt;0"))</f>
        <v/>
      </c>
      <c r="K28" s="26" t="str">
        <f aca="false">IF(A28="","",COUNTIFS(المخرجات!$B$5:$B$404,A28,المخرجات!$O$5:$O$404,"تم القبول"))</f>
        <v/>
      </c>
      <c r="L28" s="26" t="str">
        <f aca="false">IF(A28="","",COUNTIFS(المخرجات!$B$5:$B$404,A28,المخرجات!$O$5:$O$404,"متأخر"))</f>
        <v/>
      </c>
      <c r="M28" s="27" t="str">
        <f aca="false">IF(OR(A28="",N(D28)=0),"",K28/D28)</f>
        <v/>
      </c>
      <c r="N28" s="25" t="str">
        <f aca="false">IF(A28="","",K28*E28)</f>
        <v/>
      </c>
      <c r="O28" s="25" t="str">
        <f aca="false">IF(A28="","",F28-N28)</f>
        <v/>
      </c>
    </row>
    <row r="29" customFormat="false" ht="15" hidden="false" customHeight="false" outlineLevel="0" collapsed="false">
      <c r="A29" s="20"/>
      <c r="B29" s="21"/>
      <c r="C29" s="22"/>
      <c r="D29" s="23"/>
      <c r="E29" s="24"/>
      <c r="F29" s="25" t="str">
        <f aca="false">IF(A29="","",D29*E29)</f>
        <v/>
      </c>
      <c r="G29" s="25" t="str">
        <f aca="false">IF(A29="","",F29*نسبة_الضريبة)</f>
        <v/>
      </c>
      <c r="H29" s="25" t="str">
        <f aca="false">IF(A29="","",F29+G29)</f>
        <v/>
      </c>
      <c r="I29" s="26" t="str">
        <f aca="false">IF(A29="","",COUNTIF(المخرجات!$B$5:$B$404,A29))</f>
        <v/>
      </c>
      <c r="J29" s="26" t="str">
        <f aca="false">IF(A29="","",COUNTIFS(المخرجات!$B$5:$B$404,A29,المخرجات!$J$5:$J$404,"&gt;0"))</f>
        <v/>
      </c>
      <c r="K29" s="26" t="str">
        <f aca="false">IF(A29="","",COUNTIFS(المخرجات!$B$5:$B$404,A29,المخرجات!$O$5:$O$404,"تم القبول"))</f>
        <v/>
      </c>
      <c r="L29" s="26" t="str">
        <f aca="false">IF(A29="","",COUNTIFS(المخرجات!$B$5:$B$404,A29,المخرجات!$O$5:$O$404,"متأخر"))</f>
        <v/>
      </c>
      <c r="M29" s="27" t="str">
        <f aca="false">IF(OR(A29="",N(D29)=0),"",K29/D29)</f>
        <v/>
      </c>
      <c r="N29" s="25" t="str">
        <f aca="false">IF(A29="","",K29*E29)</f>
        <v/>
      </c>
      <c r="O29" s="25" t="str">
        <f aca="false">IF(A29="","",F29-N29)</f>
        <v/>
      </c>
    </row>
    <row r="30" customFormat="false" ht="15" hidden="false" customHeight="false" outlineLevel="0" collapsed="false">
      <c r="A30" s="20"/>
      <c r="B30" s="21"/>
      <c r="C30" s="22"/>
      <c r="D30" s="23"/>
      <c r="E30" s="24"/>
      <c r="F30" s="25" t="str">
        <f aca="false">IF(A30="","",D30*E30)</f>
        <v/>
      </c>
      <c r="G30" s="25" t="str">
        <f aca="false">IF(A30="","",F30*نسبة_الضريبة)</f>
        <v/>
      </c>
      <c r="H30" s="25" t="str">
        <f aca="false">IF(A30="","",F30+G30)</f>
        <v/>
      </c>
      <c r="I30" s="26" t="str">
        <f aca="false">IF(A30="","",COUNTIF(المخرجات!$B$5:$B$404,A30))</f>
        <v/>
      </c>
      <c r="J30" s="26" t="str">
        <f aca="false">IF(A30="","",COUNTIFS(المخرجات!$B$5:$B$404,A30,المخرجات!$J$5:$J$404,"&gt;0"))</f>
        <v/>
      </c>
      <c r="K30" s="26" t="str">
        <f aca="false">IF(A30="","",COUNTIFS(المخرجات!$B$5:$B$404,A30,المخرجات!$O$5:$O$404,"تم القبول"))</f>
        <v/>
      </c>
      <c r="L30" s="26" t="str">
        <f aca="false">IF(A30="","",COUNTIFS(المخرجات!$B$5:$B$404,A30,المخرجات!$O$5:$O$404,"متأخر"))</f>
        <v/>
      </c>
      <c r="M30" s="27" t="str">
        <f aca="false">IF(OR(A30="",N(D30)=0),"",K30/D30)</f>
        <v/>
      </c>
      <c r="N30" s="25" t="str">
        <f aca="false">IF(A30="","",K30*E30)</f>
        <v/>
      </c>
      <c r="O30" s="25" t="str">
        <f aca="false">IF(A30="","",F30-N30)</f>
        <v/>
      </c>
    </row>
    <row r="31" customFormat="false" ht="15" hidden="false" customHeight="false" outlineLevel="0" collapsed="false">
      <c r="A31" s="20"/>
      <c r="B31" s="21"/>
      <c r="C31" s="22"/>
      <c r="D31" s="23"/>
      <c r="E31" s="24"/>
      <c r="F31" s="25" t="str">
        <f aca="false">IF(A31="","",D31*E31)</f>
        <v/>
      </c>
      <c r="G31" s="25" t="str">
        <f aca="false">IF(A31="","",F31*نسبة_الضريبة)</f>
        <v/>
      </c>
      <c r="H31" s="25" t="str">
        <f aca="false">IF(A31="","",F31+G31)</f>
        <v/>
      </c>
      <c r="I31" s="26" t="str">
        <f aca="false">IF(A31="","",COUNTIF(المخرجات!$B$5:$B$404,A31))</f>
        <v/>
      </c>
      <c r="J31" s="26" t="str">
        <f aca="false">IF(A31="","",COUNTIFS(المخرجات!$B$5:$B$404,A31,المخرجات!$J$5:$J$404,"&gt;0"))</f>
        <v/>
      </c>
      <c r="K31" s="26" t="str">
        <f aca="false">IF(A31="","",COUNTIFS(المخرجات!$B$5:$B$404,A31,المخرجات!$O$5:$O$404,"تم القبول"))</f>
        <v/>
      </c>
      <c r="L31" s="26" t="str">
        <f aca="false">IF(A31="","",COUNTIFS(المخرجات!$B$5:$B$404,A31,المخرجات!$O$5:$O$404,"متأخر"))</f>
        <v/>
      </c>
      <c r="M31" s="27" t="str">
        <f aca="false">IF(OR(A31="",N(D31)=0),"",K31/D31)</f>
        <v/>
      </c>
      <c r="N31" s="25" t="str">
        <f aca="false">IF(A31="","",K31*E31)</f>
        <v/>
      </c>
      <c r="O31" s="25" t="str">
        <f aca="false">IF(A31="","",F31-N31)</f>
        <v/>
      </c>
    </row>
    <row r="32" customFormat="false" ht="15" hidden="false" customHeight="false" outlineLevel="0" collapsed="false">
      <c r="A32" s="20"/>
      <c r="B32" s="21"/>
      <c r="C32" s="22"/>
      <c r="D32" s="23"/>
      <c r="E32" s="24"/>
      <c r="F32" s="25" t="str">
        <f aca="false">IF(A32="","",D32*E32)</f>
        <v/>
      </c>
      <c r="G32" s="25" t="str">
        <f aca="false">IF(A32="","",F32*نسبة_الضريبة)</f>
        <v/>
      </c>
      <c r="H32" s="25" t="str">
        <f aca="false">IF(A32="","",F32+G32)</f>
        <v/>
      </c>
      <c r="I32" s="26" t="str">
        <f aca="false">IF(A32="","",COUNTIF(المخرجات!$B$5:$B$404,A32))</f>
        <v/>
      </c>
      <c r="J32" s="26" t="str">
        <f aca="false">IF(A32="","",COUNTIFS(المخرجات!$B$5:$B$404,A32,المخرجات!$J$5:$J$404,"&gt;0"))</f>
        <v/>
      </c>
      <c r="K32" s="26" t="str">
        <f aca="false">IF(A32="","",COUNTIFS(المخرجات!$B$5:$B$404,A32,المخرجات!$O$5:$O$404,"تم القبول"))</f>
        <v/>
      </c>
      <c r="L32" s="26" t="str">
        <f aca="false">IF(A32="","",COUNTIFS(المخرجات!$B$5:$B$404,A32,المخرجات!$O$5:$O$404,"متأخر"))</f>
        <v/>
      </c>
      <c r="M32" s="27" t="str">
        <f aca="false">IF(OR(A32="",N(D32)=0),"",K32/D32)</f>
        <v/>
      </c>
      <c r="N32" s="25" t="str">
        <f aca="false">IF(A32="","",K32*E32)</f>
        <v/>
      </c>
      <c r="O32" s="25" t="str">
        <f aca="false">IF(A32="","",F32-N32)</f>
        <v/>
      </c>
    </row>
    <row r="33" customFormat="false" ht="15" hidden="false" customHeight="false" outlineLevel="0" collapsed="false">
      <c r="A33" s="20"/>
      <c r="B33" s="21"/>
      <c r="C33" s="22"/>
      <c r="D33" s="23"/>
      <c r="E33" s="24"/>
      <c r="F33" s="25" t="str">
        <f aca="false">IF(A33="","",D33*E33)</f>
        <v/>
      </c>
      <c r="G33" s="25" t="str">
        <f aca="false">IF(A33="","",F33*نسبة_الضريبة)</f>
        <v/>
      </c>
      <c r="H33" s="25" t="str">
        <f aca="false">IF(A33="","",F33+G33)</f>
        <v/>
      </c>
      <c r="I33" s="26" t="str">
        <f aca="false">IF(A33="","",COUNTIF(المخرجات!$B$5:$B$404,A33))</f>
        <v/>
      </c>
      <c r="J33" s="26" t="str">
        <f aca="false">IF(A33="","",COUNTIFS(المخرجات!$B$5:$B$404,A33,المخرجات!$J$5:$J$404,"&gt;0"))</f>
        <v/>
      </c>
      <c r="K33" s="26" t="str">
        <f aca="false">IF(A33="","",COUNTIFS(المخرجات!$B$5:$B$404,A33,المخرجات!$O$5:$O$404,"تم القبول"))</f>
        <v/>
      </c>
      <c r="L33" s="26" t="str">
        <f aca="false">IF(A33="","",COUNTIFS(المخرجات!$B$5:$B$404,A33,المخرجات!$O$5:$O$404,"متأخر"))</f>
        <v/>
      </c>
      <c r="M33" s="27" t="str">
        <f aca="false">IF(OR(A33="",N(D33)=0),"",K33/D33)</f>
        <v/>
      </c>
      <c r="N33" s="25" t="str">
        <f aca="false">IF(A33="","",K33*E33)</f>
        <v/>
      </c>
      <c r="O33" s="25" t="str">
        <f aca="false">IF(A33="","",F33-N33)</f>
        <v/>
      </c>
    </row>
    <row r="34" customFormat="false" ht="15" hidden="false" customHeight="false" outlineLevel="0" collapsed="false">
      <c r="A34" s="20"/>
      <c r="B34" s="21"/>
      <c r="C34" s="22"/>
      <c r="D34" s="23"/>
      <c r="E34" s="24"/>
      <c r="F34" s="25" t="str">
        <f aca="false">IF(A34="","",D34*E34)</f>
        <v/>
      </c>
      <c r="G34" s="25" t="str">
        <f aca="false">IF(A34="","",F34*نسبة_الضريبة)</f>
        <v/>
      </c>
      <c r="H34" s="25" t="str">
        <f aca="false">IF(A34="","",F34+G34)</f>
        <v/>
      </c>
      <c r="I34" s="26" t="str">
        <f aca="false">IF(A34="","",COUNTIF(المخرجات!$B$5:$B$404,A34))</f>
        <v/>
      </c>
      <c r="J34" s="26" t="str">
        <f aca="false">IF(A34="","",COUNTIFS(المخرجات!$B$5:$B$404,A34,المخرجات!$J$5:$J$404,"&gt;0"))</f>
        <v/>
      </c>
      <c r="K34" s="26" t="str">
        <f aca="false">IF(A34="","",COUNTIFS(المخرجات!$B$5:$B$404,A34,المخرجات!$O$5:$O$404,"تم القبول"))</f>
        <v/>
      </c>
      <c r="L34" s="26" t="str">
        <f aca="false">IF(A34="","",COUNTIFS(المخرجات!$B$5:$B$404,A34,المخرجات!$O$5:$O$404,"متأخر"))</f>
        <v/>
      </c>
      <c r="M34" s="27" t="str">
        <f aca="false">IF(OR(A34="",N(D34)=0),"",K34/D34)</f>
        <v/>
      </c>
      <c r="N34" s="25" t="str">
        <f aca="false">IF(A34="","",K34*E34)</f>
        <v/>
      </c>
      <c r="O34" s="25" t="str">
        <f aca="false">IF(A34="","",F34-N34)</f>
        <v/>
      </c>
    </row>
    <row r="35" customFormat="false" ht="15" hidden="false" customHeight="false" outlineLevel="0" collapsed="false">
      <c r="A35" s="20"/>
      <c r="B35" s="21"/>
      <c r="C35" s="22"/>
      <c r="D35" s="23"/>
      <c r="E35" s="24"/>
      <c r="F35" s="25" t="str">
        <f aca="false">IF(A35="","",D35*E35)</f>
        <v/>
      </c>
      <c r="G35" s="25" t="str">
        <f aca="false">IF(A35="","",F35*نسبة_الضريبة)</f>
        <v/>
      </c>
      <c r="H35" s="25" t="str">
        <f aca="false">IF(A35="","",F35+G35)</f>
        <v/>
      </c>
      <c r="I35" s="26" t="str">
        <f aca="false">IF(A35="","",COUNTIF(المخرجات!$B$5:$B$404,A35))</f>
        <v/>
      </c>
      <c r="J35" s="26" t="str">
        <f aca="false">IF(A35="","",COUNTIFS(المخرجات!$B$5:$B$404,A35,المخرجات!$J$5:$J$404,"&gt;0"))</f>
        <v/>
      </c>
      <c r="K35" s="26" t="str">
        <f aca="false">IF(A35="","",COUNTIFS(المخرجات!$B$5:$B$404,A35,المخرجات!$O$5:$O$404,"تم القبول"))</f>
        <v/>
      </c>
      <c r="L35" s="26" t="str">
        <f aca="false">IF(A35="","",COUNTIFS(المخرجات!$B$5:$B$404,A35,المخرجات!$O$5:$O$404,"متأخر"))</f>
        <v/>
      </c>
      <c r="M35" s="27" t="str">
        <f aca="false">IF(OR(A35="",N(D35)=0),"",K35/D35)</f>
        <v/>
      </c>
      <c r="N35" s="25" t="str">
        <f aca="false">IF(A35="","",K35*E35)</f>
        <v/>
      </c>
      <c r="O35" s="25" t="str">
        <f aca="false">IF(A35="","",F35-N35)</f>
        <v/>
      </c>
    </row>
    <row r="36" customFormat="false" ht="15" hidden="false" customHeight="false" outlineLevel="0" collapsed="false">
      <c r="A36" s="20"/>
      <c r="B36" s="21"/>
      <c r="C36" s="22"/>
      <c r="D36" s="23"/>
      <c r="E36" s="24"/>
      <c r="F36" s="25" t="str">
        <f aca="false">IF(A36="","",D36*E36)</f>
        <v/>
      </c>
      <c r="G36" s="25" t="str">
        <f aca="false">IF(A36="","",F36*نسبة_الضريبة)</f>
        <v/>
      </c>
      <c r="H36" s="25" t="str">
        <f aca="false">IF(A36="","",F36+G36)</f>
        <v/>
      </c>
      <c r="I36" s="26" t="str">
        <f aca="false">IF(A36="","",COUNTIF(المخرجات!$B$5:$B$404,A36))</f>
        <v/>
      </c>
      <c r="J36" s="26" t="str">
        <f aca="false">IF(A36="","",COUNTIFS(المخرجات!$B$5:$B$404,A36,المخرجات!$J$5:$J$404,"&gt;0"))</f>
        <v/>
      </c>
      <c r="K36" s="26" t="str">
        <f aca="false">IF(A36="","",COUNTIFS(المخرجات!$B$5:$B$404,A36,المخرجات!$O$5:$O$404,"تم القبول"))</f>
        <v/>
      </c>
      <c r="L36" s="26" t="str">
        <f aca="false">IF(A36="","",COUNTIFS(المخرجات!$B$5:$B$404,A36,المخرجات!$O$5:$O$404,"متأخر"))</f>
        <v/>
      </c>
      <c r="M36" s="27" t="str">
        <f aca="false">IF(OR(A36="",N(D36)=0),"",K36/D36)</f>
        <v/>
      </c>
      <c r="N36" s="25" t="str">
        <f aca="false">IF(A36="","",K36*E36)</f>
        <v/>
      </c>
      <c r="O36" s="25" t="str">
        <f aca="false">IF(A36="","",F36-N36)</f>
        <v/>
      </c>
    </row>
    <row r="37" customFormat="false" ht="15" hidden="false" customHeight="false" outlineLevel="0" collapsed="false">
      <c r="A37" s="20"/>
      <c r="B37" s="21"/>
      <c r="C37" s="22"/>
      <c r="D37" s="23"/>
      <c r="E37" s="24"/>
      <c r="F37" s="25" t="str">
        <f aca="false">IF(A37="","",D37*E37)</f>
        <v/>
      </c>
      <c r="G37" s="25" t="str">
        <f aca="false">IF(A37="","",F37*نسبة_الضريبة)</f>
        <v/>
      </c>
      <c r="H37" s="25" t="str">
        <f aca="false">IF(A37="","",F37+G37)</f>
        <v/>
      </c>
      <c r="I37" s="26" t="str">
        <f aca="false">IF(A37="","",COUNTIF(المخرجات!$B$5:$B$404,A37))</f>
        <v/>
      </c>
      <c r="J37" s="26" t="str">
        <f aca="false">IF(A37="","",COUNTIFS(المخرجات!$B$5:$B$404,A37,المخرجات!$J$5:$J$404,"&gt;0"))</f>
        <v/>
      </c>
      <c r="K37" s="26" t="str">
        <f aca="false">IF(A37="","",COUNTIFS(المخرجات!$B$5:$B$404,A37,المخرجات!$O$5:$O$404,"تم القبول"))</f>
        <v/>
      </c>
      <c r="L37" s="26" t="str">
        <f aca="false">IF(A37="","",COUNTIFS(المخرجات!$B$5:$B$404,A37,المخرجات!$O$5:$O$404,"متأخر"))</f>
        <v/>
      </c>
      <c r="M37" s="27" t="str">
        <f aca="false">IF(OR(A37="",N(D37)=0),"",K37/D37)</f>
        <v/>
      </c>
      <c r="N37" s="25" t="str">
        <f aca="false">IF(A37="","",K37*E37)</f>
        <v/>
      </c>
      <c r="O37" s="25" t="str">
        <f aca="false">IF(A37="","",F37-N37)</f>
        <v/>
      </c>
    </row>
    <row r="38" customFormat="false" ht="15" hidden="false" customHeight="false" outlineLevel="0" collapsed="false">
      <c r="A38" s="20"/>
      <c r="B38" s="21"/>
      <c r="C38" s="22"/>
      <c r="D38" s="23"/>
      <c r="E38" s="24"/>
      <c r="F38" s="25" t="str">
        <f aca="false">IF(A38="","",D38*E38)</f>
        <v/>
      </c>
      <c r="G38" s="25" t="str">
        <f aca="false">IF(A38="","",F38*نسبة_الضريبة)</f>
        <v/>
      </c>
      <c r="H38" s="25" t="str">
        <f aca="false">IF(A38="","",F38+G38)</f>
        <v/>
      </c>
      <c r="I38" s="26" t="str">
        <f aca="false">IF(A38="","",COUNTIF(المخرجات!$B$5:$B$404,A38))</f>
        <v/>
      </c>
      <c r="J38" s="26" t="str">
        <f aca="false">IF(A38="","",COUNTIFS(المخرجات!$B$5:$B$404,A38,المخرجات!$J$5:$J$404,"&gt;0"))</f>
        <v/>
      </c>
      <c r="K38" s="26" t="str">
        <f aca="false">IF(A38="","",COUNTIFS(المخرجات!$B$5:$B$404,A38,المخرجات!$O$5:$O$404,"تم القبول"))</f>
        <v/>
      </c>
      <c r="L38" s="26" t="str">
        <f aca="false">IF(A38="","",COUNTIFS(المخرجات!$B$5:$B$404,A38,المخرجات!$O$5:$O$404,"متأخر"))</f>
        <v/>
      </c>
      <c r="M38" s="27" t="str">
        <f aca="false">IF(OR(A38="",N(D38)=0),"",K38/D38)</f>
        <v/>
      </c>
      <c r="N38" s="25" t="str">
        <f aca="false">IF(A38="","",K38*E38)</f>
        <v/>
      </c>
      <c r="O38" s="25" t="str">
        <f aca="false">IF(A38="","",F38-N38)</f>
        <v/>
      </c>
    </row>
    <row r="39" customFormat="false" ht="15" hidden="false" customHeight="false" outlineLevel="0" collapsed="false">
      <c r="A39" s="20"/>
      <c r="B39" s="21"/>
      <c r="C39" s="22"/>
      <c r="D39" s="23"/>
      <c r="E39" s="24"/>
      <c r="F39" s="25" t="str">
        <f aca="false">IF(A39="","",D39*E39)</f>
        <v/>
      </c>
      <c r="G39" s="25" t="str">
        <f aca="false">IF(A39="","",F39*نسبة_الضريبة)</f>
        <v/>
      </c>
      <c r="H39" s="25" t="str">
        <f aca="false">IF(A39="","",F39+G39)</f>
        <v/>
      </c>
      <c r="I39" s="26" t="str">
        <f aca="false">IF(A39="","",COUNTIF(المخرجات!$B$5:$B$404,A39))</f>
        <v/>
      </c>
      <c r="J39" s="26" t="str">
        <f aca="false">IF(A39="","",COUNTIFS(المخرجات!$B$5:$B$404,A39,المخرجات!$J$5:$J$404,"&gt;0"))</f>
        <v/>
      </c>
      <c r="K39" s="26" t="str">
        <f aca="false">IF(A39="","",COUNTIFS(المخرجات!$B$5:$B$404,A39,المخرجات!$O$5:$O$404,"تم القبول"))</f>
        <v/>
      </c>
      <c r="L39" s="26" t="str">
        <f aca="false">IF(A39="","",COUNTIFS(المخرجات!$B$5:$B$404,A39,المخرجات!$O$5:$O$404,"متأخر"))</f>
        <v/>
      </c>
      <c r="M39" s="27" t="str">
        <f aca="false">IF(OR(A39="",N(D39)=0),"",K39/D39)</f>
        <v/>
      </c>
      <c r="N39" s="25" t="str">
        <f aca="false">IF(A39="","",K39*E39)</f>
        <v/>
      </c>
      <c r="O39" s="25" t="str">
        <f aca="false">IF(A39="","",F39-N39)</f>
        <v/>
      </c>
    </row>
    <row r="40" customFormat="false" ht="15" hidden="false" customHeight="false" outlineLevel="0" collapsed="false">
      <c r="A40" s="20"/>
      <c r="B40" s="21"/>
      <c r="C40" s="22"/>
      <c r="D40" s="23"/>
      <c r="E40" s="24"/>
      <c r="F40" s="25" t="str">
        <f aca="false">IF(A40="","",D40*E40)</f>
        <v/>
      </c>
      <c r="G40" s="25" t="str">
        <f aca="false">IF(A40="","",F40*نسبة_الضريبة)</f>
        <v/>
      </c>
      <c r="H40" s="25" t="str">
        <f aca="false">IF(A40="","",F40+G40)</f>
        <v/>
      </c>
      <c r="I40" s="26" t="str">
        <f aca="false">IF(A40="","",COUNTIF(المخرجات!$B$5:$B$404,A40))</f>
        <v/>
      </c>
      <c r="J40" s="26" t="str">
        <f aca="false">IF(A40="","",COUNTIFS(المخرجات!$B$5:$B$404,A40,المخرجات!$J$5:$J$404,"&gt;0"))</f>
        <v/>
      </c>
      <c r="K40" s="26" t="str">
        <f aca="false">IF(A40="","",COUNTIFS(المخرجات!$B$5:$B$404,A40,المخرجات!$O$5:$O$404,"تم القبول"))</f>
        <v/>
      </c>
      <c r="L40" s="26" t="str">
        <f aca="false">IF(A40="","",COUNTIFS(المخرجات!$B$5:$B$404,A40,المخرجات!$O$5:$O$404,"متأخر"))</f>
        <v/>
      </c>
      <c r="M40" s="27" t="str">
        <f aca="false">IF(OR(A40="",N(D40)=0),"",K40/D40)</f>
        <v/>
      </c>
      <c r="N40" s="25" t="str">
        <f aca="false">IF(A40="","",K40*E40)</f>
        <v/>
      </c>
      <c r="O40" s="25" t="str">
        <f aca="false">IF(A40="","",F40-N40)</f>
        <v/>
      </c>
    </row>
    <row r="41" customFormat="false" ht="15" hidden="false" customHeight="false" outlineLevel="0" collapsed="false">
      <c r="A41" s="20"/>
      <c r="B41" s="21"/>
      <c r="C41" s="22"/>
      <c r="D41" s="23"/>
      <c r="E41" s="24"/>
      <c r="F41" s="25" t="str">
        <f aca="false">IF(A41="","",D41*E41)</f>
        <v/>
      </c>
      <c r="G41" s="25" t="str">
        <f aca="false">IF(A41="","",F41*نسبة_الضريبة)</f>
        <v/>
      </c>
      <c r="H41" s="25" t="str">
        <f aca="false">IF(A41="","",F41+G41)</f>
        <v/>
      </c>
      <c r="I41" s="26" t="str">
        <f aca="false">IF(A41="","",COUNTIF(المخرجات!$B$5:$B$404,A41))</f>
        <v/>
      </c>
      <c r="J41" s="26" t="str">
        <f aca="false">IF(A41="","",COUNTIFS(المخرجات!$B$5:$B$404,A41,المخرجات!$J$5:$J$404,"&gt;0"))</f>
        <v/>
      </c>
      <c r="K41" s="26" t="str">
        <f aca="false">IF(A41="","",COUNTIFS(المخرجات!$B$5:$B$404,A41,المخرجات!$O$5:$O$404,"تم القبول"))</f>
        <v/>
      </c>
      <c r="L41" s="26" t="str">
        <f aca="false">IF(A41="","",COUNTIFS(المخرجات!$B$5:$B$404,A41,المخرجات!$O$5:$O$404,"متأخر"))</f>
        <v/>
      </c>
      <c r="M41" s="27" t="str">
        <f aca="false">IF(OR(A41="",N(D41)=0),"",K41/D41)</f>
        <v/>
      </c>
      <c r="N41" s="25" t="str">
        <f aca="false">IF(A41="","",K41*E41)</f>
        <v/>
      </c>
      <c r="O41" s="25" t="str">
        <f aca="false">IF(A41="","",F41-N41)</f>
        <v/>
      </c>
    </row>
    <row r="42" customFormat="false" ht="15" hidden="false" customHeight="false" outlineLevel="0" collapsed="false">
      <c r="A42" s="20"/>
      <c r="B42" s="21"/>
      <c r="C42" s="22"/>
      <c r="D42" s="23"/>
      <c r="E42" s="24"/>
      <c r="F42" s="25" t="str">
        <f aca="false">IF(A42="","",D42*E42)</f>
        <v/>
      </c>
      <c r="G42" s="25" t="str">
        <f aca="false">IF(A42="","",F42*نسبة_الضريبة)</f>
        <v/>
      </c>
      <c r="H42" s="25" t="str">
        <f aca="false">IF(A42="","",F42+G42)</f>
        <v/>
      </c>
      <c r="I42" s="26" t="str">
        <f aca="false">IF(A42="","",COUNTIF(المخرجات!$B$5:$B$404,A42))</f>
        <v/>
      </c>
      <c r="J42" s="26" t="str">
        <f aca="false">IF(A42="","",COUNTIFS(المخرجات!$B$5:$B$404,A42,المخرجات!$J$5:$J$404,"&gt;0"))</f>
        <v/>
      </c>
      <c r="K42" s="26" t="str">
        <f aca="false">IF(A42="","",COUNTIFS(المخرجات!$B$5:$B$404,A42,المخرجات!$O$5:$O$404,"تم القبول"))</f>
        <v/>
      </c>
      <c r="L42" s="26" t="str">
        <f aca="false">IF(A42="","",COUNTIFS(المخرجات!$B$5:$B$404,A42,المخرجات!$O$5:$O$404,"متأخر"))</f>
        <v/>
      </c>
      <c r="M42" s="27" t="str">
        <f aca="false">IF(OR(A42="",N(D42)=0),"",K42/D42)</f>
        <v/>
      </c>
      <c r="N42" s="25" t="str">
        <f aca="false">IF(A42="","",K42*E42)</f>
        <v/>
      </c>
      <c r="O42" s="25" t="str">
        <f aca="false">IF(A42="","",F42-N42)</f>
        <v/>
      </c>
    </row>
    <row r="43" customFormat="false" ht="15" hidden="false" customHeight="false" outlineLevel="0" collapsed="false">
      <c r="A43" s="20"/>
      <c r="B43" s="21"/>
      <c r="C43" s="22"/>
      <c r="D43" s="23"/>
      <c r="E43" s="24"/>
      <c r="F43" s="25" t="str">
        <f aca="false">IF(A43="","",D43*E43)</f>
        <v/>
      </c>
      <c r="G43" s="25" t="str">
        <f aca="false">IF(A43="","",F43*نسبة_الضريبة)</f>
        <v/>
      </c>
      <c r="H43" s="25" t="str">
        <f aca="false">IF(A43="","",F43+G43)</f>
        <v/>
      </c>
      <c r="I43" s="26" t="str">
        <f aca="false">IF(A43="","",COUNTIF(المخرجات!$B$5:$B$404,A43))</f>
        <v/>
      </c>
      <c r="J43" s="26" t="str">
        <f aca="false">IF(A43="","",COUNTIFS(المخرجات!$B$5:$B$404,A43,المخرجات!$J$5:$J$404,"&gt;0"))</f>
        <v/>
      </c>
      <c r="K43" s="26" t="str">
        <f aca="false">IF(A43="","",COUNTIFS(المخرجات!$B$5:$B$404,A43,المخرجات!$O$5:$O$404,"تم القبول"))</f>
        <v/>
      </c>
      <c r="L43" s="26" t="str">
        <f aca="false">IF(A43="","",COUNTIFS(المخرجات!$B$5:$B$404,A43,المخرجات!$O$5:$O$404,"متأخر"))</f>
        <v/>
      </c>
      <c r="M43" s="27" t="str">
        <f aca="false">IF(OR(A43="",N(D43)=0),"",K43/D43)</f>
        <v/>
      </c>
      <c r="N43" s="25" t="str">
        <f aca="false">IF(A43="","",K43*E43)</f>
        <v/>
      </c>
      <c r="O43" s="25" t="str">
        <f aca="false">IF(A43="","",F43-N43)</f>
        <v/>
      </c>
    </row>
    <row r="44" customFormat="false" ht="15" hidden="false" customHeight="false" outlineLevel="0" collapsed="false">
      <c r="A44" s="20"/>
      <c r="B44" s="21"/>
      <c r="C44" s="22"/>
      <c r="D44" s="23"/>
      <c r="E44" s="24"/>
      <c r="F44" s="25" t="str">
        <f aca="false">IF(A44="","",D44*E44)</f>
        <v/>
      </c>
      <c r="G44" s="25" t="str">
        <f aca="false">IF(A44="","",F44*نسبة_الضريبة)</f>
        <v/>
      </c>
      <c r="H44" s="25" t="str">
        <f aca="false">IF(A44="","",F44+G44)</f>
        <v/>
      </c>
      <c r="I44" s="26" t="str">
        <f aca="false">IF(A44="","",COUNTIF(المخرجات!$B$5:$B$404,A44))</f>
        <v/>
      </c>
      <c r="J44" s="26" t="str">
        <f aca="false">IF(A44="","",COUNTIFS(المخرجات!$B$5:$B$404,A44,المخرجات!$J$5:$J$404,"&gt;0"))</f>
        <v/>
      </c>
      <c r="K44" s="26" t="str">
        <f aca="false">IF(A44="","",COUNTIFS(المخرجات!$B$5:$B$404,A44,المخرجات!$O$5:$O$404,"تم القبول"))</f>
        <v/>
      </c>
      <c r="L44" s="26" t="str">
        <f aca="false">IF(A44="","",COUNTIFS(المخرجات!$B$5:$B$404,A44,المخرجات!$O$5:$O$404,"متأخر"))</f>
        <v/>
      </c>
      <c r="M44" s="27" t="str">
        <f aca="false">IF(OR(A44="",N(D44)=0),"",K44/D44)</f>
        <v/>
      </c>
      <c r="N44" s="25" t="str">
        <f aca="false">IF(A44="","",K44*E44)</f>
        <v/>
      </c>
      <c r="O44" s="25" t="str">
        <f aca="false">IF(A44="","",F44-N44)</f>
        <v/>
      </c>
    </row>
  </sheetData>
  <autoFilter ref="A4:O44"/>
  <conditionalFormatting sqref="A5:A44">
    <cfRule type="expression" priority="2" aboveAverage="0" equalAverage="0" bottom="0" percent="0" rank="0" text="" dxfId="5">
      <formula>AND(A5&lt;&gt;"",COUNTIF($A$5:$A$44,A5)&gt;1)</formula>
    </cfRule>
  </conditionalFormatting>
  <conditionalFormatting sqref="I5:I44">
    <cfRule type="expression" priority="3" aboveAverage="0" equalAverage="0" bottom="0" percent="0" rank="0" text="" dxfId="6">
      <formula>AND(A5&lt;&gt;"",I5&lt;&gt;D5)</formula>
    </cfRule>
  </conditionalFormatting>
  <dataValidations count="2">
    <dataValidation allowBlank="true" error="اكتب رقم أكبر من أو يساوي صفر" errorStyle="stop" operator="greaterThanOrEqual" showDropDown="false" showErrorMessage="true" showInputMessage="false" sqref="D5:D44" type="whole">
      <formula1>0</formula1>
      <formula2>0</formula2>
    </dataValidation>
    <dataValidation allowBlank="true" error="اكتب رقم أكبر من أو يساوي صفر" errorStyle="stop" operator="greaterThanOrEqual" showDropDown="false" showErrorMessage="true" showInputMessage="false" sqref="E5:E4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A1:S4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30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9"/>
    <col collapsed="false" customWidth="true" hidden="false" outlineLevel="0" max="9" min="8" style="0" width="15"/>
    <col collapsed="false" customWidth="true" hidden="false" outlineLevel="0" max="13" min="10" style="0" width="12"/>
    <col collapsed="false" customWidth="true" hidden="false" outlineLevel="0" max="14" min="14" style="0" width="9"/>
    <col collapsed="false" customWidth="true" hidden="false" outlineLevel="0" max="15" min="15" style="0" width="15"/>
    <col collapsed="false" customWidth="true" hidden="false" outlineLevel="0" max="16" min="16" style="0" width="10"/>
    <col collapsed="false" customWidth="true" hidden="false" outlineLevel="0" max="18" min="17" style="0" width="11"/>
    <col collapsed="false" customWidth="true" hidden="false" outlineLevel="0" max="19" min="19" style="0" width="50"/>
  </cols>
  <sheetData>
    <row r="1" customFormat="false" ht="19.7" hidden="false" customHeight="false" outlineLevel="0" collapsed="false">
      <c r="A1" s="1" t="s">
        <v>81</v>
      </c>
    </row>
    <row r="2" customFormat="false" ht="15" hidden="false" customHeight="false" outlineLevel="0" collapsed="false">
      <c r="A2" s="2" t="s">
        <v>82</v>
      </c>
      <c r="F2" s="28" t="s">
        <v>83</v>
      </c>
      <c r="G2" s="29" t="str">
        <f aca="false">"D-"&amp;TEXT(COUNTA(A5:A404)+1,"000")</f>
        <v>D-010</v>
      </c>
    </row>
    <row r="4" customFormat="false" ht="42" hidden="false" customHeight="true" outlineLevel="0" collapsed="false">
      <c r="A4" s="18" t="s">
        <v>84</v>
      </c>
      <c r="B4" s="18" t="s">
        <v>59</v>
      </c>
      <c r="C4" s="19" t="s">
        <v>61</v>
      </c>
      <c r="D4" s="18" t="s">
        <v>85</v>
      </c>
      <c r="E4" s="18" t="s">
        <v>86</v>
      </c>
      <c r="F4" s="18" t="s">
        <v>87</v>
      </c>
      <c r="G4" s="18" t="s">
        <v>88</v>
      </c>
      <c r="H4" s="19" t="s">
        <v>89</v>
      </c>
      <c r="I4" s="19" t="s">
        <v>90</v>
      </c>
      <c r="J4" s="19" t="s">
        <v>91</v>
      </c>
      <c r="K4" s="19" t="s">
        <v>92</v>
      </c>
      <c r="L4" s="19" t="s">
        <v>93</v>
      </c>
      <c r="M4" s="19" t="s">
        <v>94</v>
      </c>
      <c r="N4" s="19" t="s">
        <v>95</v>
      </c>
      <c r="O4" s="19" t="s">
        <v>96</v>
      </c>
      <c r="P4" s="19" t="s">
        <v>97</v>
      </c>
      <c r="Q4" s="19" t="s">
        <v>98</v>
      </c>
      <c r="R4" s="19" t="s">
        <v>99</v>
      </c>
      <c r="S4" s="18" t="s">
        <v>100</v>
      </c>
    </row>
    <row r="5" customFormat="false" ht="15" hidden="false" customHeight="false" outlineLevel="0" collapsed="false">
      <c r="A5" s="20" t="s">
        <v>101</v>
      </c>
      <c r="B5" s="20" t="n">
        <v>1</v>
      </c>
      <c r="C5" s="30" t="str">
        <f aca="false">IF($A5="","",IFERROR(INDEX(بند_الاسم,MATCH($B5,قائمة_البنود,0)),"⚠ بند غير موجود"))</f>
        <v>إعداد خطة المشروع</v>
      </c>
      <c r="D5" s="22" t="s">
        <v>102</v>
      </c>
      <c r="E5" s="31"/>
      <c r="F5" s="21"/>
      <c r="G5" s="32"/>
      <c r="H5" s="25" t="n">
        <f aca="false">IF($A5="","",IFERROR(INDEX(بند_سعر_الوحدة,MATCH($B5,قائمة_البنود,0)),0))</f>
        <v>100000</v>
      </c>
      <c r="I5" s="25" t="n">
        <f aca="false">IF($A5="","",H5*(1+نسبة_الضريبة))</f>
        <v>115000</v>
      </c>
      <c r="J5" s="33" t="n">
        <f aca="false">IF($A5="","",_xlfn.MINIFS('سجل المراجعات'!$E$5:$E$1504,'سجل المراجعات'!$A$5:$A$1504,$A5,'سجل المراجعات'!$D$5:$D$1504,"تسليم"))</f>
        <v>45698</v>
      </c>
      <c r="K5" s="33" t="n">
        <f aca="false">IF($A5="","",_xlfn.MAXIFS('سجل المراجعات'!$E$5:$E$1504,'سجل المراجعات'!$A$5:$A$1504,$A5,'سجل المراجعات'!$D$5:$D$1504,"تسليم"))</f>
        <v>45698</v>
      </c>
      <c r="L5" s="33" t="n">
        <f aca="false">IF($A5="","",_xlfn.MAXIFS('سجل المراجعات'!$E$5:$E$1504,'سجل المراجعات'!$A$5:$A$1504,$A5,'سجل المراجعات'!$D$5:$D$1504,"رد بملاحظات"))</f>
        <v>0</v>
      </c>
      <c r="M5" s="33" t="n">
        <f aca="false">IF($A5="","",_xlfn.MAXIFS('سجل المراجعات'!$E$5:$E$1504,'سجل المراجعات'!$A$5:$A$1504,$A5,'سجل المراجعات'!$D$5:$D$1504,"قبول"))</f>
        <v>45705</v>
      </c>
      <c r="N5" s="26" t="n">
        <f aca="false">IF($A5="","",COUNTIFS('سجل المراجعات'!$A$5:$A$1504,$A5,'سجل المراجعات'!$D$5:$D$1504,"تسليم"))</f>
        <v>1</v>
      </c>
      <c r="O5" s="34" t="str">
        <f aca="false">IF($A5="","",IF(M5&gt;0,"تم القبول",IF(F5="معلق","معلق",IF(AND(L5&gt;0,L5&gt;=K5),"مُعاد بملاحظات",IF(K5&gt;0,"في انتظار القبول",IF(AND(ISNUMBER(E5),E5&lt;تاريخ_الاحتساب),"متأخر",IF(F5="","لم يبدأ",F5)))))))</f>
        <v>تم القبول</v>
      </c>
      <c r="P5" s="26" t="n">
        <f aca="false">IF($A5="","",SUMIFS('سجل المراجعات'!$L$5:$L$1504,'سجل المراجعات'!$A$5:$A$1504,$A5))</f>
        <v>5</v>
      </c>
      <c r="Q5" s="26" t="n">
        <f aca="false">IF($A5="","",SUMIFS('سجل المراجعات'!$M$5:$M$1504,'سجل المراجعات'!$A$5:$A$1504,$A5))</f>
        <v>0</v>
      </c>
      <c r="R5" s="26" t="str">
        <f aca="false">IF(OR($A5="",NOT(ISNUMBER(E5))),"",MAX(0,NETWORKDAYS.INTL(E5,IF(J5&gt;0,J5,تاريخ_الاحتساب),رمز_العطلة,أيام_الأجازات)-1))</f>
        <v/>
      </c>
      <c r="S5" s="22"/>
    </row>
    <row r="6" customFormat="false" ht="15" hidden="false" customHeight="false" outlineLevel="0" collapsed="false">
      <c r="A6" s="20" t="s">
        <v>103</v>
      </c>
      <c r="B6" s="20" t="n">
        <v>1</v>
      </c>
      <c r="C6" s="30" t="str">
        <f aca="false">IF($A6="","",IFERROR(INDEX(بند_الاسم,MATCH($B6,قائمة_البنود,0)),"⚠ بند غير موجود"))</f>
        <v>إعداد خطة المشروع</v>
      </c>
      <c r="D6" s="22" t="s">
        <v>104</v>
      </c>
      <c r="E6" s="31"/>
      <c r="F6" s="21"/>
      <c r="G6" s="32"/>
      <c r="H6" s="25" t="n">
        <f aca="false">IF($A6="","",IFERROR(INDEX(بند_سعر_الوحدة,MATCH($B6,قائمة_البنود,0)),0))</f>
        <v>100000</v>
      </c>
      <c r="I6" s="25" t="n">
        <f aca="false">IF($A6="","",H6*(1+نسبة_الضريبة))</f>
        <v>115000</v>
      </c>
      <c r="J6" s="33" t="n">
        <f aca="false">IF($A6="","",_xlfn.MINIFS('سجل المراجعات'!$E$5:$E$1504,'سجل المراجعات'!$A$5:$A$1504,$A6,'سجل المراجعات'!$D$5:$D$1504,"تسليم"))</f>
        <v>45698</v>
      </c>
      <c r="K6" s="33" t="n">
        <f aca="false">IF($A6="","",_xlfn.MAXIFS('سجل المراجعات'!$E$5:$E$1504,'سجل المراجعات'!$A$5:$A$1504,$A6,'سجل المراجعات'!$D$5:$D$1504,"تسليم"))</f>
        <v>45728</v>
      </c>
      <c r="L6" s="33" t="n">
        <f aca="false">IF($A6="","",_xlfn.MAXIFS('سجل المراجعات'!$E$5:$E$1504,'سجل المراجعات'!$A$5:$A$1504,$A6,'سجل المراجعات'!$D$5:$D$1504,"رد بملاحظات"))</f>
        <v>45721</v>
      </c>
      <c r="M6" s="33" t="n">
        <f aca="false">IF($A6="","",_xlfn.MAXIFS('سجل المراجعات'!$E$5:$E$1504,'سجل المراجعات'!$A$5:$A$1504,$A6,'سجل المراجعات'!$D$5:$D$1504,"قبول"))</f>
        <v>45736</v>
      </c>
      <c r="N6" s="26" t="n">
        <f aca="false">IF($A6="","",COUNTIFS('سجل المراجعات'!$A$5:$A$1504,$A6,'سجل المراجعات'!$D$5:$D$1504,"تسليم"))</f>
        <v>2</v>
      </c>
      <c r="O6" s="34" t="str">
        <f aca="false">IF($A6="","",IF(M6&gt;0,"تم القبول",IF(F6="معلق","معلق",IF(AND(L6&gt;0,L6&gt;=K6),"مُعاد بملاحظات",IF(K6&gt;0,"في انتظار القبول",IF(AND(ISNUMBER(E6),E6&lt;تاريخ_الاحتساب),"متأخر",IF(F6="","لم يبدأ",F6)))))))</f>
        <v>تم القبول</v>
      </c>
      <c r="P6" s="26" t="n">
        <f aca="false">IF($A6="","",SUMIFS('سجل المراجعات'!$L$5:$L$1504,'سجل المراجعات'!$A$5:$A$1504,$A6))</f>
        <v>23</v>
      </c>
      <c r="Q6" s="26" t="n">
        <f aca="false">IF($A6="","",SUMIFS('سجل المراجعات'!$M$5:$M$1504,'سجل المراجعات'!$A$5:$A$1504,$A6))</f>
        <v>7</v>
      </c>
      <c r="R6" s="26" t="str">
        <f aca="false">IF(OR($A6="",NOT(ISNUMBER(E6))),"",MAX(0,NETWORKDAYS.INTL(E6,IF(J6&gt;0,J6,تاريخ_الاحتساب),رمز_العطلة,أيام_الأجازات)-1))</f>
        <v/>
      </c>
      <c r="S6" s="22"/>
    </row>
    <row r="7" customFormat="false" ht="15" hidden="false" customHeight="false" outlineLevel="0" collapsed="false">
      <c r="A7" s="20" t="s">
        <v>105</v>
      </c>
      <c r="B7" s="20" t="n">
        <v>2</v>
      </c>
      <c r="C7" s="30" t="str">
        <f aca="false">IF($A7="","",IFERROR(INDEX(بند_الاسم,MATCH($B7,قائمة_البنود,0)),"⚠ بند غير موجود"))</f>
        <v>تحليل المتطلبات</v>
      </c>
      <c r="D7" s="22" t="s">
        <v>106</v>
      </c>
      <c r="E7" s="31"/>
      <c r="F7" s="21"/>
      <c r="G7" s="32"/>
      <c r="H7" s="25" t="n">
        <f aca="false">IF($A7="","",IFERROR(INDEX(بند_سعر_الوحدة,MATCH($B7,قائمة_البنود,0)),0))</f>
        <v>250000</v>
      </c>
      <c r="I7" s="25" t="n">
        <f aca="false">IF($A7="","",H7*(1+نسبة_الضريبة))</f>
        <v>287500</v>
      </c>
      <c r="J7" s="33" t="n">
        <f aca="false">IF($A7="","",_xlfn.MINIFS('سجل المراجعات'!$E$5:$E$1504,'سجل المراجعات'!$A$5:$A$1504,$A7,'سجل المراجعات'!$D$5:$D$1504,"تسليم"))</f>
        <v>46082</v>
      </c>
      <c r="K7" s="33" t="n">
        <f aca="false">IF($A7="","",_xlfn.MAXIFS('سجل المراجعات'!$E$5:$E$1504,'سجل المراجعات'!$A$5:$A$1504,$A7,'سجل المراجعات'!$D$5:$D$1504,"تسليم"))</f>
        <v>46082</v>
      </c>
      <c r="L7" s="33" t="n">
        <f aca="false">IF($A7="","",_xlfn.MAXIFS('سجل المراجعات'!$E$5:$E$1504,'سجل المراجعات'!$A$5:$A$1504,$A7,'سجل المراجعات'!$D$5:$D$1504,"رد بملاحظات"))</f>
        <v>46127</v>
      </c>
      <c r="M7" s="33" t="n">
        <f aca="false">IF($A7="","",_xlfn.MAXIFS('سجل المراجعات'!$E$5:$E$1504,'سجل المراجعات'!$A$5:$A$1504,$A7,'سجل المراجعات'!$D$5:$D$1504,"قبول"))</f>
        <v>0</v>
      </c>
      <c r="N7" s="26" t="n">
        <f aca="false">IF($A7="","",COUNTIFS('سجل المراجعات'!$A$5:$A$1504,$A7,'سجل المراجعات'!$D$5:$D$1504,"تسليم"))</f>
        <v>1</v>
      </c>
      <c r="O7" s="34" t="str">
        <f aca="false">IF($A7="","",IF(M7&gt;0,"تم القبول",IF(F7="معلق","معلق",IF(AND(L7&gt;0,L7&gt;=K7),"مُعاد بملاحظات",IF(K7&gt;0,"في انتظار القبول",IF(AND(ISNUMBER(E7),E7&lt;تاريخ_الاحتساب),"متأخر",IF(F7="","لم يبدأ",F7)))))))</f>
        <v>مُعاد بملاحظات</v>
      </c>
      <c r="P7" s="26" t="n">
        <f aca="false">IF($A7="","",SUMIFS('سجل المراجعات'!$L$5:$L$1504,'سجل المراجعات'!$A$5:$A$1504,$A7))</f>
        <v>31</v>
      </c>
      <c r="Q7" s="26" t="n">
        <f aca="false">IF($A7="","",SUMIFS('سجل المراجعات'!$M$5:$M$1504,'سجل المراجعات'!$A$5:$A$1504,$A7))</f>
        <v>21</v>
      </c>
      <c r="R7" s="26" t="str">
        <f aca="false">IF(OR($A7="",NOT(ISNUMBER(E7))),"",MAX(0,NETWORKDAYS.INTL(E7,IF(J7&gt;0,J7,تاريخ_الاحتساب),رمز_العطلة,أيام_الأجازات)-1))</f>
        <v/>
      </c>
      <c r="S7" s="22"/>
    </row>
    <row r="8" customFormat="false" ht="15" hidden="false" customHeight="false" outlineLevel="0" collapsed="false">
      <c r="A8" s="20" t="s">
        <v>107</v>
      </c>
      <c r="B8" s="20" t="n">
        <v>2</v>
      </c>
      <c r="C8" s="30" t="str">
        <f aca="false">IF($A8="","",IFERROR(INDEX(بند_الاسم,MATCH($B8,قائمة_البنود,0)),"⚠ بند غير موجود"))</f>
        <v>تحليل المتطلبات</v>
      </c>
      <c r="D8" s="22" t="s">
        <v>108</v>
      </c>
      <c r="E8" s="31"/>
      <c r="F8" s="21"/>
      <c r="G8" s="32"/>
      <c r="H8" s="25" t="n">
        <f aca="false">IF($A8="","",IFERROR(INDEX(بند_سعر_الوحدة,MATCH($B8,قائمة_البنود,0)),0))</f>
        <v>250000</v>
      </c>
      <c r="I8" s="25" t="n">
        <f aca="false">IF($A8="","",H8*(1+نسبة_الضريبة))</f>
        <v>287500</v>
      </c>
      <c r="J8" s="33" t="n">
        <f aca="false">IF($A8="","",_xlfn.MINIFS('سجل المراجعات'!$E$5:$E$1504,'سجل المراجعات'!$A$5:$A$1504,$A8,'سجل المراجعات'!$D$5:$D$1504,"تسليم"))</f>
        <v>46054</v>
      </c>
      <c r="K8" s="33" t="n">
        <f aca="false">IF($A8="","",_xlfn.MAXIFS('سجل المراجعات'!$E$5:$E$1504,'سجل المراجعات'!$A$5:$A$1504,$A8,'سجل المراجعات'!$D$5:$D$1504,"تسليم"))</f>
        <v>46152</v>
      </c>
      <c r="L8" s="33" t="n">
        <f aca="false">IF($A8="","",_xlfn.MAXIFS('سجل المراجعات'!$E$5:$E$1504,'سجل المراجعات'!$A$5:$A$1504,$A8,'سجل المراجعات'!$D$5:$D$1504,"رد بملاحظات"))</f>
        <v>0</v>
      </c>
      <c r="M8" s="33" t="n">
        <f aca="false">IF($A8="","",_xlfn.MAXIFS('سجل المراجعات'!$E$5:$E$1504,'سجل المراجعات'!$A$5:$A$1504,$A8,'سجل المراجعات'!$D$5:$D$1504,"قبول"))</f>
        <v>0</v>
      </c>
      <c r="N8" s="26" t="n">
        <f aca="false">IF($A8="","",COUNTIFS('سجل المراجعات'!$A$5:$A$1504,$A8,'سجل المراجعات'!$D$5:$D$1504,"تسليم"))</f>
        <v>2</v>
      </c>
      <c r="O8" s="34" t="str">
        <f aca="false">IF($A8="","",IF(M8&gt;0,"تم القبول",IF(F8="معلق","معلق",IF(AND(L8&gt;0,L8&gt;=K8),"مُعاد بملاحظات",IF(K8&gt;0,"في انتظار القبول",IF(AND(ISNUMBER(E8),E8&lt;تاريخ_الاحتساب),"متأخر",IF(F8="","لم يبدأ",F8)))))))</f>
        <v>في انتظار القبول</v>
      </c>
      <c r="P8" s="26" t="n">
        <f aca="false">IF($A8="","",SUMIFS('سجل المراجعات'!$L$5:$L$1504,'سجل المراجعات'!$A$5:$A$1504,$A8))</f>
        <v>101</v>
      </c>
      <c r="Q8" s="26" t="n">
        <f aca="false">IF($A8="","",SUMIFS('سجل المراجعات'!$M$5:$M$1504,'سجل المراجعات'!$A$5:$A$1504,$A8))</f>
        <v>81</v>
      </c>
      <c r="R8" s="26" t="str">
        <f aca="false">IF(OR($A8="",NOT(ISNUMBER(E8))),"",MAX(0,NETWORKDAYS.INTL(E8,IF(J8&gt;0,J8,تاريخ_الاحتساب),رمز_العطلة,أيام_الأجازات)-1))</f>
        <v/>
      </c>
      <c r="S8" s="22" t="s">
        <v>109</v>
      </c>
    </row>
    <row r="9" customFormat="false" ht="15" hidden="false" customHeight="false" outlineLevel="0" collapsed="false">
      <c r="A9" s="20" t="s">
        <v>110</v>
      </c>
      <c r="B9" s="20" t="n">
        <v>2</v>
      </c>
      <c r="C9" s="30" t="str">
        <f aca="false">IF($A9="","",IFERROR(INDEX(بند_الاسم,MATCH($B9,قائمة_البنود,0)),"⚠ بند غير موجود"))</f>
        <v>تحليل المتطلبات</v>
      </c>
      <c r="D9" s="22" t="s">
        <v>111</v>
      </c>
      <c r="E9" s="31" t="n">
        <v>46173</v>
      </c>
      <c r="F9" s="21" t="s">
        <v>112</v>
      </c>
      <c r="G9" s="32" t="n">
        <v>18</v>
      </c>
      <c r="H9" s="25" t="n">
        <f aca="false">IF($A9="","",IFERROR(INDEX(بند_سعر_الوحدة,MATCH($B9,قائمة_البنود,0)),0))</f>
        <v>250000</v>
      </c>
      <c r="I9" s="25" t="n">
        <f aca="false">IF($A9="","",H9*(1+نسبة_الضريبة))</f>
        <v>287500</v>
      </c>
      <c r="J9" s="33" t="n">
        <f aca="false">IF($A9="","",_xlfn.MINIFS('سجل المراجعات'!$E$5:$E$1504,'سجل المراجعات'!$A$5:$A$1504,$A9,'سجل المراجعات'!$D$5:$D$1504,"تسليم"))</f>
        <v>0</v>
      </c>
      <c r="K9" s="33" t="n">
        <f aca="false">IF($A9="","",_xlfn.MAXIFS('سجل المراجعات'!$E$5:$E$1504,'سجل المراجعات'!$A$5:$A$1504,$A9,'سجل المراجعات'!$D$5:$D$1504,"تسليم"))</f>
        <v>0</v>
      </c>
      <c r="L9" s="33" t="n">
        <f aca="false">IF($A9="","",_xlfn.MAXIFS('سجل المراجعات'!$E$5:$E$1504,'سجل المراجعات'!$A$5:$A$1504,$A9,'سجل المراجعات'!$D$5:$D$1504,"رد بملاحظات"))</f>
        <v>0</v>
      </c>
      <c r="M9" s="33" t="n">
        <f aca="false">IF($A9="","",_xlfn.MAXIFS('سجل المراجعات'!$E$5:$E$1504,'سجل المراجعات'!$A$5:$A$1504,$A9,'سجل المراجعات'!$D$5:$D$1504,"قبول"))</f>
        <v>0</v>
      </c>
      <c r="N9" s="26" t="n">
        <f aca="false">IF($A9="","",COUNTIFS('سجل المراجعات'!$A$5:$A$1504,$A9,'سجل المراجعات'!$D$5:$D$1504,"تسليم"))</f>
        <v>0</v>
      </c>
      <c r="O9" s="34" t="str">
        <f aca="false">IF($A9="","",IF(M9&gt;0,"تم القبول",IF(F9="معلق","معلق",IF(AND(L9&gt;0,L9&gt;=K9),"مُعاد بملاحظات",IF(K9&gt;0,"في انتظار القبول",IF(AND(ISNUMBER(E9),E9&lt;تاريخ_الاحتساب),"متأخر",IF(F9="","لم يبدأ",F9)))))))</f>
        <v>متأخر</v>
      </c>
      <c r="P9" s="26" t="n">
        <f aca="false">IF($A9="","",SUMIFS('سجل المراجعات'!$L$5:$L$1504,'سجل المراجعات'!$A$5:$A$1504,$A9))</f>
        <v>0</v>
      </c>
      <c r="Q9" s="26" t="n">
        <f aca="false">IF($A9="","",SUMIFS('سجل المراجعات'!$M$5:$M$1504,'سجل المراجعات'!$A$5:$A$1504,$A9))</f>
        <v>0</v>
      </c>
      <c r="R9" s="26" t="n">
        <f aca="false">IF(OR($A9="",NOT(ISNUMBER(E9))),"",MAX(0,NETWORKDAYS.INTL(E9,IF(J9&gt;0,J9,تاريخ_الاحتساب),رمز_العطلة,أيام_الأجازات)-1))</f>
        <v>22</v>
      </c>
      <c r="S9" s="22"/>
    </row>
    <row r="10" customFormat="false" ht="15" hidden="false" customHeight="false" outlineLevel="0" collapsed="false">
      <c r="A10" s="20" t="s">
        <v>113</v>
      </c>
      <c r="B10" s="20" t="n">
        <v>2</v>
      </c>
      <c r="C10" s="30" t="str">
        <f aca="false">IF($A10="","",IFERROR(INDEX(بند_الاسم,MATCH($B10,قائمة_البنود,0)),"⚠ بند غير موجود"))</f>
        <v>تحليل المتطلبات</v>
      </c>
      <c r="D10" s="22" t="s">
        <v>114</v>
      </c>
      <c r="E10" s="31" t="n">
        <v>46295</v>
      </c>
      <c r="F10" s="21" t="s">
        <v>115</v>
      </c>
      <c r="G10" s="32"/>
      <c r="H10" s="25" t="n">
        <f aca="false">IF($A10="","",IFERROR(INDEX(بند_سعر_الوحدة,MATCH($B10,قائمة_البنود,0)),0))</f>
        <v>250000</v>
      </c>
      <c r="I10" s="25" t="n">
        <f aca="false">IF($A10="","",H10*(1+نسبة_الضريبة))</f>
        <v>287500</v>
      </c>
      <c r="J10" s="33" t="n">
        <f aca="false">IF($A10="","",_xlfn.MINIFS('سجل المراجعات'!$E$5:$E$1504,'سجل المراجعات'!$A$5:$A$1504,$A10,'سجل المراجعات'!$D$5:$D$1504,"تسليم"))</f>
        <v>0</v>
      </c>
      <c r="K10" s="33" t="n">
        <f aca="false">IF($A10="","",_xlfn.MAXIFS('سجل المراجعات'!$E$5:$E$1504,'سجل المراجعات'!$A$5:$A$1504,$A10,'سجل المراجعات'!$D$5:$D$1504,"تسليم"))</f>
        <v>0</v>
      </c>
      <c r="L10" s="33" t="n">
        <f aca="false">IF($A10="","",_xlfn.MAXIFS('سجل المراجعات'!$E$5:$E$1504,'سجل المراجعات'!$A$5:$A$1504,$A10,'سجل المراجعات'!$D$5:$D$1504,"رد بملاحظات"))</f>
        <v>0</v>
      </c>
      <c r="M10" s="33" t="n">
        <f aca="false">IF($A10="","",_xlfn.MAXIFS('سجل المراجعات'!$E$5:$E$1504,'سجل المراجعات'!$A$5:$A$1504,$A10,'سجل المراجعات'!$D$5:$D$1504,"قبول"))</f>
        <v>0</v>
      </c>
      <c r="N10" s="26" t="n">
        <f aca="false">IF($A10="","",COUNTIFS('سجل المراجعات'!$A$5:$A$1504,$A10,'سجل المراجعات'!$D$5:$D$1504,"تسليم"))</f>
        <v>0</v>
      </c>
      <c r="O10" s="34" t="str">
        <f aca="false">IF($A10="","",IF(M10&gt;0,"تم القبول",IF(F10="معلق","معلق",IF(AND(L10&gt;0,L10&gt;=K10),"مُعاد بملاحظات",IF(K10&gt;0,"في انتظار القبول",IF(AND(ISNUMBER(E10),E10&lt;تاريخ_الاحتساب),"متأخر",IF(F10="","لم يبدأ",F10)))))))</f>
        <v>لم يبدأ</v>
      </c>
      <c r="P10" s="26" t="n">
        <f aca="false">IF($A10="","",SUMIFS('سجل المراجعات'!$L$5:$L$1504,'سجل المراجعات'!$A$5:$A$1504,$A10))</f>
        <v>0</v>
      </c>
      <c r="Q10" s="26" t="n">
        <f aca="false">IF($A10="","",SUMIFS('سجل المراجعات'!$M$5:$M$1504,'سجل المراجعات'!$A$5:$A$1504,$A10))</f>
        <v>0</v>
      </c>
      <c r="R10" s="26" t="n">
        <f aca="false">IF(OR($A10="",NOT(ISNUMBER(E10))),"",MAX(0,NETWORKDAYS.INTL(E10,IF(J10&gt;0,J10,تاريخ_الاحتساب),رمز_العطلة,أيام_الأجازات)-1))</f>
        <v>0</v>
      </c>
      <c r="S10" s="22"/>
    </row>
    <row r="11" customFormat="false" ht="15" hidden="false" customHeight="false" outlineLevel="0" collapsed="false">
      <c r="A11" s="20" t="s">
        <v>116</v>
      </c>
      <c r="B11" s="20" t="s">
        <v>78</v>
      </c>
      <c r="C11" s="30" t="str">
        <f aca="false">IF($A11="","",IFERROR(INDEX(بند_الاسم,MATCH($B11,قائمة_البنود,0)),"⚠ بند غير موجود"))</f>
        <v>تطوير الخدمات</v>
      </c>
      <c r="D11" s="22" t="s">
        <v>117</v>
      </c>
      <c r="E11" s="31"/>
      <c r="F11" s="21"/>
      <c r="G11" s="32"/>
      <c r="H11" s="25" t="n">
        <f aca="false">IF($A11="","",IFERROR(INDEX(بند_سعر_الوحدة,MATCH($B11,قائمة_البنود,0)),0))</f>
        <v>900000</v>
      </c>
      <c r="I11" s="25" t="n">
        <f aca="false">IF($A11="","",H11*(1+نسبة_الضريبة))</f>
        <v>1035000</v>
      </c>
      <c r="J11" s="33" t="n">
        <f aca="false">IF($A11="","",_xlfn.MINIFS('سجل المراجعات'!$E$5:$E$1504,'سجل المراجعات'!$A$5:$A$1504,$A11,'سجل المراجعات'!$D$5:$D$1504,"تسليم"))</f>
        <v>46174</v>
      </c>
      <c r="K11" s="33" t="n">
        <f aca="false">IF($A11="","",_xlfn.MAXIFS('سجل المراجعات'!$E$5:$E$1504,'سجل المراجعات'!$A$5:$A$1504,$A11,'سجل المراجعات'!$D$5:$D$1504,"تسليم"))</f>
        <v>46174</v>
      </c>
      <c r="L11" s="33" t="n">
        <f aca="false">IF($A11="","",_xlfn.MAXIFS('سجل المراجعات'!$E$5:$E$1504,'سجل المراجعات'!$A$5:$A$1504,$A11,'سجل المراجعات'!$D$5:$D$1504,"رد بملاحظات"))</f>
        <v>0</v>
      </c>
      <c r="M11" s="33" t="n">
        <f aca="false">IF($A11="","",_xlfn.MAXIFS('سجل المراجعات'!$E$5:$E$1504,'سجل المراجعات'!$A$5:$A$1504,$A11,'سجل المراجعات'!$D$5:$D$1504,"قبول"))</f>
        <v>0</v>
      </c>
      <c r="N11" s="26" t="n">
        <f aca="false">IF($A11="","",COUNTIFS('سجل المراجعات'!$A$5:$A$1504,$A11,'سجل المراجعات'!$D$5:$D$1504,"تسليم"))</f>
        <v>1</v>
      </c>
      <c r="O11" s="34" t="str">
        <f aca="false">IF($A11="","",IF(M11&gt;0,"تم القبول",IF(F11="معلق","معلق",IF(AND(L11&gt;0,L11&gt;=K11),"مُعاد بملاحظات",IF(K11&gt;0,"في انتظار القبول",IF(AND(ISNUMBER(E11),E11&lt;تاريخ_الاحتساب),"متأخر",IF(F11="","لم يبدأ",F11)))))))</f>
        <v>في انتظار القبول</v>
      </c>
      <c r="P11" s="26" t="n">
        <f aca="false">IF($A11="","",SUMIFS('سجل المراجعات'!$L$5:$L$1504,'سجل المراجعات'!$A$5:$A$1504,$A11))</f>
        <v>21</v>
      </c>
      <c r="Q11" s="26" t="n">
        <f aca="false">IF($A11="","",SUMIFS('سجل المراجعات'!$M$5:$M$1504,'سجل المراجعات'!$A$5:$A$1504,$A11))</f>
        <v>11</v>
      </c>
      <c r="R11" s="26" t="str">
        <f aca="false">IF(OR($A11="",NOT(ISNUMBER(E11))),"",MAX(0,NETWORKDAYS.INTL(E11,IF(J11&gt;0,J11,تاريخ_الاحتساب),رمز_العطلة,أيام_الأجازات)-1))</f>
        <v/>
      </c>
      <c r="S11" s="22"/>
    </row>
    <row r="12" customFormat="false" ht="15" hidden="false" customHeight="false" outlineLevel="0" collapsed="false">
      <c r="A12" s="20" t="s">
        <v>118</v>
      </c>
      <c r="B12" s="20" t="s">
        <v>78</v>
      </c>
      <c r="C12" s="30" t="str">
        <f aca="false">IF($A12="","",IFERROR(INDEX(بند_الاسم,MATCH($B12,قائمة_البنود,0)),"⚠ بند غير موجود"))</f>
        <v>تطوير الخدمات</v>
      </c>
      <c r="D12" s="22" t="s">
        <v>119</v>
      </c>
      <c r="E12" s="31"/>
      <c r="F12" s="21" t="s">
        <v>120</v>
      </c>
      <c r="G12" s="32"/>
      <c r="H12" s="25" t="n">
        <f aca="false">IF($A12="","",IFERROR(INDEX(بند_سعر_الوحدة,MATCH($B12,قائمة_البنود,0)),0))</f>
        <v>900000</v>
      </c>
      <c r="I12" s="25" t="n">
        <f aca="false">IF($A12="","",H12*(1+نسبة_الضريبة))</f>
        <v>1035000</v>
      </c>
      <c r="J12" s="33" t="n">
        <f aca="false">IF($A12="","",_xlfn.MINIFS('سجل المراجعات'!$E$5:$E$1504,'سجل المراجعات'!$A$5:$A$1504,$A12,'سجل المراجعات'!$D$5:$D$1504,"تسليم"))</f>
        <v>0</v>
      </c>
      <c r="K12" s="33" t="n">
        <f aca="false">IF($A12="","",_xlfn.MAXIFS('سجل المراجعات'!$E$5:$E$1504,'سجل المراجعات'!$A$5:$A$1504,$A12,'سجل المراجعات'!$D$5:$D$1504,"تسليم"))</f>
        <v>0</v>
      </c>
      <c r="L12" s="33" t="n">
        <f aca="false">IF($A12="","",_xlfn.MAXIFS('سجل المراجعات'!$E$5:$E$1504,'سجل المراجعات'!$A$5:$A$1504,$A12,'سجل المراجعات'!$D$5:$D$1504,"رد بملاحظات"))</f>
        <v>0</v>
      </c>
      <c r="M12" s="33" t="n">
        <f aca="false">IF($A12="","",_xlfn.MAXIFS('سجل المراجعات'!$E$5:$E$1504,'سجل المراجعات'!$A$5:$A$1504,$A12,'سجل المراجعات'!$D$5:$D$1504,"قبول"))</f>
        <v>0</v>
      </c>
      <c r="N12" s="26" t="n">
        <f aca="false">IF($A12="","",COUNTIFS('سجل المراجعات'!$A$5:$A$1504,$A12,'سجل المراجعات'!$D$5:$D$1504,"تسليم"))</f>
        <v>0</v>
      </c>
      <c r="O12" s="34" t="str">
        <f aca="false">IF($A12="","",IF(M12&gt;0,"تم القبول",IF(F12="معلق","معلق",IF(AND(L12&gt;0,L12&gt;=K12),"مُعاد بملاحظات",IF(K12&gt;0,"في انتظار القبول",IF(AND(ISNUMBER(E12),E12&lt;تاريخ_الاحتساب),"متأخر",IF(F12="","لم يبدأ",F12)))))))</f>
        <v>معلق</v>
      </c>
      <c r="P12" s="26" t="n">
        <f aca="false">IF($A12="","",SUMIFS('سجل المراجعات'!$L$5:$L$1504,'سجل المراجعات'!$A$5:$A$1504,$A12))</f>
        <v>0</v>
      </c>
      <c r="Q12" s="26" t="n">
        <f aca="false">IF($A12="","",SUMIFS('سجل المراجعات'!$M$5:$M$1504,'سجل المراجعات'!$A$5:$A$1504,$A12))</f>
        <v>0</v>
      </c>
      <c r="R12" s="26" t="str">
        <f aca="false">IF(OR($A12="",NOT(ISNUMBER(E12))),"",MAX(0,NETWORKDAYS.INTL(E12,IF(J12&gt;0,J12,تاريخ_الاحتساب),رمز_العطلة,أيام_الأجازات)-1))</f>
        <v/>
      </c>
      <c r="S12" s="22" t="s">
        <v>121</v>
      </c>
    </row>
    <row r="13" customFormat="false" ht="15" hidden="false" customHeight="false" outlineLevel="0" collapsed="false">
      <c r="A13" s="20" t="s">
        <v>122</v>
      </c>
      <c r="B13" s="20" t="s">
        <v>78</v>
      </c>
      <c r="C13" s="30" t="str">
        <f aca="false">IF($A13="","",IFERROR(INDEX(بند_الاسم,MATCH($B13,قائمة_البنود,0)),"⚠ بند غير موجود"))</f>
        <v>تطوير الخدمات</v>
      </c>
      <c r="D13" s="22" t="s">
        <v>123</v>
      </c>
      <c r="E13" s="31"/>
      <c r="F13" s="21" t="s">
        <v>112</v>
      </c>
      <c r="G13" s="32"/>
      <c r="H13" s="25" t="n">
        <f aca="false">IF($A13="","",IFERROR(INDEX(بند_سعر_الوحدة,MATCH($B13,قائمة_البنود,0)),0))</f>
        <v>900000</v>
      </c>
      <c r="I13" s="25" t="n">
        <f aca="false">IF($A13="","",H13*(1+نسبة_الضريبة))</f>
        <v>1035000</v>
      </c>
      <c r="J13" s="33" t="n">
        <f aca="false">IF($A13="","",_xlfn.MINIFS('سجل المراجعات'!$E$5:$E$1504,'سجل المراجعات'!$A$5:$A$1504,$A13,'سجل المراجعات'!$D$5:$D$1504,"تسليم"))</f>
        <v>0</v>
      </c>
      <c r="K13" s="33" t="n">
        <f aca="false">IF($A13="","",_xlfn.MAXIFS('سجل المراجعات'!$E$5:$E$1504,'سجل المراجعات'!$A$5:$A$1504,$A13,'سجل المراجعات'!$D$5:$D$1504,"تسليم"))</f>
        <v>0</v>
      </c>
      <c r="L13" s="33" t="n">
        <f aca="false">IF($A13="","",_xlfn.MAXIFS('سجل المراجعات'!$E$5:$E$1504,'سجل المراجعات'!$A$5:$A$1504,$A13,'سجل المراجعات'!$D$5:$D$1504,"رد بملاحظات"))</f>
        <v>0</v>
      </c>
      <c r="M13" s="33" t="n">
        <f aca="false">IF($A13="","",_xlfn.MAXIFS('سجل المراجعات'!$E$5:$E$1504,'سجل المراجعات'!$A$5:$A$1504,$A13,'سجل المراجعات'!$D$5:$D$1504,"قبول"))</f>
        <v>0</v>
      </c>
      <c r="N13" s="26" t="n">
        <f aca="false">IF($A13="","",COUNTIFS('سجل المراجعات'!$A$5:$A$1504,$A13,'سجل المراجعات'!$D$5:$D$1504,"تسليم"))</f>
        <v>0</v>
      </c>
      <c r="O13" s="34" t="str">
        <f aca="false">IF($A13="","",IF(M13&gt;0,"تم القبول",IF(F13="معلق","معلق",IF(AND(L13&gt;0,L13&gt;=K13),"مُعاد بملاحظات",IF(K13&gt;0,"في انتظار القبول",IF(AND(ISNUMBER(E13),E13&lt;تاريخ_الاحتساب),"متأخر",IF(F13="","لم يبدأ",F13)))))))</f>
        <v>جاري العمل</v>
      </c>
      <c r="P13" s="26" t="n">
        <f aca="false">IF($A13="","",SUMIFS('سجل المراجعات'!$L$5:$L$1504,'سجل المراجعات'!$A$5:$A$1504,$A13))</f>
        <v>0</v>
      </c>
      <c r="Q13" s="26" t="n">
        <f aca="false">IF($A13="","",SUMIFS('سجل المراجعات'!$M$5:$M$1504,'سجل المراجعات'!$A$5:$A$1504,$A13))</f>
        <v>0</v>
      </c>
      <c r="R13" s="26" t="str">
        <f aca="false">IF(OR($A13="",NOT(ISNUMBER(E13))),"",MAX(0,NETWORKDAYS.INTL(E13,IF(J13&gt;0,J13,تاريخ_الاحتساب),رمز_العطلة,أيام_الأجازات)-1))</f>
        <v/>
      </c>
      <c r="S13" s="22"/>
    </row>
    <row r="14" customFormat="false" ht="15" hidden="false" customHeight="false" outlineLevel="0" collapsed="false">
      <c r="A14" s="20"/>
      <c r="B14" s="20"/>
      <c r="C14" s="30" t="str">
        <f aca="false">IF($A14="","",IFERROR(INDEX(بند_الاسم,MATCH($B14,قائمة_البنود,0)),"⚠ بند غير موجود"))</f>
        <v/>
      </c>
      <c r="D14" s="22"/>
      <c r="E14" s="31"/>
      <c r="F14" s="21"/>
      <c r="G14" s="32"/>
      <c r="H14" s="25" t="str">
        <f aca="false">IF($A14="","",IFERROR(INDEX(بند_سعر_الوحدة,MATCH($B14,قائمة_البنود,0)),0))</f>
        <v/>
      </c>
      <c r="I14" s="25" t="str">
        <f aca="false">IF($A14="","",H14*(1+نسبة_الضريبة))</f>
        <v/>
      </c>
      <c r="J14" s="33" t="str">
        <f aca="false">IF($A14="","",_xlfn.MINIFS('سجل المراجعات'!$E$5:$E$1504,'سجل المراجعات'!$A$5:$A$1504,$A14,'سجل المراجعات'!$D$5:$D$1504,"تسليم"))</f>
        <v/>
      </c>
      <c r="K14" s="33" t="str">
        <f aca="false">IF($A14="","",_xlfn.MAXIFS('سجل المراجعات'!$E$5:$E$1504,'سجل المراجعات'!$A$5:$A$1504,$A14,'سجل المراجعات'!$D$5:$D$1504,"تسليم"))</f>
        <v/>
      </c>
      <c r="L14" s="33" t="str">
        <f aca="false">IF($A14="","",_xlfn.MAXIFS('سجل المراجعات'!$E$5:$E$1504,'سجل المراجعات'!$A$5:$A$1504,$A14,'سجل المراجعات'!$D$5:$D$1504,"رد بملاحظات"))</f>
        <v/>
      </c>
      <c r="M14" s="33" t="str">
        <f aca="false">IF($A14="","",_xlfn.MAXIFS('سجل المراجعات'!$E$5:$E$1504,'سجل المراجعات'!$A$5:$A$1504,$A14,'سجل المراجعات'!$D$5:$D$1504,"قبول"))</f>
        <v/>
      </c>
      <c r="N14" s="26" t="str">
        <f aca="false">IF($A14="","",COUNTIFS('سجل المراجعات'!$A$5:$A$1504,$A14,'سجل المراجعات'!$D$5:$D$1504,"تسليم"))</f>
        <v/>
      </c>
      <c r="O14" s="34" t="str">
        <f aca="false">IF($A14="","",IF(M14&gt;0,"تم القبول",IF(F14="معلق","معلق",IF(AND(L14&gt;0,L14&gt;=K14),"مُعاد بملاحظات",IF(K14&gt;0,"في انتظار القبول",IF(AND(ISNUMBER(E14),E14&lt;تاريخ_الاحتساب),"متأخر",IF(F14="","لم يبدأ",F14)))))))</f>
        <v/>
      </c>
      <c r="P14" s="26" t="str">
        <f aca="false">IF($A14="","",SUMIFS('سجل المراجعات'!$L$5:$L$1504,'سجل المراجعات'!$A$5:$A$1504,$A14))</f>
        <v/>
      </c>
      <c r="Q14" s="26" t="str">
        <f aca="false">IF($A14="","",SUMIFS('سجل المراجعات'!$M$5:$M$1504,'سجل المراجعات'!$A$5:$A$1504,$A14))</f>
        <v/>
      </c>
      <c r="R14" s="26" t="str">
        <f aca="false">IF(OR($A14="",NOT(ISNUMBER(E14))),"",MAX(0,NETWORKDAYS.INTL(E14,IF(J14&gt;0,J14,تاريخ_الاحتساب),رمز_العطلة,أيام_الأجازات)-1))</f>
        <v/>
      </c>
      <c r="S14" s="22"/>
    </row>
    <row r="15" customFormat="false" ht="15" hidden="false" customHeight="false" outlineLevel="0" collapsed="false">
      <c r="A15" s="20"/>
      <c r="B15" s="20"/>
      <c r="C15" s="30" t="str">
        <f aca="false">IF($A15="","",IFERROR(INDEX(بند_الاسم,MATCH($B15,قائمة_البنود,0)),"⚠ بند غير موجود"))</f>
        <v/>
      </c>
      <c r="D15" s="22"/>
      <c r="E15" s="31"/>
      <c r="F15" s="21"/>
      <c r="G15" s="32"/>
      <c r="H15" s="25" t="str">
        <f aca="false">IF($A15="","",IFERROR(INDEX(بند_سعر_الوحدة,MATCH($B15,قائمة_البنود,0)),0))</f>
        <v/>
      </c>
      <c r="I15" s="25" t="str">
        <f aca="false">IF($A15="","",H15*(1+نسبة_الضريبة))</f>
        <v/>
      </c>
      <c r="J15" s="33" t="str">
        <f aca="false">IF($A15="","",_xlfn.MINIFS('سجل المراجعات'!$E$5:$E$1504,'سجل المراجعات'!$A$5:$A$1504,$A15,'سجل المراجعات'!$D$5:$D$1504,"تسليم"))</f>
        <v/>
      </c>
      <c r="K15" s="33" t="str">
        <f aca="false">IF($A15="","",_xlfn.MAXIFS('سجل المراجعات'!$E$5:$E$1504,'سجل المراجعات'!$A$5:$A$1504,$A15,'سجل المراجعات'!$D$5:$D$1504,"تسليم"))</f>
        <v/>
      </c>
      <c r="L15" s="33" t="str">
        <f aca="false">IF($A15="","",_xlfn.MAXIFS('سجل المراجعات'!$E$5:$E$1504,'سجل المراجعات'!$A$5:$A$1504,$A15,'سجل المراجعات'!$D$5:$D$1504,"رد بملاحظات"))</f>
        <v/>
      </c>
      <c r="M15" s="33" t="str">
        <f aca="false">IF($A15="","",_xlfn.MAXIFS('سجل المراجعات'!$E$5:$E$1504,'سجل المراجعات'!$A$5:$A$1504,$A15,'سجل المراجعات'!$D$5:$D$1504,"قبول"))</f>
        <v/>
      </c>
      <c r="N15" s="26" t="str">
        <f aca="false">IF($A15="","",COUNTIFS('سجل المراجعات'!$A$5:$A$1504,$A15,'سجل المراجعات'!$D$5:$D$1504,"تسليم"))</f>
        <v/>
      </c>
      <c r="O15" s="34" t="str">
        <f aca="false">IF($A15="","",IF(M15&gt;0,"تم القبول",IF(F15="معلق","معلق",IF(AND(L15&gt;0,L15&gt;=K15),"مُعاد بملاحظات",IF(K15&gt;0,"في انتظار القبول",IF(AND(ISNUMBER(E15),E15&lt;تاريخ_الاحتساب),"متأخر",IF(F15="","لم يبدأ",F15)))))))</f>
        <v/>
      </c>
      <c r="P15" s="26" t="str">
        <f aca="false">IF($A15="","",SUMIFS('سجل المراجعات'!$L$5:$L$1504,'سجل المراجعات'!$A$5:$A$1504,$A15))</f>
        <v/>
      </c>
      <c r="Q15" s="26" t="str">
        <f aca="false">IF($A15="","",SUMIFS('سجل المراجعات'!$M$5:$M$1504,'سجل المراجعات'!$A$5:$A$1504,$A15))</f>
        <v/>
      </c>
      <c r="R15" s="26" t="str">
        <f aca="false">IF(OR($A15="",NOT(ISNUMBER(E15))),"",MAX(0,NETWORKDAYS.INTL(E15,IF(J15&gt;0,J15,تاريخ_الاحتساب),رمز_العطلة,أيام_الأجازات)-1))</f>
        <v/>
      </c>
      <c r="S15" s="22"/>
    </row>
    <row r="16" customFormat="false" ht="15" hidden="false" customHeight="false" outlineLevel="0" collapsed="false">
      <c r="A16" s="20"/>
      <c r="B16" s="20"/>
      <c r="C16" s="30" t="str">
        <f aca="false">IF($A16="","",IFERROR(INDEX(بند_الاسم,MATCH($B16,قائمة_البنود,0)),"⚠ بند غير موجود"))</f>
        <v/>
      </c>
      <c r="D16" s="22"/>
      <c r="E16" s="31"/>
      <c r="F16" s="21"/>
      <c r="G16" s="32"/>
      <c r="H16" s="25" t="str">
        <f aca="false">IF($A16="","",IFERROR(INDEX(بند_سعر_الوحدة,MATCH($B16,قائمة_البنود,0)),0))</f>
        <v/>
      </c>
      <c r="I16" s="25" t="str">
        <f aca="false">IF($A16="","",H16*(1+نسبة_الضريبة))</f>
        <v/>
      </c>
      <c r="J16" s="33" t="str">
        <f aca="false">IF($A16="","",_xlfn.MINIFS('سجل المراجعات'!$E$5:$E$1504,'سجل المراجعات'!$A$5:$A$1504,$A16,'سجل المراجعات'!$D$5:$D$1504,"تسليم"))</f>
        <v/>
      </c>
      <c r="K16" s="33" t="str">
        <f aca="false">IF($A16="","",_xlfn.MAXIFS('سجل المراجعات'!$E$5:$E$1504,'سجل المراجعات'!$A$5:$A$1504,$A16,'سجل المراجعات'!$D$5:$D$1504,"تسليم"))</f>
        <v/>
      </c>
      <c r="L16" s="33" t="str">
        <f aca="false">IF($A16="","",_xlfn.MAXIFS('سجل المراجعات'!$E$5:$E$1504,'سجل المراجعات'!$A$5:$A$1504,$A16,'سجل المراجعات'!$D$5:$D$1504,"رد بملاحظات"))</f>
        <v/>
      </c>
      <c r="M16" s="33" t="str">
        <f aca="false">IF($A16="","",_xlfn.MAXIFS('سجل المراجعات'!$E$5:$E$1504,'سجل المراجعات'!$A$5:$A$1504,$A16,'سجل المراجعات'!$D$5:$D$1504,"قبول"))</f>
        <v/>
      </c>
      <c r="N16" s="26" t="str">
        <f aca="false">IF($A16="","",COUNTIFS('سجل المراجعات'!$A$5:$A$1504,$A16,'سجل المراجعات'!$D$5:$D$1504,"تسليم"))</f>
        <v/>
      </c>
      <c r="O16" s="34" t="str">
        <f aca="false">IF($A16="","",IF(M16&gt;0,"تم القبول",IF(F16="معلق","معلق",IF(AND(L16&gt;0,L16&gt;=K16),"مُعاد بملاحظات",IF(K16&gt;0,"في انتظار القبول",IF(AND(ISNUMBER(E16),E16&lt;تاريخ_الاحتساب),"متأخر",IF(F16="","لم يبدأ",F16)))))))</f>
        <v/>
      </c>
      <c r="P16" s="26" t="str">
        <f aca="false">IF($A16="","",SUMIFS('سجل المراجعات'!$L$5:$L$1504,'سجل المراجعات'!$A$5:$A$1504,$A16))</f>
        <v/>
      </c>
      <c r="Q16" s="26" t="str">
        <f aca="false">IF($A16="","",SUMIFS('سجل المراجعات'!$M$5:$M$1504,'سجل المراجعات'!$A$5:$A$1504,$A16))</f>
        <v/>
      </c>
      <c r="R16" s="26" t="str">
        <f aca="false">IF(OR($A16="",NOT(ISNUMBER(E16))),"",MAX(0,NETWORKDAYS.INTL(E16,IF(J16&gt;0,J16,تاريخ_الاحتساب),رمز_العطلة,أيام_الأجازات)-1))</f>
        <v/>
      </c>
      <c r="S16" s="22"/>
    </row>
    <row r="17" customFormat="false" ht="15" hidden="false" customHeight="false" outlineLevel="0" collapsed="false">
      <c r="A17" s="20"/>
      <c r="B17" s="20"/>
      <c r="C17" s="30" t="str">
        <f aca="false">IF($A17="","",IFERROR(INDEX(بند_الاسم,MATCH($B17,قائمة_البنود,0)),"⚠ بند غير موجود"))</f>
        <v/>
      </c>
      <c r="D17" s="22"/>
      <c r="E17" s="31"/>
      <c r="F17" s="21"/>
      <c r="G17" s="32"/>
      <c r="H17" s="25" t="str">
        <f aca="false">IF($A17="","",IFERROR(INDEX(بند_سعر_الوحدة,MATCH($B17,قائمة_البنود,0)),0))</f>
        <v/>
      </c>
      <c r="I17" s="25" t="str">
        <f aca="false">IF($A17="","",H17*(1+نسبة_الضريبة))</f>
        <v/>
      </c>
      <c r="J17" s="33" t="str">
        <f aca="false">IF($A17="","",_xlfn.MINIFS('سجل المراجعات'!$E$5:$E$1504,'سجل المراجعات'!$A$5:$A$1504,$A17,'سجل المراجعات'!$D$5:$D$1504,"تسليم"))</f>
        <v/>
      </c>
      <c r="K17" s="33" t="str">
        <f aca="false">IF($A17="","",_xlfn.MAXIFS('سجل المراجعات'!$E$5:$E$1504,'سجل المراجعات'!$A$5:$A$1504,$A17,'سجل المراجعات'!$D$5:$D$1504,"تسليم"))</f>
        <v/>
      </c>
      <c r="L17" s="33" t="str">
        <f aca="false">IF($A17="","",_xlfn.MAXIFS('سجل المراجعات'!$E$5:$E$1504,'سجل المراجعات'!$A$5:$A$1504,$A17,'سجل المراجعات'!$D$5:$D$1504,"رد بملاحظات"))</f>
        <v/>
      </c>
      <c r="M17" s="33" t="str">
        <f aca="false">IF($A17="","",_xlfn.MAXIFS('سجل المراجعات'!$E$5:$E$1504,'سجل المراجعات'!$A$5:$A$1504,$A17,'سجل المراجعات'!$D$5:$D$1504,"قبول"))</f>
        <v/>
      </c>
      <c r="N17" s="26" t="str">
        <f aca="false">IF($A17="","",COUNTIFS('سجل المراجعات'!$A$5:$A$1504,$A17,'سجل المراجعات'!$D$5:$D$1504,"تسليم"))</f>
        <v/>
      </c>
      <c r="O17" s="34" t="str">
        <f aca="false">IF($A17="","",IF(M17&gt;0,"تم القبول",IF(F17="معلق","معلق",IF(AND(L17&gt;0,L17&gt;=K17),"مُعاد بملاحظات",IF(K17&gt;0,"في انتظار القبول",IF(AND(ISNUMBER(E17),E17&lt;تاريخ_الاحتساب),"متأخر",IF(F17="","لم يبدأ",F17)))))))</f>
        <v/>
      </c>
      <c r="P17" s="26" t="str">
        <f aca="false">IF($A17="","",SUMIFS('سجل المراجعات'!$L$5:$L$1504,'سجل المراجعات'!$A$5:$A$1504,$A17))</f>
        <v/>
      </c>
      <c r="Q17" s="26" t="str">
        <f aca="false">IF($A17="","",SUMIFS('سجل المراجعات'!$M$5:$M$1504,'سجل المراجعات'!$A$5:$A$1504,$A17))</f>
        <v/>
      </c>
      <c r="R17" s="26" t="str">
        <f aca="false">IF(OR($A17="",NOT(ISNUMBER(E17))),"",MAX(0,NETWORKDAYS.INTL(E17,IF(J17&gt;0,J17,تاريخ_الاحتساب),رمز_العطلة,أيام_الأجازات)-1))</f>
        <v/>
      </c>
      <c r="S17" s="22"/>
    </row>
    <row r="18" customFormat="false" ht="15" hidden="false" customHeight="false" outlineLevel="0" collapsed="false">
      <c r="A18" s="20"/>
      <c r="B18" s="20"/>
      <c r="C18" s="30" t="str">
        <f aca="false">IF($A18="","",IFERROR(INDEX(بند_الاسم,MATCH($B18,قائمة_البنود,0)),"⚠ بند غير موجود"))</f>
        <v/>
      </c>
      <c r="D18" s="22"/>
      <c r="E18" s="31"/>
      <c r="F18" s="21"/>
      <c r="G18" s="32"/>
      <c r="H18" s="25" t="str">
        <f aca="false">IF($A18="","",IFERROR(INDEX(بند_سعر_الوحدة,MATCH($B18,قائمة_البنود,0)),0))</f>
        <v/>
      </c>
      <c r="I18" s="25" t="str">
        <f aca="false">IF($A18="","",H18*(1+نسبة_الضريبة))</f>
        <v/>
      </c>
      <c r="J18" s="33" t="str">
        <f aca="false">IF($A18="","",_xlfn.MINIFS('سجل المراجعات'!$E$5:$E$1504,'سجل المراجعات'!$A$5:$A$1504,$A18,'سجل المراجعات'!$D$5:$D$1504,"تسليم"))</f>
        <v/>
      </c>
      <c r="K18" s="33" t="str">
        <f aca="false">IF($A18="","",_xlfn.MAXIFS('سجل المراجعات'!$E$5:$E$1504,'سجل المراجعات'!$A$5:$A$1504,$A18,'سجل المراجعات'!$D$5:$D$1504,"تسليم"))</f>
        <v/>
      </c>
      <c r="L18" s="33" t="str">
        <f aca="false">IF($A18="","",_xlfn.MAXIFS('سجل المراجعات'!$E$5:$E$1504,'سجل المراجعات'!$A$5:$A$1504,$A18,'سجل المراجعات'!$D$5:$D$1504,"رد بملاحظات"))</f>
        <v/>
      </c>
      <c r="M18" s="33" t="str">
        <f aca="false">IF($A18="","",_xlfn.MAXIFS('سجل المراجعات'!$E$5:$E$1504,'سجل المراجعات'!$A$5:$A$1504,$A18,'سجل المراجعات'!$D$5:$D$1504,"قبول"))</f>
        <v/>
      </c>
      <c r="N18" s="26" t="str">
        <f aca="false">IF($A18="","",COUNTIFS('سجل المراجعات'!$A$5:$A$1504,$A18,'سجل المراجعات'!$D$5:$D$1504,"تسليم"))</f>
        <v/>
      </c>
      <c r="O18" s="34" t="str">
        <f aca="false">IF($A18="","",IF(M18&gt;0,"تم القبول",IF(F18="معلق","معلق",IF(AND(L18&gt;0,L18&gt;=K18),"مُعاد بملاحظات",IF(K18&gt;0,"في انتظار القبول",IF(AND(ISNUMBER(E18),E18&lt;تاريخ_الاحتساب),"متأخر",IF(F18="","لم يبدأ",F18)))))))</f>
        <v/>
      </c>
      <c r="P18" s="26" t="str">
        <f aca="false">IF($A18="","",SUMIFS('سجل المراجعات'!$L$5:$L$1504,'سجل المراجعات'!$A$5:$A$1504,$A18))</f>
        <v/>
      </c>
      <c r="Q18" s="26" t="str">
        <f aca="false">IF($A18="","",SUMIFS('سجل المراجعات'!$M$5:$M$1504,'سجل المراجعات'!$A$5:$A$1504,$A18))</f>
        <v/>
      </c>
      <c r="R18" s="26" t="str">
        <f aca="false">IF(OR($A18="",NOT(ISNUMBER(E18))),"",MAX(0,NETWORKDAYS.INTL(E18,IF(J18&gt;0,J18,تاريخ_الاحتساب),رمز_العطلة,أيام_الأجازات)-1))</f>
        <v/>
      </c>
      <c r="S18" s="22"/>
    </row>
    <row r="19" customFormat="false" ht="15" hidden="false" customHeight="false" outlineLevel="0" collapsed="false">
      <c r="A19" s="20"/>
      <c r="B19" s="20"/>
      <c r="C19" s="30" t="str">
        <f aca="false">IF($A19="","",IFERROR(INDEX(بند_الاسم,MATCH($B19,قائمة_البنود,0)),"⚠ بند غير موجود"))</f>
        <v/>
      </c>
      <c r="D19" s="22"/>
      <c r="E19" s="31"/>
      <c r="F19" s="21"/>
      <c r="G19" s="32"/>
      <c r="H19" s="25" t="str">
        <f aca="false">IF($A19="","",IFERROR(INDEX(بند_سعر_الوحدة,MATCH($B19,قائمة_البنود,0)),0))</f>
        <v/>
      </c>
      <c r="I19" s="25" t="str">
        <f aca="false">IF($A19="","",H19*(1+نسبة_الضريبة))</f>
        <v/>
      </c>
      <c r="J19" s="33" t="str">
        <f aca="false">IF($A19="","",_xlfn.MINIFS('سجل المراجعات'!$E$5:$E$1504,'سجل المراجعات'!$A$5:$A$1504,$A19,'سجل المراجعات'!$D$5:$D$1504,"تسليم"))</f>
        <v/>
      </c>
      <c r="K19" s="33" t="str">
        <f aca="false">IF($A19="","",_xlfn.MAXIFS('سجل المراجعات'!$E$5:$E$1504,'سجل المراجعات'!$A$5:$A$1504,$A19,'سجل المراجعات'!$D$5:$D$1504,"تسليم"))</f>
        <v/>
      </c>
      <c r="L19" s="33" t="str">
        <f aca="false">IF($A19="","",_xlfn.MAXIFS('سجل المراجعات'!$E$5:$E$1504,'سجل المراجعات'!$A$5:$A$1504,$A19,'سجل المراجعات'!$D$5:$D$1504,"رد بملاحظات"))</f>
        <v/>
      </c>
      <c r="M19" s="33" t="str">
        <f aca="false">IF($A19="","",_xlfn.MAXIFS('سجل المراجعات'!$E$5:$E$1504,'سجل المراجعات'!$A$5:$A$1504,$A19,'سجل المراجعات'!$D$5:$D$1504,"قبول"))</f>
        <v/>
      </c>
      <c r="N19" s="26" t="str">
        <f aca="false">IF($A19="","",COUNTIFS('سجل المراجعات'!$A$5:$A$1504,$A19,'سجل المراجعات'!$D$5:$D$1504,"تسليم"))</f>
        <v/>
      </c>
      <c r="O19" s="34" t="str">
        <f aca="false">IF($A19="","",IF(M19&gt;0,"تم القبول",IF(F19="معلق","معلق",IF(AND(L19&gt;0,L19&gt;=K19),"مُعاد بملاحظات",IF(K19&gt;0,"في انتظار القبول",IF(AND(ISNUMBER(E19),E19&lt;تاريخ_الاحتساب),"متأخر",IF(F19="","لم يبدأ",F19)))))))</f>
        <v/>
      </c>
      <c r="P19" s="26" t="str">
        <f aca="false">IF($A19="","",SUMIFS('سجل المراجعات'!$L$5:$L$1504,'سجل المراجعات'!$A$5:$A$1504,$A19))</f>
        <v/>
      </c>
      <c r="Q19" s="26" t="str">
        <f aca="false">IF($A19="","",SUMIFS('سجل المراجعات'!$M$5:$M$1504,'سجل المراجعات'!$A$5:$A$1504,$A19))</f>
        <v/>
      </c>
      <c r="R19" s="26" t="str">
        <f aca="false">IF(OR($A19="",NOT(ISNUMBER(E19))),"",MAX(0,NETWORKDAYS.INTL(E19,IF(J19&gt;0,J19,تاريخ_الاحتساب),رمز_العطلة,أيام_الأجازات)-1))</f>
        <v/>
      </c>
      <c r="S19" s="22"/>
    </row>
    <row r="20" customFormat="false" ht="15" hidden="false" customHeight="false" outlineLevel="0" collapsed="false">
      <c r="A20" s="20"/>
      <c r="B20" s="20"/>
      <c r="C20" s="30" t="str">
        <f aca="false">IF($A20="","",IFERROR(INDEX(بند_الاسم,MATCH($B20,قائمة_البنود,0)),"⚠ بند غير موجود"))</f>
        <v/>
      </c>
      <c r="D20" s="22"/>
      <c r="E20" s="31"/>
      <c r="F20" s="21"/>
      <c r="G20" s="32"/>
      <c r="H20" s="25" t="str">
        <f aca="false">IF($A20="","",IFERROR(INDEX(بند_سعر_الوحدة,MATCH($B20,قائمة_البنود,0)),0))</f>
        <v/>
      </c>
      <c r="I20" s="25" t="str">
        <f aca="false">IF($A20="","",H20*(1+نسبة_الضريبة))</f>
        <v/>
      </c>
      <c r="J20" s="33" t="str">
        <f aca="false">IF($A20="","",_xlfn.MINIFS('سجل المراجعات'!$E$5:$E$1504,'سجل المراجعات'!$A$5:$A$1504,$A20,'سجل المراجعات'!$D$5:$D$1504,"تسليم"))</f>
        <v/>
      </c>
      <c r="K20" s="33" t="str">
        <f aca="false">IF($A20="","",_xlfn.MAXIFS('سجل المراجعات'!$E$5:$E$1504,'سجل المراجعات'!$A$5:$A$1504,$A20,'سجل المراجعات'!$D$5:$D$1504,"تسليم"))</f>
        <v/>
      </c>
      <c r="L20" s="33" t="str">
        <f aca="false">IF($A20="","",_xlfn.MAXIFS('سجل المراجعات'!$E$5:$E$1504,'سجل المراجعات'!$A$5:$A$1504,$A20,'سجل المراجعات'!$D$5:$D$1504,"رد بملاحظات"))</f>
        <v/>
      </c>
      <c r="M20" s="33" t="str">
        <f aca="false">IF($A20="","",_xlfn.MAXIFS('سجل المراجعات'!$E$5:$E$1504,'سجل المراجعات'!$A$5:$A$1504,$A20,'سجل المراجعات'!$D$5:$D$1504,"قبول"))</f>
        <v/>
      </c>
      <c r="N20" s="26" t="str">
        <f aca="false">IF($A20="","",COUNTIFS('سجل المراجعات'!$A$5:$A$1504,$A20,'سجل المراجعات'!$D$5:$D$1504,"تسليم"))</f>
        <v/>
      </c>
      <c r="O20" s="34" t="str">
        <f aca="false">IF($A20="","",IF(M20&gt;0,"تم القبول",IF(F20="معلق","معلق",IF(AND(L20&gt;0,L20&gt;=K20),"مُعاد بملاحظات",IF(K20&gt;0,"في انتظار القبول",IF(AND(ISNUMBER(E20),E20&lt;تاريخ_الاحتساب),"متأخر",IF(F20="","لم يبدأ",F20)))))))</f>
        <v/>
      </c>
      <c r="P20" s="26" t="str">
        <f aca="false">IF($A20="","",SUMIFS('سجل المراجعات'!$L$5:$L$1504,'سجل المراجعات'!$A$5:$A$1504,$A20))</f>
        <v/>
      </c>
      <c r="Q20" s="26" t="str">
        <f aca="false">IF($A20="","",SUMIFS('سجل المراجعات'!$M$5:$M$1504,'سجل المراجعات'!$A$5:$A$1504,$A20))</f>
        <v/>
      </c>
      <c r="R20" s="26" t="str">
        <f aca="false">IF(OR($A20="",NOT(ISNUMBER(E20))),"",MAX(0,NETWORKDAYS.INTL(E20,IF(J20&gt;0,J20,تاريخ_الاحتساب),رمز_العطلة,أيام_الأجازات)-1))</f>
        <v/>
      </c>
      <c r="S20" s="22"/>
    </row>
    <row r="21" customFormat="false" ht="15" hidden="false" customHeight="false" outlineLevel="0" collapsed="false">
      <c r="A21" s="20"/>
      <c r="B21" s="20"/>
      <c r="C21" s="30" t="str">
        <f aca="false">IF($A21="","",IFERROR(INDEX(بند_الاسم,MATCH($B21,قائمة_البنود,0)),"⚠ بند غير موجود"))</f>
        <v/>
      </c>
      <c r="D21" s="22"/>
      <c r="E21" s="31"/>
      <c r="F21" s="21"/>
      <c r="G21" s="32"/>
      <c r="H21" s="25" t="str">
        <f aca="false">IF($A21="","",IFERROR(INDEX(بند_سعر_الوحدة,MATCH($B21,قائمة_البنود,0)),0))</f>
        <v/>
      </c>
      <c r="I21" s="25" t="str">
        <f aca="false">IF($A21="","",H21*(1+نسبة_الضريبة))</f>
        <v/>
      </c>
      <c r="J21" s="33" t="str">
        <f aca="false">IF($A21="","",_xlfn.MINIFS('سجل المراجعات'!$E$5:$E$1504,'سجل المراجعات'!$A$5:$A$1504,$A21,'سجل المراجعات'!$D$5:$D$1504,"تسليم"))</f>
        <v/>
      </c>
      <c r="K21" s="33" t="str">
        <f aca="false">IF($A21="","",_xlfn.MAXIFS('سجل المراجعات'!$E$5:$E$1504,'سجل المراجعات'!$A$5:$A$1504,$A21,'سجل المراجعات'!$D$5:$D$1504,"تسليم"))</f>
        <v/>
      </c>
      <c r="L21" s="33" t="str">
        <f aca="false">IF($A21="","",_xlfn.MAXIFS('سجل المراجعات'!$E$5:$E$1504,'سجل المراجعات'!$A$5:$A$1504,$A21,'سجل المراجعات'!$D$5:$D$1504,"رد بملاحظات"))</f>
        <v/>
      </c>
      <c r="M21" s="33" t="str">
        <f aca="false">IF($A21="","",_xlfn.MAXIFS('سجل المراجعات'!$E$5:$E$1504,'سجل المراجعات'!$A$5:$A$1504,$A21,'سجل المراجعات'!$D$5:$D$1504,"قبول"))</f>
        <v/>
      </c>
      <c r="N21" s="26" t="str">
        <f aca="false">IF($A21="","",COUNTIFS('سجل المراجعات'!$A$5:$A$1504,$A21,'سجل المراجعات'!$D$5:$D$1504,"تسليم"))</f>
        <v/>
      </c>
      <c r="O21" s="34" t="str">
        <f aca="false">IF($A21="","",IF(M21&gt;0,"تم القبول",IF(F21="معلق","معلق",IF(AND(L21&gt;0,L21&gt;=K21),"مُعاد بملاحظات",IF(K21&gt;0,"في انتظار القبول",IF(AND(ISNUMBER(E21),E21&lt;تاريخ_الاحتساب),"متأخر",IF(F21="","لم يبدأ",F21)))))))</f>
        <v/>
      </c>
      <c r="P21" s="26" t="str">
        <f aca="false">IF($A21="","",SUMIFS('سجل المراجعات'!$L$5:$L$1504,'سجل المراجعات'!$A$5:$A$1504,$A21))</f>
        <v/>
      </c>
      <c r="Q21" s="26" t="str">
        <f aca="false">IF($A21="","",SUMIFS('سجل المراجعات'!$M$5:$M$1504,'سجل المراجعات'!$A$5:$A$1504,$A21))</f>
        <v/>
      </c>
      <c r="R21" s="26" t="str">
        <f aca="false">IF(OR($A21="",NOT(ISNUMBER(E21))),"",MAX(0,NETWORKDAYS.INTL(E21,IF(J21&gt;0,J21,تاريخ_الاحتساب),رمز_العطلة,أيام_الأجازات)-1))</f>
        <v/>
      </c>
      <c r="S21" s="22"/>
    </row>
    <row r="22" customFormat="false" ht="15" hidden="false" customHeight="false" outlineLevel="0" collapsed="false">
      <c r="A22" s="20"/>
      <c r="B22" s="20"/>
      <c r="C22" s="30" t="str">
        <f aca="false">IF($A22="","",IFERROR(INDEX(بند_الاسم,MATCH($B22,قائمة_البنود,0)),"⚠ بند غير موجود"))</f>
        <v/>
      </c>
      <c r="D22" s="22"/>
      <c r="E22" s="31"/>
      <c r="F22" s="21"/>
      <c r="G22" s="32"/>
      <c r="H22" s="25" t="str">
        <f aca="false">IF($A22="","",IFERROR(INDEX(بند_سعر_الوحدة,MATCH($B22,قائمة_البنود,0)),0))</f>
        <v/>
      </c>
      <c r="I22" s="25" t="str">
        <f aca="false">IF($A22="","",H22*(1+نسبة_الضريبة))</f>
        <v/>
      </c>
      <c r="J22" s="33" t="str">
        <f aca="false">IF($A22="","",_xlfn.MINIFS('سجل المراجعات'!$E$5:$E$1504,'سجل المراجعات'!$A$5:$A$1504,$A22,'سجل المراجعات'!$D$5:$D$1504,"تسليم"))</f>
        <v/>
      </c>
      <c r="K22" s="33" t="str">
        <f aca="false">IF($A22="","",_xlfn.MAXIFS('سجل المراجعات'!$E$5:$E$1504,'سجل المراجعات'!$A$5:$A$1504,$A22,'سجل المراجعات'!$D$5:$D$1504,"تسليم"))</f>
        <v/>
      </c>
      <c r="L22" s="33" t="str">
        <f aca="false">IF($A22="","",_xlfn.MAXIFS('سجل المراجعات'!$E$5:$E$1504,'سجل المراجعات'!$A$5:$A$1504,$A22,'سجل المراجعات'!$D$5:$D$1504,"رد بملاحظات"))</f>
        <v/>
      </c>
      <c r="M22" s="33" t="str">
        <f aca="false">IF($A22="","",_xlfn.MAXIFS('سجل المراجعات'!$E$5:$E$1504,'سجل المراجعات'!$A$5:$A$1504,$A22,'سجل المراجعات'!$D$5:$D$1504,"قبول"))</f>
        <v/>
      </c>
      <c r="N22" s="26" t="str">
        <f aca="false">IF($A22="","",COUNTIFS('سجل المراجعات'!$A$5:$A$1504,$A22,'سجل المراجعات'!$D$5:$D$1504,"تسليم"))</f>
        <v/>
      </c>
      <c r="O22" s="34" t="str">
        <f aca="false">IF($A22="","",IF(M22&gt;0,"تم القبول",IF(F22="معلق","معلق",IF(AND(L22&gt;0,L22&gt;=K22),"مُعاد بملاحظات",IF(K22&gt;0,"في انتظار القبول",IF(AND(ISNUMBER(E22),E22&lt;تاريخ_الاحتساب),"متأخر",IF(F22="","لم يبدأ",F22)))))))</f>
        <v/>
      </c>
      <c r="P22" s="26" t="str">
        <f aca="false">IF($A22="","",SUMIFS('سجل المراجعات'!$L$5:$L$1504,'سجل المراجعات'!$A$5:$A$1504,$A22))</f>
        <v/>
      </c>
      <c r="Q22" s="26" t="str">
        <f aca="false">IF($A22="","",SUMIFS('سجل المراجعات'!$M$5:$M$1504,'سجل المراجعات'!$A$5:$A$1504,$A22))</f>
        <v/>
      </c>
      <c r="R22" s="26" t="str">
        <f aca="false">IF(OR($A22="",NOT(ISNUMBER(E22))),"",MAX(0,NETWORKDAYS.INTL(E22,IF(J22&gt;0,J22,تاريخ_الاحتساب),رمز_العطلة,أيام_الأجازات)-1))</f>
        <v/>
      </c>
      <c r="S22" s="22"/>
    </row>
    <row r="23" customFormat="false" ht="15" hidden="false" customHeight="false" outlineLevel="0" collapsed="false">
      <c r="A23" s="20"/>
      <c r="B23" s="20"/>
      <c r="C23" s="30" t="str">
        <f aca="false">IF($A23="","",IFERROR(INDEX(بند_الاسم,MATCH($B23,قائمة_البنود,0)),"⚠ بند غير موجود"))</f>
        <v/>
      </c>
      <c r="D23" s="22"/>
      <c r="E23" s="31"/>
      <c r="F23" s="21"/>
      <c r="G23" s="32"/>
      <c r="H23" s="25" t="str">
        <f aca="false">IF($A23="","",IFERROR(INDEX(بند_سعر_الوحدة,MATCH($B23,قائمة_البنود,0)),0))</f>
        <v/>
      </c>
      <c r="I23" s="25" t="str">
        <f aca="false">IF($A23="","",H23*(1+نسبة_الضريبة))</f>
        <v/>
      </c>
      <c r="J23" s="33" t="str">
        <f aca="false">IF($A23="","",_xlfn.MINIFS('سجل المراجعات'!$E$5:$E$1504,'سجل المراجعات'!$A$5:$A$1504,$A23,'سجل المراجعات'!$D$5:$D$1504,"تسليم"))</f>
        <v/>
      </c>
      <c r="K23" s="33" t="str">
        <f aca="false">IF($A23="","",_xlfn.MAXIFS('سجل المراجعات'!$E$5:$E$1504,'سجل المراجعات'!$A$5:$A$1504,$A23,'سجل المراجعات'!$D$5:$D$1504,"تسليم"))</f>
        <v/>
      </c>
      <c r="L23" s="33" t="str">
        <f aca="false">IF($A23="","",_xlfn.MAXIFS('سجل المراجعات'!$E$5:$E$1504,'سجل المراجعات'!$A$5:$A$1504,$A23,'سجل المراجعات'!$D$5:$D$1504,"رد بملاحظات"))</f>
        <v/>
      </c>
      <c r="M23" s="33" t="str">
        <f aca="false">IF($A23="","",_xlfn.MAXIFS('سجل المراجعات'!$E$5:$E$1504,'سجل المراجعات'!$A$5:$A$1504,$A23,'سجل المراجعات'!$D$5:$D$1504,"قبول"))</f>
        <v/>
      </c>
      <c r="N23" s="26" t="str">
        <f aca="false">IF($A23="","",COUNTIFS('سجل المراجعات'!$A$5:$A$1504,$A23,'سجل المراجعات'!$D$5:$D$1504,"تسليم"))</f>
        <v/>
      </c>
      <c r="O23" s="34" t="str">
        <f aca="false">IF($A23="","",IF(M23&gt;0,"تم القبول",IF(F23="معلق","معلق",IF(AND(L23&gt;0,L23&gt;=K23),"مُعاد بملاحظات",IF(K23&gt;0,"في انتظار القبول",IF(AND(ISNUMBER(E23),E23&lt;تاريخ_الاحتساب),"متأخر",IF(F23="","لم يبدأ",F23)))))))</f>
        <v/>
      </c>
      <c r="P23" s="26" t="str">
        <f aca="false">IF($A23="","",SUMIFS('سجل المراجعات'!$L$5:$L$1504,'سجل المراجعات'!$A$5:$A$1504,$A23))</f>
        <v/>
      </c>
      <c r="Q23" s="26" t="str">
        <f aca="false">IF($A23="","",SUMIFS('سجل المراجعات'!$M$5:$M$1504,'سجل المراجعات'!$A$5:$A$1504,$A23))</f>
        <v/>
      </c>
      <c r="R23" s="26" t="str">
        <f aca="false">IF(OR($A23="",NOT(ISNUMBER(E23))),"",MAX(0,NETWORKDAYS.INTL(E23,IF(J23&gt;0,J23,تاريخ_الاحتساب),رمز_العطلة,أيام_الأجازات)-1))</f>
        <v/>
      </c>
      <c r="S23" s="22"/>
    </row>
    <row r="24" customFormat="false" ht="15" hidden="false" customHeight="false" outlineLevel="0" collapsed="false">
      <c r="A24" s="20"/>
      <c r="B24" s="20"/>
      <c r="C24" s="30" t="str">
        <f aca="false">IF($A24="","",IFERROR(INDEX(بند_الاسم,MATCH($B24,قائمة_البنود,0)),"⚠ بند غير موجود"))</f>
        <v/>
      </c>
      <c r="D24" s="22"/>
      <c r="E24" s="31"/>
      <c r="F24" s="21"/>
      <c r="G24" s="32"/>
      <c r="H24" s="25" t="str">
        <f aca="false">IF($A24="","",IFERROR(INDEX(بند_سعر_الوحدة,MATCH($B24,قائمة_البنود,0)),0))</f>
        <v/>
      </c>
      <c r="I24" s="25" t="str">
        <f aca="false">IF($A24="","",H24*(1+نسبة_الضريبة))</f>
        <v/>
      </c>
      <c r="J24" s="33" t="str">
        <f aca="false">IF($A24="","",_xlfn.MINIFS('سجل المراجعات'!$E$5:$E$1504,'سجل المراجعات'!$A$5:$A$1504,$A24,'سجل المراجعات'!$D$5:$D$1504,"تسليم"))</f>
        <v/>
      </c>
      <c r="K24" s="33" t="str">
        <f aca="false">IF($A24="","",_xlfn.MAXIFS('سجل المراجعات'!$E$5:$E$1504,'سجل المراجعات'!$A$5:$A$1504,$A24,'سجل المراجعات'!$D$5:$D$1504,"تسليم"))</f>
        <v/>
      </c>
      <c r="L24" s="33" t="str">
        <f aca="false">IF($A24="","",_xlfn.MAXIFS('سجل المراجعات'!$E$5:$E$1504,'سجل المراجعات'!$A$5:$A$1504,$A24,'سجل المراجعات'!$D$5:$D$1504,"رد بملاحظات"))</f>
        <v/>
      </c>
      <c r="M24" s="33" t="str">
        <f aca="false">IF($A24="","",_xlfn.MAXIFS('سجل المراجعات'!$E$5:$E$1504,'سجل المراجعات'!$A$5:$A$1504,$A24,'سجل المراجعات'!$D$5:$D$1504,"قبول"))</f>
        <v/>
      </c>
      <c r="N24" s="26" t="str">
        <f aca="false">IF($A24="","",COUNTIFS('سجل المراجعات'!$A$5:$A$1504,$A24,'سجل المراجعات'!$D$5:$D$1504,"تسليم"))</f>
        <v/>
      </c>
      <c r="O24" s="34" t="str">
        <f aca="false">IF($A24="","",IF(M24&gt;0,"تم القبول",IF(F24="معلق","معلق",IF(AND(L24&gt;0,L24&gt;=K24),"مُعاد بملاحظات",IF(K24&gt;0,"في انتظار القبول",IF(AND(ISNUMBER(E24),E24&lt;تاريخ_الاحتساب),"متأخر",IF(F24="","لم يبدأ",F24)))))))</f>
        <v/>
      </c>
      <c r="P24" s="26" t="str">
        <f aca="false">IF($A24="","",SUMIFS('سجل المراجعات'!$L$5:$L$1504,'سجل المراجعات'!$A$5:$A$1504,$A24))</f>
        <v/>
      </c>
      <c r="Q24" s="26" t="str">
        <f aca="false">IF($A24="","",SUMIFS('سجل المراجعات'!$M$5:$M$1504,'سجل المراجعات'!$A$5:$A$1504,$A24))</f>
        <v/>
      </c>
      <c r="R24" s="26" t="str">
        <f aca="false">IF(OR($A24="",NOT(ISNUMBER(E24))),"",MAX(0,NETWORKDAYS.INTL(E24,IF(J24&gt;0,J24,تاريخ_الاحتساب),رمز_العطلة,أيام_الأجازات)-1))</f>
        <v/>
      </c>
      <c r="S24" s="22"/>
    </row>
    <row r="25" customFormat="false" ht="15" hidden="false" customHeight="false" outlineLevel="0" collapsed="false">
      <c r="A25" s="20"/>
      <c r="B25" s="20"/>
      <c r="C25" s="30" t="str">
        <f aca="false">IF($A25="","",IFERROR(INDEX(بند_الاسم,MATCH($B25,قائمة_البنود,0)),"⚠ بند غير موجود"))</f>
        <v/>
      </c>
      <c r="D25" s="22"/>
      <c r="E25" s="31"/>
      <c r="F25" s="21"/>
      <c r="G25" s="32"/>
      <c r="H25" s="25" t="str">
        <f aca="false">IF($A25="","",IFERROR(INDEX(بند_سعر_الوحدة,MATCH($B25,قائمة_البنود,0)),0))</f>
        <v/>
      </c>
      <c r="I25" s="25" t="str">
        <f aca="false">IF($A25="","",H25*(1+نسبة_الضريبة))</f>
        <v/>
      </c>
      <c r="J25" s="33" t="str">
        <f aca="false">IF($A25="","",_xlfn.MINIFS('سجل المراجعات'!$E$5:$E$1504,'سجل المراجعات'!$A$5:$A$1504,$A25,'سجل المراجعات'!$D$5:$D$1504,"تسليم"))</f>
        <v/>
      </c>
      <c r="K25" s="33" t="str">
        <f aca="false">IF($A25="","",_xlfn.MAXIFS('سجل المراجعات'!$E$5:$E$1504,'سجل المراجعات'!$A$5:$A$1504,$A25,'سجل المراجعات'!$D$5:$D$1504,"تسليم"))</f>
        <v/>
      </c>
      <c r="L25" s="33" t="str">
        <f aca="false">IF($A25="","",_xlfn.MAXIFS('سجل المراجعات'!$E$5:$E$1504,'سجل المراجعات'!$A$5:$A$1504,$A25,'سجل المراجعات'!$D$5:$D$1504,"رد بملاحظات"))</f>
        <v/>
      </c>
      <c r="M25" s="33" t="str">
        <f aca="false">IF($A25="","",_xlfn.MAXIFS('سجل المراجعات'!$E$5:$E$1504,'سجل المراجعات'!$A$5:$A$1504,$A25,'سجل المراجعات'!$D$5:$D$1504,"قبول"))</f>
        <v/>
      </c>
      <c r="N25" s="26" t="str">
        <f aca="false">IF($A25="","",COUNTIFS('سجل المراجعات'!$A$5:$A$1504,$A25,'سجل المراجعات'!$D$5:$D$1504,"تسليم"))</f>
        <v/>
      </c>
      <c r="O25" s="34" t="str">
        <f aca="false">IF($A25="","",IF(M25&gt;0,"تم القبول",IF(F25="معلق","معلق",IF(AND(L25&gt;0,L25&gt;=K25),"مُعاد بملاحظات",IF(K25&gt;0,"في انتظار القبول",IF(AND(ISNUMBER(E25),E25&lt;تاريخ_الاحتساب),"متأخر",IF(F25="","لم يبدأ",F25)))))))</f>
        <v/>
      </c>
      <c r="P25" s="26" t="str">
        <f aca="false">IF($A25="","",SUMIFS('سجل المراجعات'!$L$5:$L$1504,'سجل المراجعات'!$A$5:$A$1504,$A25))</f>
        <v/>
      </c>
      <c r="Q25" s="26" t="str">
        <f aca="false">IF($A25="","",SUMIFS('سجل المراجعات'!$M$5:$M$1504,'سجل المراجعات'!$A$5:$A$1504,$A25))</f>
        <v/>
      </c>
      <c r="R25" s="26" t="str">
        <f aca="false">IF(OR($A25="",NOT(ISNUMBER(E25))),"",MAX(0,NETWORKDAYS.INTL(E25,IF(J25&gt;0,J25,تاريخ_الاحتساب),رمز_العطلة,أيام_الأجازات)-1))</f>
        <v/>
      </c>
      <c r="S25" s="22"/>
    </row>
    <row r="26" customFormat="false" ht="15" hidden="false" customHeight="false" outlineLevel="0" collapsed="false">
      <c r="A26" s="20"/>
      <c r="B26" s="20"/>
      <c r="C26" s="30" t="str">
        <f aca="false">IF($A26="","",IFERROR(INDEX(بند_الاسم,MATCH($B26,قائمة_البنود,0)),"⚠ بند غير موجود"))</f>
        <v/>
      </c>
      <c r="D26" s="22"/>
      <c r="E26" s="31"/>
      <c r="F26" s="21"/>
      <c r="G26" s="32"/>
      <c r="H26" s="25" t="str">
        <f aca="false">IF($A26="","",IFERROR(INDEX(بند_سعر_الوحدة,MATCH($B26,قائمة_البنود,0)),0))</f>
        <v/>
      </c>
      <c r="I26" s="25" t="str">
        <f aca="false">IF($A26="","",H26*(1+نسبة_الضريبة))</f>
        <v/>
      </c>
      <c r="J26" s="33" t="str">
        <f aca="false">IF($A26="","",_xlfn.MINIFS('سجل المراجعات'!$E$5:$E$1504,'سجل المراجعات'!$A$5:$A$1504,$A26,'سجل المراجعات'!$D$5:$D$1504,"تسليم"))</f>
        <v/>
      </c>
      <c r="K26" s="33" t="str">
        <f aca="false">IF($A26="","",_xlfn.MAXIFS('سجل المراجعات'!$E$5:$E$1504,'سجل المراجعات'!$A$5:$A$1504,$A26,'سجل المراجعات'!$D$5:$D$1504,"تسليم"))</f>
        <v/>
      </c>
      <c r="L26" s="33" t="str">
        <f aca="false">IF($A26="","",_xlfn.MAXIFS('سجل المراجعات'!$E$5:$E$1504,'سجل المراجعات'!$A$5:$A$1504,$A26,'سجل المراجعات'!$D$5:$D$1504,"رد بملاحظات"))</f>
        <v/>
      </c>
      <c r="M26" s="33" t="str">
        <f aca="false">IF($A26="","",_xlfn.MAXIFS('سجل المراجعات'!$E$5:$E$1504,'سجل المراجعات'!$A$5:$A$1504,$A26,'سجل المراجعات'!$D$5:$D$1504,"قبول"))</f>
        <v/>
      </c>
      <c r="N26" s="26" t="str">
        <f aca="false">IF($A26="","",COUNTIFS('سجل المراجعات'!$A$5:$A$1504,$A26,'سجل المراجعات'!$D$5:$D$1504,"تسليم"))</f>
        <v/>
      </c>
      <c r="O26" s="34" t="str">
        <f aca="false">IF($A26="","",IF(M26&gt;0,"تم القبول",IF(F26="معلق","معلق",IF(AND(L26&gt;0,L26&gt;=K26),"مُعاد بملاحظات",IF(K26&gt;0,"في انتظار القبول",IF(AND(ISNUMBER(E26),E26&lt;تاريخ_الاحتساب),"متأخر",IF(F26="","لم يبدأ",F26)))))))</f>
        <v/>
      </c>
      <c r="P26" s="26" t="str">
        <f aca="false">IF($A26="","",SUMIFS('سجل المراجعات'!$L$5:$L$1504,'سجل المراجعات'!$A$5:$A$1504,$A26))</f>
        <v/>
      </c>
      <c r="Q26" s="26" t="str">
        <f aca="false">IF($A26="","",SUMIFS('سجل المراجعات'!$M$5:$M$1504,'سجل المراجعات'!$A$5:$A$1504,$A26))</f>
        <v/>
      </c>
      <c r="R26" s="26" t="str">
        <f aca="false">IF(OR($A26="",NOT(ISNUMBER(E26))),"",MAX(0,NETWORKDAYS.INTL(E26,IF(J26&gt;0,J26,تاريخ_الاحتساب),رمز_العطلة,أيام_الأجازات)-1))</f>
        <v/>
      </c>
      <c r="S26" s="22"/>
    </row>
    <row r="27" customFormat="false" ht="15" hidden="false" customHeight="false" outlineLevel="0" collapsed="false">
      <c r="A27" s="20"/>
      <c r="B27" s="20"/>
      <c r="C27" s="30" t="str">
        <f aca="false">IF($A27="","",IFERROR(INDEX(بند_الاسم,MATCH($B27,قائمة_البنود,0)),"⚠ بند غير موجود"))</f>
        <v/>
      </c>
      <c r="D27" s="22"/>
      <c r="E27" s="31"/>
      <c r="F27" s="21"/>
      <c r="G27" s="32"/>
      <c r="H27" s="25" t="str">
        <f aca="false">IF($A27="","",IFERROR(INDEX(بند_سعر_الوحدة,MATCH($B27,قائمة_البنود,0)),0))</f>
        <v/>
      </c>
      <c r="I27" s="25" t="str">
        <f aca="false">IF($A27="","",H27*(1+نسبة_الضريبة))</f>
        <v/>
      </c>
      <c r="J27" s="33" t="str">
        <f aca="false">IF($A27="","",_xlfn.MINIFS('سجل المراجعات'!$E$5:$E$1504,'سجل المراجعات'!$A$5:$A$1504,$A27,'سجل المراجعات'!$D$5:$D$1504,"تسليم"))</f>
        <v/>
      </c>
      <c r="K27" s="33" t="str">
        <f aca="false">IF($A27="","",_xlfn.MAXIFS('سجل المراجعات'!$E$5:$E$1504,'سجل المراجعات'!$A$5:$A$1504,$A27,'سجل المراجعات'!$D$5:$D$1504,"تسليم"))</f>
        <v/>
      </c>
      <c r="L27" s="33" t="str">
        <f aca="false">IF($A27="","",_xlfn.MAXIFS('سجل المراجعات'!$E$5:$E$1504,'سجل المراجعات'!$A$5:$A$1504,$A27,'سجل المراجعات'!$D$5:$D$1504,"رد بملاحظات"))</f>
        <v/>
      </c>
      <c r="M27" s="33" t="str">
        <f aca="false">IF($A27="","",_xlfn.MAXIFS('سجل المراجعات'!$E$5:$E$1504,'سجل المراجعات'!$A$5:$A$1504,$A27,'سجل المراجعات'!$D$5:$D$1504,"قبول"))</f>
        <v/>
      </c>
      <c r="N27" s="26" t="str">
        <f aca="false">IF($A27="","",COUNTIFS('سجل المراجعات'!$A$5:$A$1504,$A27,'سجل المراجعات'!$D$5:$D$1504,"تسليم"))</f>
        <v/>
      </c>
      <c r="O27" s="34" t="str">
        <f aca="false">IF($A27="","",IF(M27&gt;0,"تم القبول",IF(F27="معلق","معلق",IF(AND(L27&gt;0,L27&gt;=K27),"مُعاد بملاحظات",IF(K27&gt;0,"في انتظار القبول",IF(AND(ISNUMBER(E27),E27&lt;تاريخ_الاحتساب),"متأخر",IF(F27="","لم يبدأ",F27)))))))</f>
        <v/>
      </c>
      <c r="P27" s="26" t="str">
        <f aca="false">IF($A27="","",SUMIFS('سجل المراجعات'!$L$5:$L$1504,'سجل المراجعات'!$A$5:$A$1504,$A27))</f>
        <v/>
      </c>
      <c r="Q27" s="26" t="str">
        <f aca="false">IF($A27="","",SUMIFS('سجل المراجعات'!$M$5:$M$1504,'سجل المراجعات'!$A$5:$A$1504,$A27))</f>
        <v/>
      </c>
      <c r="R27" s="26" t="str">
        <f aca="false">IF(OR($A27="",NOT(ISNUMBER(E27))),"",MAX(0,NETWORKDAYS.INTL(E27,IF(J27&gt;0,J27,تاريخ_الاحتساب),رمز_العطلة,أيام_الأجازات)-1))</f>
        <v/>
      </c>
      <c r="S27" s="22"/>
    </row>
    <row r="28" customFormat="false" ht="15" hidden="false" customHeight="false" outlineLevel="0" collapsed="false">
      <c r="A28" s="20"/>
      <c r="B28" s="20"/>
      <c r="C28" s="30" t="str">
        <f aca="false">IF($A28="","",IFERROR(INDEX(بند_الاسم,MATCH($B28,قائمة_البنود,0)),"⚠ بند غير موجود"))</f>
        <v/>
      </c>
      <c r="D28" s="22"/>
      <c r="E28" s="31"/>
      <c r="F28" s="21"/>
      <c r="G28" s="32"/>
      <c r="H28" s="25" t="str">
        <f aca="false">IF($A28="","",IFERROR(INDEX(بند_سعر_الوحدة,MATCH($B28,قائمة_البنود,0)),0))</f>
        <v/>
      </c>
      <c r="I28" s="25" t="str">
        <f aca="false">IF($A28="","",H28*(1+نسبة_الضريبة))</f>
        <v/>
      </c>
      <c r="J28" s="33" t="str">
        <f aca="false">IF($A28="","",_xlfn.MINIFS('سجل المراجعات'!$E$5:$E$1504,'سجل المراجعات'!$A$5:$A$1504,$A28,'سجل المراجعات'!$D$5:$D$1504,"تسليم"))</f>
        <v/>
      </c>
      <c r="K28" s="33" t="str">
        <f aca="false">IF($A28="","",_xlfn.MAXIFS('سجل المراجعات'!$E$5:$E$1504,'سجل المراجعات'!$A$5:$A$1504,$A28,'سجل المراجعات'!$D$5:$D$1504,"تسليم"))</f>
        <v/>
      </c>
      <c r="L28" s="33" t="str">
        <f aca="false">IF($A28="","",_xlfn.MAXIFS('سجل المراجعات'!$E$5:$E$1504,'سجل المراجعات'!$A$5:$A$1504,$A28,'سجل المراجعات'!$D$5:$D$1504,"رد بملاحظات"))</f>
        <v/>
      </c>
      <c r="M28" s="33" t="str">
        <f aca="false">IF($A28="","",_xlfn.MAXIFS('سجل المراجعات'!$E$5:$E$1504,'سجل المراجعات'!$A$5:$A$1504,$A28,'سجل المراجعات'!$D$5:$D$1504,"قبول"))</f>
        <v/>
      </c>
      <c r="N28" s="26" t="str">
        <f aca="false">IF($A28="","",COUNTIFS('سجل المراجعات'!$A$5:$A$1504,$A28,'سجل المراجعات'!$D$5:$D$1504,"تسليم"))</f>
        <v/>
      </c>
      <c r="O28" s="34" t="str">
        <f aca="false">IF($A28="","",IF(M28&gt;0,"تم القبول",IF(F28="معلق","معلق",IF(AND(L28&gt;0,L28&gt;=K28),"مُعاد بملاحظات",IF(K28&gt;0,"في انتظار القبول",IF(AND(ISNUMBER(E28),E28&lt;تاريخ_الاحتساب),"متأخر",IF(F28="","لم يبدأ",F28)))))))</f>
        <v/>
      </c>
      <c r="P28" s="26" t="str">
        <f aca="false">IF($A28="","",SUMIFS('سجل المراجعات'!$L$5:$L$1504,'سجل المراجعات'!$A$5:$A$1504,$A28))</f>
        <v/>
      </c>
      <c r="Q28" s="26" t="str">
        <f aca="false">IF($A28="","",SUMIFS('سجل المراجعات'!$M$5:$M$1504,'سجل المراجعات'!$A$5:$A$1504,$A28))</f>
        <v/>
      </c>
      <c r="R28" s="26" t="str">
        <f aca="false">IF(OR($A28="",NOT(ISNUMBER(E28))),"",MAX(0,NETWORKDAYS.INTL(E28,IF(J28&gt;0,J28,تاريخ_الاحتساب),رمز_العطلة,أيام_الأجازات)-1))</f>
        <v/>
      </c>
      <c r="S28" s="22"/>
    </row>
    <row r="29" customFormat="false" ht="15" hidden="false" customHeight="false" outlineLevel="0" collapsed="false">
      <c r="A29" s="20"/>
      <c r="B29" s="20"/>
      <c r="C29" s="30" t="str">
        <f aca="false">IF($A29="","",IFERROR(INDEX(بند_الاسم,MATCH($B29,قائمة_البنود,0)),"⚠ بند غير موجود"))</f>
        <v/>
      </c>
      <c r="D29" s="22"/>
      <c r="E29" s="31"/>
      <c r="F29" s="21"/>
      <c r="G29" s="32"/>
      <c r="H29" s="25" t="str">
        <f aca="false">IF($A29="","",IFERROR(INDEX(بند_سعر_الوحدة,MATCH($B29,قائمة_البنود,0)),0))</f>
        <v/>
      </c>
      <c r="I29" s="25" t="str">
        <f aca="false">IF($A29="","",H29*(1+نسبة_الضريبة))</f>
        <v/>
      </c>
      <c r="J29" s="33" t="str">
        <f aca="false">IF($A29="","",_xlfn.MINIFS('سجل المراجعات'!$E$5:$E$1504,'سجل المراجعات'!$A$5:$A$1504,$A29,'سجل المراجعات'!$D$5:$D$1504,"تسليم"))</f>
        <v/>
      </c>
      <c r="K29" s="33" t="str">
        <f aca="false">IF($A29="","",_xlfn.MAXIFS('سجل المراجعات'!$E$5:$E$1504,'سجل المراجعات'!$A$5:$A$1504,$A29,'سجل المراجعات'!$D$5:$D$1504,"تسليم"))</f>
        <v/>
      </c>
      <c r="L29" s="33" t="str">
        <f aca="false">IF($A29="","",_xlfn.MAXIFS('سجل المراجعات'!$E$5:$E$1504,'سجل المراجعات'!$A$5:$A$1504,$A29,'سجل المراجعات'!$D$5:$D$1504,"رد بملاحظات"))</f>
        <v/>
      </c>
      <c r="M29" s="33" t="str">
        <f aca="false">IF($A29="","",_xlfn.MAXIFS('سجل المراجعات'!$E$5:$E$1504,'سجل المراجعات'!$A$5:$A$1504,$A29,'سجل المراجعات'!$D$5:$D$1504,"قبول"))</f>
        <v/>
      </c>
      <c r="N29" s="26" t="str">
        <f aca="false">IF($A29="","",COUNTIFS('سجل المراجعات'!$A$5:$A$1504,$A29,'سجل المراجعات'!$D$5:$D$1504,"تسليم"))</f>
        <v/>
      </c>
      <c r="O29" s="34" t="str">
        <f aca="false">IF($A29="","",IF(M29&gt;0,"تم القبول",IF(F29="معلق","معلق",IF(AND(L29&gt;0,L29&gt;=K29),"مُعاد بملاحظات",IF(K29&gt;0,"في انتظار القبول",IF(AND(ISNUMBER(E29),E29&lt;تاريخ_الاحتساب),"متأخر",IF(F29="","لم يبدأ",F29)))))))</f>
        <v/>
      </c>
      <c r="P29" s="26" t="str">
        <f aca="false">IF($A29="","",SUMIFS('سجل المراجعات'!$L$5:$L$1504,'سجل المراجعات'!$A$5:$A$1504,$A29))</f>
        <v/>
      </c>
      <c r="Q29" s="26" t="str">
        <f aca="false">IF($A29="","",SUMIFS('سجل المراجعات'!$M$5:$M$1504,'سجل المراجعات'!$A$5:$A$1504,$A29))</f>
        <v/>
      </c>
      <c r="R29" s="26" t="str">
        <f aca="false">IF(OR($A29="",NOT(ISNUMBER(E29))),"",MAX(0,NETWORKDAYS.INTL(E29,IF(J29&gt;0,J29,تاريخ_الاحتساب),رمز_العطلة,أيام_الأجازات)-1))</f>
        <v/>
      </c>
      <c r="S29" s="22"/>
    </row>
    <row r="30" customFormat="false" ht="15" hidden="false" customHeight="false" outlineLevel="0" collapsed="false">
      <c r="A30" s="20"/>
      <c r="B30" s="20"/>
      <c r="C30" s="30" t="str">
        <f aca="false">IF($A30="","",IFERROR(INDEX(بند_الاسم,MATCH($B30,قائمة_البنود,0)),"⚠ بند غير موجود"))</f>
        <v/>
      </c>
      <c r="D30" s="22"/>
      <c r="E30" s="31"/>
      <c r="F30" s="21"/>
      <c r="G30" s="32"/>
      <c r="H30" s="25" t="str">
        <f aca="false">IF($A30="","",IFERROR(INDEX(بند_سعر_الوحدة,MATCH($B30,قائمة_البنود,0)),0))</f>
        <v/>
      </c>
      <c r="I30" s="25" t="str">
        <f aca="false">IF($A30="","",H30*(1+نسبة_الضريبة))</f>
        <v/>
      </c>
      <c r="J30" s="33" t="str">
        <f aca="false">IF($A30="","",_xlfn.MINIFS('سجل المراجعات'!$E$5:$E$1504,'سجل المراجعات'!$A$5:$A$1504,$A30,'سجل المراجعات'!$D$5:$D$1504,"تسليم"))</f>
        <v/>
      </c>
      <c r="K30" s="33" t="str">
        <f aca="false">IF($A30="","",_xlfn.MAXIFS('سجل المراجعات'!$E$5:$E$1504,'سجل المراجعات'!$A$5:$A$1504,$A30,'سجل المراجعات'!$D$5:$D$1504,"تسليم"))</f>
        <v/>
      </c>
      <c r="L30" s="33" t="str">
        <f aca="false">IF($A30="","",_xlfn.MAXIFS('سجل المراجعات'!$E$5:$E$1504,'سجل المراجعات'!$A$5:$A$1504,$A30,'سجل المراجعات'!$D$5:$D$1504,"رد بملاحظات"))</f>
        <v/>
      </c>
      <c r="M30" s="33" t="str">
        <f aca="false">IF($A30="","",_xlfn.MAXIFS('سجل المراجعات'!$E$5:$E$1504,'سجل المراجعات'!$A$5:$A$1504,$A30,'سجل المراجعات'!$D$5:$D$1504,"قبول"))</f>
        <v/>
      </c>
      <c r="N30" s="26" t="str">
        <f aca="false">IF($A30="","",COUNTIFS('سجل المراجعات'!$A$5:$A$1504,$A30,'سجل المراجعات'!$D$5:$D$1504,"تسليم"))</f>
        <v/>
      </c>
      <c r="O30" s="34" t="str">
        <f aca="false">IF($A30="","",IF(M30&gt;0,"تم القبول",IF(F30="معلق","معلق",IF(AND(L30&gt;0,L30&gt;=K30),"مُعاد بملاحظات",IF(K30&gt;0,"في انتظار القبول",IF(AND(ISNUMBER(E30),E30&lt;تاريخ_الاحتساب),"متأخر",IF(F30="","لم يبدأ",F30)))))))</f>
        <v/>
      </c>
      <c r="P30" s="26" t="str">
        <f aca="false">IF($A30="","",SUMIFS('سجل المراجعات'!$L$5:$L$1504,'سجل المراجعات'!$A$5:$A$1504,$A30))</f>
        <v/>
      </c>
      <c r="Q30" s="26" t="str">
        <f aca="false">IF($A30="","",SUMIFS('سجل المراجعات'!$M$5:$M$1504,'سجل المراجعات'!$A$5:$A$1504,$A30))</f>
        <v/>
      </c>
      <c r="R30" s="26" t="str">
        <f aca="false">IF(OR($A30="",NOT(ISNUMBER(E30))),"",MAX(0,NETWORKDAYS.INTL(E30,IF(J30&gt;0,J30,تاريخ_الاحتساب),رمز_العطلة,أيام_الأجازات)-1))</f>
        <v/>
      </c>
      <c r="S30" s="22"/>
    </row>
    <row r="31" customFormat="false" ht="15" hidden="false" customHeight="false" outlineLevel="0" collapsed="false">
      <c r="A31" s="20"/>
      <c r="B31" s="20"/>
      <c r="C31" s="30" t="str">
        <f aca="false">IF($A31="","",IFERROR(INDEX(بند_الاسم,MATCH($B31,قائمة_البنود,0)),"⚠ بند غير موجود"))</f>
        <v/>
      </c>
      <c r="D31" s="22"/>
      <c r="E31" s="31"/>
      <c r="F31" s="21"/>
      <c r="G31" s="32"/>
      <c r="H31" s="25" t="str">
        <f aca="false">IF($A31="","",IFERROR(INDEX(بند_سعر_الوحدة,MATCH($B31,قائمة_البنود,0)),0))</f>
        <v/>
      </c>
      <c r="I31" s="25" t="str">
        <f aca="false">IF($A31="","",H31*(1+نسبة_الضريبة))</f>
        <v/>
      </c>
      <c r="J31" s="33" t="str">
        <f aca="false">IF($A31="","",_xlfn.MINIFS('سجل المراجعات'!$E$5:$E$1504,'سجل المراجعات'!$A$5:$A$1504,$A31,'سجل المراجعات'!$D$5:$D$1504,"تسليم"))</f>
        <v/>
      </c>
      <c r="K31" s="33" t="str">
        <f aca="false">IF($A31="","",_xlfn.MAXIFS('سجل المراجعات'!$E$5:$E$1504,'سجل المراجعات'!$A$5:$A$1504,$A31,'سجل المراجعات'!$D$5:$D$1504,"تسليم"))</f>
        <v/>
      </c>
      <c r="L31" s="33" t="str">
        <f aca="false">IF($A31="","",_xlfn.MAXIFS('سجل المراجعات'!$E$5:$E$1504,'سجل المراجعات'!$A$5:$A$1504,$A31,'سجل المراجعات'!$D$5:$D$1504,"رد بملاحظات"))</f>
        <v/>
      </c>
      <c r="M31" s="33" t="str">
        <f aca="false">IF($A31="","",_xlfn.MAXIFS('سجل المراجعات'!$E$5:$E$1504,'سجل المراجعات'!$A$5:$A$1504,$A31,'سجل المراجعات'!$D$5:$D$1504,"قبول"))</f>
        <v/>
      </c>
      <c r="N31" s="26" t="str">
        <f aca="false">IF($A31="","",COUNTIFS('سجل المراجعات'!$A$5:$A$1504,$A31,'سجل المراجعات'!$D$5:$D$1504,"تسليم"))</f>
        <v/>
      </c>
      <c r="O31" s="34" t="str">
        <f aca="false">IF($A31="","",IF(M31&gt;0,"تم القبول",IF(F31="معلق","معلق",IF(AND(L31&gt;0,L31&gt;=K31),"مُعاد بملاحظات",IF(K31&gt;0,"في انتظار القبول",IF(AND(ISNUMBER(E31),E31&lt;تاريخ_الاحتساب),"متأخر",IF(F31="","لم يبدأ",F31)))))))</f>
        <v/>
      </c>
      <c r="P31" s="26" t="str">
        <f aca="false">IF($A31="","",SUMIFS('سجل المراجعات'!$L$5:$L$1504,'سجل المراجعات'!$A$5:$A$1504,$A31))</f>
        <v/>
      </c>
      <c r="Q31" s="26" t="str">
        <f aca="false">IF($A31="","",SUMIFS('سجل المراجعات'!$M$5:$M$1504,'سجل المراجعات'!$A$5:$A$1504,$A31))</f>
        <v/>
      </c>
      <c r="R31" s="26" t="str">
        <f aca="false">IF(OR($A31="",NOT(ISNUMBER(E31))),"",MAX(0,NETWORKDAYS.INTL(E31,IF(J31&gt;0,J31,تاريخ_الاحتساب),رمز_العطلة,أيام_الأجازات)-1))</f>
        <v/>
      </c>
      <c r="S31" s="22"/>
    </row>
    <row r="32" customFormat="false" ht="15" hidden="false" customHeight="false" outlineLevel="0" collapsed="false">
      <c r="A32" s="20"/>
      <c r="B32" s="20"/>
      <c r="C32" s="30" t="str">
        <f aca="false">IF($A32="","",IFERROR(INDEX(بند_الاسم,MATCH($B32,قائمة_البنود,0)),"⚠ بند غير موجود"))</f>
        <v/>
      </c>
      <c r="D32" s="22"/>
      <c r="E32" s="31"/>
      <c r="F32" s="21"/>
      <c r="G32" s="32"/>
      <c r="H32" s="25" t="str">
        <f aca="false">IF($A32="","",IFERROR(INDEX(بند_سعر_الوحدة,MATCH($B32,قائمة_البنود,0)),0))</f>
        <v/>
      </c>
      <c r="I32" s="25" t="str">
        <f aca="false">IF($A32="","",H32*(1+نسبة_الضريبة))</f>
        <v/>
      </c>
      <c r="J32" s="33" t="str">
        <f aca="false">IF($A32="","",_xlfn.MINIFS('سجل المراجعات'!$E$5:$E$1504,'سجل المراجعات'!$A$5:$A$1504,$A32,'سجل المراجعات'!$D$5:$D$1504,"تسليم"))</f>
        <v/>
      </c>
      <c r="K32" s="33" t="str">
        <f aca="false">IF($A32="","",_xlfn.MAXIFS('سجل المراجعات'!$E$5:$E$1504,'سجل المراجعات'!$A$5:$A$1504,$A32,'سجل المراجعات'!$D$5:$D$1504,"تسليم"))</f>
        <v/>
      </c>
      <c r="L32" s="33" t="str">
        <f aca="false">IF($A32="","",_xlfn.MAXIFS('سجل المراجعات'!$E$5:$E$1504,'سجل المراجعات'!$A$5:$A$1504,$A32,'سجل المراجعات'!$D$5:$D$1504,"رد بملاحظات"))</f>
        <v/>
      </c>
      <c r="M32" s="33" t="str">
        <f aca="false">IF($A32="","",_xlfn.MAXIFS('سجل المراجعات'!$E$5:$E$1504,'سجل المراجعات'!$A$5:$A$1504,$A32,'سجل المراجعات'!$D$5:$D$1504,"قبول"))</f>
        <v/>
      </c>
      <c r="N32" s="26" t="str">
        <f aca="false">IF($A32="","",COUNTIFS('سجل المراجعات'!$A$5:$A$1504,$A32,'سجل المراجعات'!$D$5:$D$1504,"تسليم"))</f>
        <v/>
      </c>
      <c r="O32" s="34" t="str">
        <f aca="false">IF($A32="","",IF(M32&gt;0,"تم القبول",IF(F32="معلق","معلق",IF(AND(L32&gt;0,L32&gt;=K32),"مُعاد بملاحظات",IF(K32&gt;0,"في انتظار القبول",IF(AND(ISNUMBER(E32),E32&lt;تاريخ_الاحتساب),"متأخر",IF(F32="","لم يبدأ",F32)))))))</f>
        <v/>
      </c>
      <c r="P32" s="26" t="str">
        <f aca="false">IF($A32="","",SUMIFS('سجل المراجعات'!$L$5:$L$1504,'سجل المراجعات'!$A$5:$A$1504,$A32))</f>
        <v/>
      </c>
      <c r="Q32" s="26" t="str">
        <f aca="false">IF($A32="","",SUMIFS('سجل المراجعات'!$M$5:$M$1504,'سجل المراجعات'!$A$5:$A$1504,$A32))</f>
        <v/>
      </c>
      <c r="R32" s="26" t="str">
        <f aca="false">IF(OR($A32="",NOT(ISNUMBER(E32))),"",MAX(0,NETWORKDAYS.INTL(E32,IF(J32&gt;0,J32,تاريخ_الاحتساب),رمز_العطلة,أيام_الأجازات)-1))</f>
        <v/>
      </c>
      <c r="S32" s="22"/>
    </row>
    <row r="33" customFormat="false" ht="15" hidden="false" customHeight="false" outlineLevel="0" collapsed="false">
      <c r="A33" s="20"/>
      <c r="B33" s="20"/>
      <c r="C33" s="30" t="str">
        <f aca="false">IF($A33="","",IFERROR(INDEX(بند_الاسم,MATCH($B33,قائمة_البنود,0)),"⚠ بند غير موجود"))</f>
        <v/>
      </c>
      <c r="D33" s="22"/>
      <c r="E33" s="31"/>
      <c r="F33" s="21"/>
      <c r="G33" s="32"/>
      <c r="H33" s="25" t="str">
        <f aca="false">IF($A33="","",IFERROR(INDEX(بند_سعر_الوحدة,MATCH($B33,قائمة_البنود,0)),0))</f>
        <v/>
      </c>
      <c r="I33" s="25" t="str">
        <f aca="false">IF($A33="","",H33*(1+نسبة_الضريبة))</f>
        <v/>
      </c>
      <c r="J33" s="33" t="str">
        <f aca="false">IF($A33="","",_xlfn.MINIFS('سجل المراجعات'!$E$5:$E$1504,'سجل المراجعات'!$A$5:$A$1504,$A33,'سجل المراجعات'!$D$5:$D$1504,"تسليم"))</f>
        <v/>
      </c>
      <c r="K33" s="33" t="str">
        <f aca="false">IF($A33="","",_xlfn.MAXIFS('سجل المراجعات'!$E$5:$E$1504,'سجل المراجعات'!$A$5:$A$1504,$A33,'سجل المراجعات'!$D$5:$D$1504,"تسليم"))</f>
        <v/>
      </c>
      <c r="L33" s="33" t="str">
        <f aca="false">IF($A33="","",_xlfn.MAXIFS('سجل المراجعات'!$E$5:$E$1504,'سجل المراجعات'!$A$5:$A$1504,$A33,'سجل المراجعات'!$D$5:$D$1504,"رد بملاحظات"))</f>
        <v/>
      </c>
      <c r="M33" s="33" t="str">
        <f aca="false">IF($A33="","",_xlfn.MAXIFS('سجل المراجعات'!$E$5:$E$1504,'سجل المراجعات'!$A$5:$A$1504,$A33,'سجل المراجعات'!$D$5:$D$1504,"قبول"))</f>
        <v/>
      </c>
      <c r="N33" s="26" t="str">
        <f aca="false">IF($A33="","",COUNTIFS('سجل المراجعات'!$A$5:$A$1504,$A33,'سجل المراجعات'!$D$5:$D$1504,"تسليم"))</f>
        <v/>
      </c>
      <c r="O33" s="34" t="str">
        <f aca="false">IF($A33="","",IF(M33&gt;0,"تم القبول",IF(F33="معلق","معلق",IF(AND(L33&gt;0,L33&gt;=K33),"مُعاد بملاحظات",IF(K33&gt;0,"في انتظار القبول",IF(AND(ISNUMBER(E33),E33&lt;تاريخ_الاحتساب),"متأخر",IF(F33="","لم يبدأ",F33)))))))</f>
        <v/>
      </c>
      <c r="P33" s="26" t="str">
        <f aca="false">IF($A33="","",SUMIFS('سجل المراجعات'!$L$5:$L$1504,'سجل المراجعات'!$A$5:$A$1504,$A33))</f>
        <v/>
      </c>
      <c r="Q33" s="26" t="str">
        <f aca="false">IF($A33="","",SUMIFS('سجل المراجعات'!$M$5:$M$1504,'سجل المراجعات'!$A$5:$A$1504,$A33))</f>
        <v/>
      </c>
      <c r="R33" s="26" t="str">
        <f aca="false">IF(OR($A33="",NOT(ISNUMBER(E33))),"",MAX(0,NETWORKDAYS.INTL(E33,IF(J33&gt;0,J33,تاريخ_الاحتساب),رمز_العطلة,أيام_الأجازات)-1))</f>
        <v/>
      </c>
      <c r="S33" s="22"/>
    </row>
    <row r="34" customFormat="false" ht="15" hidden="false" customHeight="false" outlineLevel="0" collapsed="false">
      <c r="A34" s="20"/>
      <c r="B34" s="20"/>
      <c r="C34" s="30" t="str">
        <f aca="false">IF($A34="","",IFERROR(INDEX(بند_الاسم,MATCH($B34,قائمة_البنود,0)),"⚠ بند غير موجود"))</f>
        <v/>
      </c>
      <c r="D34" s="22"/>
      <c r="E34" s="31"/>
      <c r="F34" s="21"/>
      <c r="G34" s="32"/>
      <c r="H34" s="25" t="str">
        <f aca="false">IF($A34="","",IFERROR(INDEX(بند_سعر_الوحدة,MATCH($B34,قائمة_البنود,0)),0))</f>
        <v/>
      </c>
      <c r="I34" s="25" t="str">
        <f aca="false">IF($A34="","",H34*(1+نسبة_الضريبة))</f>
        <v/>
      </c>
      <c r="J34" s="33" t="str">
        <f aca="false">IF($A34="","",_xlfn.MINIFS('سجل المراجعات'!$E$5:$E$1504,'سجل المراجعات'!$A$5:$A$1504,$A34,'سجل المراجعات'!$D$5:$D$1504,"تسليم"))</f>
        <v/>
      </c>
      <c r="K34" s="33" t="str">
        <f aca="false">IF($A34="","",_xlfn.MAXIFS('سجل المراجعات'!$E$5:$E$1504,'سجل المراجعات'!$A$5:$A$1504,$A34,'سجل المراجعات'!$D$5:$D$1504,"تسليم"))</f>
        <v/>
      </c>
      <c r="L34" s="33" t="str">
        <f aca="false">IF($A34="","",_xlfn.MAXIFS('سجل المراجعات'!$E$5:$E$1504,'سجل المراجعات'!$A$5:$A$1504,$A34,'سجل المراجعات'!$D$5:$D$1504,"رد بملاحظات"))</f>
        <v/>
      </c>
      <c r="M34" s="33" t="str">
        <f aca="false">IF($A34="","",_xlfn.MAXIFS('سجل المراجعات'!$E$5:$E$1504,'سجل المراجعات'!$A$5:$A$1504,$A34,'سجل المراجعات'!$D$5:$D$1504,"قبول"))</f>
        <v/>
      </c>
      <c r="N34" s="26" t="str">
        <f aca="false">IF($A34="","",COUNTIFS('سجل المراجعات'!$A$5:$A$1504,$A34,'سجل المراجعات'!$D$5:$D$1504,"تسليم"))</f>
        <v/>
      </c>
      <c r="O34" s="34" t="str">
        <f aca="false">IF($A34="","",IF(M34&gt;0,"تم القبول",IF(F34="معلق","معلق",IF(AND(L34&gt;0,L34&gt;=K34),"مُعاد بملاحظات",IF(K34&gt;0,"في انتظار القبول",IF(AND(ISNUMBER(E34),E34&lt;تاريخ_الاحتساب),"متأخر",IF(F34="","لم يبدأ",F34)))))))</f>
        <v/>
      </c>
      <c r="P34" s="26" t="str">
        <f aca="false">IF($A34="","",SUMIFS('سجل المراجعات'!$L$5:$L$1504,'سجل المراجعات'!$A$5:$A$1504,$A34))</f>
        <v/>
      </c>
      <c r="Q34" s="26" t="str">
        <f aca="false">IF($A34="","",SUMIFS('سجل المراجعات'!$M$5:$M$1504,'سجل المراجعات'!$A$5:$A$1504,$A34))</f>
        <v/>
      </c>
      <c r="R34" s="26" t="str">
        <f aca="false">IF(OR($A34="",NOT(ISNUMBER(E34))),"",MAX(0,NETWORKDAYS.INTL(E34,IF(J34&gt;0,J34,تاريخ_الاحتساب),رمز_العطلة,أيام_الأجازات)-1))</f>
        <v/>
      </c>
      <c r="S34" s="22"/>
    </row>
    <row r="35" customFormat="false" ht="15" hidden="false" customHeight="false" outlineLevel="0" collapsed="false">
      <c r="A35" s="20"/>
      <c r="B35" s="20"/>
      <c r="C35" s="30" t="str">
        <f aca="false">IF($A35="","",IFERROR(INDEX(بند_الاسم,MATCH($B35,قائمة_البنود,0)),"⚠ بند غير موجود"))</f>
        <v/>
      </c>
      <c r="D35" s="22"/>
      <c r="E35" s="31"/>
      <c r="F35" s="21"/>
      <c r="G35" s="32"/>
      <c r="H35" s="25" t="str">
        <f aca="false">IF($A35="","",IFERROR(INDEX(بند_سعر_الوحدة,MATCH($B35,قائمة_البنود,0)),0))</f>
        <v/>
      </c>
      <c r="I35" s="25" t="str">
        <f aca="false">IF($A35="","",H35*(1+نسبة_الضريبة))</f>
        <v/>
      </c>
      <c r="J35" s="33" t="str">
        <f aca="false">IF($A35="","",_xlfn.MINIFS('سجل المراجعات'!$E$5:$E$1504,'سجل المراجعات'!$A$5:$A$1504,$A35,'سجل المراجعات'!$D$5:$D$1504,"تسليم"))</f>
        <v/>
      </c>
      <c r="K35" s="33" t="str">
        <f aca="false">IF($A35="","",_xlfn.MAXIFS('سجل المراجعات'!$E$5:$E$1504,'سجل المراجعات'!$A$5:$A$1504,$A35,'سجل المراجعات'!$D$5:$D$1504,"تسليم"))</f>
        <v/>
      </c>
      <c r="L35" s="33" t="str">
        <f aca="false">IF($A35="","",_xlfn.MAXIFS('سجل المراجعات'!$E$5:$E$1504,'سجل المراجعات'!$A$5:$A$1504,$A35,'سجل المراجعات'!$D$5:$D$1504,"رد بملاحظات"))</f>
        <v/>
      </c>
      <c r="M35" s="33" t="str">
        <f aca="false">IF($A35="","",_xlfn.MAXIFS('سجل المراجعات'!$E$5:$E$1504,'سجل المراجعات'!$A$5:$A$1504,$A35,'سجل المراجعات'!$D$5:$D$1504,"قبول"))</f>
        <v/>
      </c>
      <c r="N35" s="26" t="str">
        <f aca="false">IF($A35="","",COUNTIFS('سجل المراجعات'!$A$5:$A$1504,$A35,'سجل المراجعات'!$D$5:$D$1504,"تسليم"))</f>
        <v/>
      </c>
      <c r="O35" s="34" t="str">
        <f aca="false">IF($A35="","",IF(M35&gt;0,"تم القبول",IF(F35="معلق","معلق",IF(AND(L35&gt;0,L35&gt;=K35),"مُعاد بملاحظات",IF(K35&gt;0,"في انتظار القبول",IF(AND(ISNUMBER(E35),E35&lt;تاريخ_الاحتساب),"متأخر",IF(F35="","لم يبدأ",F35)))))))</f>
        <v/>
      </c>
      <c r="P35" s="26" t="str">
        <f aca="false">IF($A35="","",SUMIFS('سجل المراجعات'!$L$5:$L$1504,'سجل المراجعات'!$A$5:$A$1504,$A35))</f>
        <v/>
      </c>
      <c r="Q35" s="26" t="str">
        <f aca="false">IF($A35="","",SUMIFS('سجل المراجعات'!$M$5:$M$1504,'سجل المراجعات'!$A$5:$A$1504,$A35))</f>
        <v/>
      </c>
      <c r="R35" s="26" t="str">
        <f aca="false">IF(OR($A35="",NOT(ISNUMBER(E35))),"",MAX(0,NETWORKDAYS.INTL(E35,IF(J35&gt;0,J35,تاريخ_الاحتساب),رمز_العطلة,أيام_الأجازات)-1))</f>
        <v/>
      </c>
      <c r="S35" s="22"/>
    </row>
    <row r="36" customFormat="false" ht="15" hidden="false" customHeight="false" outlineLevel="0" collapsed="false">
      <c r="A36" s="20"/>
      <c r="B36" s="20"/>
      <c r="C36" s="30" t="str">
        <f aca="false">IF($A36="","",IFERROR(INDEX(بند_الاسم,MATCH($B36,قائمة_البنود,0)),"⚠ بند غير موجود"))</f>
        <v/>
      </c>
      <c r="D36" s="22"/>
      <c r="E36" s="31"/>
      <c r="F36" s="21"/>
      <c r="G36" s="32"/>
      <c r="H36" s="25" t="str">
        <f aca="false">IF($A36="","",IFERROR(INDEX(بند_سعر_الوحدة,MATCH($B36,قائمة_البنود,0)),0))</f>
        <v/>
      </c>
      <c r="I36" s="25" t="str">
        <f aca="false">IF($A36="","",H36*(1+نسبة_الضريبة))</f>
        <v/>
      </c>
      <c r="J36" s="33" t="str">
        <f aca="false">IF($A36="","",_xlfn.MINIFS('سجل المراجعات'!$E$5:$E$1504,'سجل المراجعات'!$A$5:$A$1504,$A36,'سجل المراجعات'!$D$5:$D$1504,"تسليم"))</f>
        <v/>
      </c>
      <c r="K36" s="33" t="str">
        <f aca="false">IF($A36="","",_xlfn.MAXIFS('سجل المراجعات'!$E$5:$E$1504,'سجل المراجعات'!$A$5:$A$1504,$A36,'سجل المراجعات'!$D$5:$D$1504,"تسليم"))</f>
        <v/>
      </c>
      <c r="L36" s="33" t="str">
        <f aca="false">IF($A36="","",_xlfn.MAXIFS('سجل المراجعات'!$E$5:$E$1504,'سجل المراجعات'!$A$5:$A$1504,$A36,'سجل المراجعات'!$D$5:$D$1504,"رد بملاحظات"))</f>
        <v/>
      </c>
      <c r="M36" s="33" t="str">
        <f aca="false">IF($A36="","",_xlfn.MAXIFS('سجل المراجعات'!$E$5:$E$1504,'سجل المراجعات'!$A$5:$A$1504,$A36,'سجل المراجعات'!$D$5:$D$1504,"قبول"))</f>
        <v/>
      </c>
      <c r="N36" s="26" t="str">
        <f aca="false">IF($A36="","",COUNTIFS('سجل المراجعات'!$A$5:$A$1504,$A36,'سجل المراجعات'!$D$5:$D$1504,"تسليم"))</f>
        <v/>
      </c>
      <c r="O36" s="34" t="str">
        <f aca="false">IF($A36="","",IF(M36&gt;0,"تم القبول",IF(F36="معلق","معلق",IF(AND(L36&gt;0,L36&gt;=K36),"مُعاد بملاحظات",IF(K36&gt;0,"في انتظار القبول",IF(AND(ISNUMBER(E36),E36&lt;تاريخ_الاحتساب),"متأخر",IF(F36="","لم يبدأ",F36)))))))</f>
        <v/>
      </c>
      <c r="P36" s="26" t="str">
        <f aca="false">IF($A36="","",SUMIFS('سجل المراجعات'!$L$5:$L$1504,'سجل المراجعات'!$A$5:$A$1504,$A36))</f>
        <v/>
      </c>
      <c r="Q36" s="26" t="str">
        <f aca="false">IF($A36="","",SUMIFS('سجل المراجعات'!$M$5:$M$1504,'سجل المراجعات'!$A$5:$A$1504,$A36))</f>
        <v/>
      </c>
      <c r="R36" s="26" t="str">
        <f aca="false">IF(OR($A36="",NOT(ISNUMBER(E36))),"",MAX(0,NETWORKDAYS.INTL(E36,IF(J36&gt;0,J36,تاريخ_الاحتساب),رمز_العطلة,أيام_الأجازات)-1))</f>
        <v/>
      </c>
      <c r="S36" s="22"/>
    </row>
    <row r="37" customFormat="false" ht="15" hidden="false" customHeight="false" outlineLevel="0" collapsed="false">
      <c r="A37" s="20"/>
      <c r="B37" s="20"/>
      <c r="C37" s="30" t="str">
        <f aca="false">IF($A37="","",IFERROR(INDEX(بند_الاسم,MATCH($B37,قائمة_البنود,0)),"⚠ بند غير موجود"))</f>
        <v/>
      </c>
      <c r="D37" s="22"/>
      <c r="E37" s="31"/>
      <c r="F37" s="21"/>
      <c r="G37" s="32"/>
      <c r="H37" s="25" t="str">
        <f aca="false">IF($A37="","",IFERROR(INDEX(بند_سعر_الوحدة,MATCH($B37,قائمة_البنود,0)),0))</f>
        <v/>
      </c>
      <c r="I37" s="25" t="str">
        <f aca="false">IF($A37="","",H37*(1+نسبة_الضريبة))</f>
        <v/>
      </c>
      <c r="J37" s="33" t="str">
        <f aca="false">IF($A37="","",_xlfn.MINIFS('سجل المراجعات'!$E$5:$E$1504,'سجل المراجعات'!$A$5:$A$1504,$A37,'سجل المراجعات'!$D$5:$D$1504,"تسليم"))</f>
        <v/>
      </c>
      <c r="K37" s="33" t="str">
        <f aca="false">IF($A37="","",_xlfn.MAXIFS('سجل المراجعات'!$E$5:$E$1504,'سجل المراجعات'!$A$5:$A$1504,$A37,'سجل المراجعات'!$D$5:$D$1504,"تسليم"))</f>
        <v/>
      </c>
      <c r="L37" s="33" t="str">
        <f aca="false">IF($A37="","",_xlfn.MAXIFS('سجل المراجعات'!$E$5:$E$1504,'سجل المراجعات'!$A$5:$A$1504,$A37,'سجل المراجعات'!$D$5:$D$1504,"رد بملاحظات"))</f>
        <v/>
      </c>
      <c r="M37" s="33" t="str">
        <f aca="false">IF($A37="","",_xlfn.MAXIFS('سجل المراجعات'!$E$5:$E$1504,'سجل المراجعات'!$A$5:$A$1504,$A37,'سجل المراجعات'!$D$5:$D$1504,"قبول"))</f>
        <v/>
      </c>
      <c r="N37" s="26" t="str">
        <f aca="false">IF($A37="","",COUNTIFS('سجل المراجعات'!$A$5:$A$1504,$A37,'سجل المراجعات'!$D$5:$D$1504,"تسليم"))</f>
        <v/>
      </c>
      <c r="O37" s="34" t="str">
        <f aca="false">IF($A37="","",IF(M37&gt;0,"تم القبول",IF(F37="معلق","معلق",IF(AND(L37&gt;0,L37&gt;=K37),"مُعاد بملاحظات",IF(K37&gt;0,"في انتظار القبول",IF(AND(ISNUMBER(E37),E37&lt;تاريخ_الاحتساب),"متأخر",IF(F37="","لم يبدأ",F37)))))))</f>
        <v/>
      </c>
      <c r="P37" s="26" t="str">
        <f aca="false">IF($A37="","",SUMIFS('سجل المراجعات'!$L$5:$L$1504,'سجل المراجعات'!$A$5:$A$1504,$A37))</f>
        <v/>
      </c>
      <c r="Q37" s="26" t="str">
        <f aca="false">IF($A37="","",SUMIFS('سجل المراجعات'!$M$5:$M$1504,'سجل المراجعات'!$A$5:$A$1504,$A37))</f>
        <v/>
      </c>
      <c r="R37" s="26" t="str">
        <f aca="false">IF(OR($A37="",NOT(ISNUMBER(E37))),"",MAX(0,NETWORKDAYS.INTL(E37,IF(J37&gt;0,J37,تاريخ_الاحتساب),رمز_العطلة,أيام_الأجازات)-1))</f>
        <v/>
      </c>
      <c r="S37" s="22"/>
    </row>
    <row r="38" customFormat="false" ht="15" hidden="false" customHeight="false" outlineLevel="0" collapsed="false">
      <c r="A38" s="20"/>
      <c r="B38" s="20"/>
      <c r="C38" s="30" t="str">
        <f aca="false">IF($A38="","",IFERROR(INDEX(بند_الاسم,MATCH($B38,قائمة_البنود,0)),"⚠ بند غير موجود"))</f>
        <v/>
      </c>
      <c r="D38" s="22"/>
      <c r="E38" s="31"/>
      <c r="F38" s="21"/>
      <c r="G38" s="32"/>
      <c r="H38" s="25" t="str">
        <f aca="false">IF($A38="","",IFERROR(INDEX(بند_سعر_الوحدة,MATCH($B38,قائمة_البنود,0)),0))</f>
        <v/>
      </c>
      <c r="I38" s="25" t="str">
        <f aca="false">IF($A38="","",H38*(1+نسبة_الضريبة))</f>
        <v/>
      </c>
      <c r="J38" s="33" t="str">
        <f aca="false">IF($A38="","",_xlfn.MINIFS('سجل المراجعات'!$E$5:$E$1504,'سجل المراجعات'!$A$5:$A$1504,$A38,'سجل المراجعات'!$D$5:$D$1504,"تسليم"))</f>
        <v/>
      </c>
      <c r="K38" s="33" t="str">
        <f aca="false">IF($A38="","",_xlfn.MAXIFS('سجل المراجعات'!$E$5:$E$1504,'سجل المراجعات'!$A$5:$A$1504,$A38,'سجل المراجعات'!$D$5:$D$1504,"تسليم"))</f>
        <v/>
      </c>
      <c r="L38" s="33" t="str">
        <f aca="false">IF($A38="","",_xlfn.MAXIFS('سجل المراجعات'!$E$5:$E$1504,'سجل المراجعات'!$A$5:$A$1504,$A38,'سجل المراجعات'!$D$5:$D$1504,"رد بملاحظات"))</f>
        <v/>
      </c>
      <c r="M38" s="33" t="str">
        <f aca="false">IF($A38="","",_xlfn.MAXIFS('سجل المراجعات'!$E$5:$E$1504,'سجل المراجعات'!$A$5:$A$1504,$A38,'سجل المراجعات'!$D$5:$D$1504,"قبول"))</f>
        <v/>
      </c>
      <c r="N38" s="26" t="str">
        <f aca="false">IF($A38="","",COUNTIFS('سجل المراجعات'!$A$5:$A$1504,$A38,'سجل المراجعات'!$D$5:$D$1504,"تسليم"))</f>
        <v/>
      </c>
      <c r="O38" s="34" t="str">
        <f aca="false">IF($A38="","",IF(M38&gt;0,"تم القبول",IF(F38="معلق","معلق",IF(AND(L38&gt;0,L38&gt;=K38),"مُعاد بملاحظات",IF(K38&gt;0,"في انتظار القبول",IF(AND(ISNUMBER(E38),E38&lt;تاريخ_الاحتساب),"متأخر",IF(F38="","لم يبدأ",F38)))))))</f>
        <v/>
      </c>
      <c r="P38" s="26" t="str">
        <f aca="false">IF($A38="","",SUMIFS('سجل المراجعات'!$L$5:$L$1504,'سجل المراجعات'!$A$5:$A$1504,$A38))</f>
        <v/>
      </c>
      <c r="Q38" s="26" t="str">
        <f aca="false">IF($A38="","",SUMIFS('سجل المراجعات'!$M$5:$M$1504,'سجل المراجعات'!$A$5:$A$1504,$A38))</f>
        <v/>
      </c>
      <c r="R38" s="26" t="str">
        <f aca="false">IF(OR($A38="",NOT(ISNUMBER(E38))),"",MAX(0,NETWORKDAYS.INTL(E38,IF(J38&gt;0,J38,تاريخ_الاحتساب),رمز_العطلة,أيام_الأجازات)-1))</f>
        <v/>
      </c>
      <c r="S38" s="22"/>
    </row>
    <row r="39" customFormat="false" ht="15" hidden="false" customHeight="false" outlineLevel="0" collapsed="false">
      <c r="A39" s="20"/>
      <c r="B39" s="20"/>
      <c r="C39" s="30" t="str">
        <f aca="false">IF($A39="","",IFERROR(INDEX(بند_الاسم,MATCH($B39,قائمة_البنود,0)),"⚠ بند غير موجود"))</f>
        <v/>
      </c>
      <c r="D39" s="22"/>
      <c r="E39" s="31"/>
      <c r="F39" s="21"/>
      <c r="G39" s="32"/>
      <c r="H39" s="25" t="str">
        <f aca="false">IF($A39="","",IFERROR(INDEX(بند_سعر_الوحدة,MATCH($B39,قائمة_البنود,0)),0))</f>
        <v/>
      </c>
      <c r="I39" s="25" t="str">
        <f aca="false">IF($A39="","",H39*(1+نسبة_الضريبة))</f>
        <v/>
      </c>
      <c r="J39" s="33" t="str">
        <f aca="false">IF($A39="","",_xlfn.MINIFS('سجل المراجعات'!$E$5:$E$1504,'سجل المراجعات'!$A$5:$A$1504,$A39,'سجل المراجعات'!$D$5:$D$1504,"تسليم"))</f>
        <v/>
      </c>
      <c r="K39" s="33" t="str">
        <f aca="false">IF($A39="","",_xlfn.MAXIFS('سجل المراجعات'!$E$5:$E$1504,'سجل المراجعات'!$A$5:$A$1504,$A39,'سجل المراجعات'!$D$5:$D$1504,"تسليم"))</f>
        <v/>
      </c>
      <c r="L39" s="33" t="str">
        <f aca="false">IF($A39="","",_xlfn.MAXIFS('سجل المراجعات'!$E$5:$E$1504,'سجل المراجعات'!$A$5:$A$1504,$A39,'سجل المراجعات'!$D$5:$D$1504,"رد بملاحظات"))</f>
        <v/>
      </c>
      <c r="M39" s="33" t="str">
        <f aca="false">IF($A39="","",_xlfn.MAXIFS('سجل المراجعات'!$E$5:$E$1504,'سجل المراجعات'!$A$5:$A$1504,$A39,'سجل المراجعات'!$D$5:$D$1504,"قبول"))</f>
        <v/>
      </c>
      <c r="N39" s="26" t="str">
        <f aca="false">IF($A39="","",COUNTIFS('سجل المراجعات'!$A$5:$A$1504,$A39,'سجل المراجعات'!$D$5:$D$1504,"تسليم"))</f>
        <v/>
      </c>
      <c r="O39" s="34" t="str">
        <f aca="false">IF($A39="","",IF(M39&gt;0,"تم القبول",IF(F39="معلق","معلق",IF(AND(L39&gt;0,L39&gt;=K39),"مُعاد بملاحظات",IF(K39&gt;0,"في انتظار القبول",IF(AND(ISNUMBER(E39),E39&lt;تاريخ_الاحتساب),"متأخر",IF(F39="","لم يبدأ",F39)))))))</f>
        <v/>
      </c>
      <c r="P39" s="26" t="str">
        <f aca="false">IF($A39="","",SUMIFS('سجل المراجعات'!$L$5:$L$1504,'سجل المراجعات'!$A$5:$A$1504,$A39))</f>
        <v/>
      </c>
      <c r="Q39" s="26" t="str">
        <f aca="false">IF($A39="","",SUMIFS('سجل المراجعات'!$M$5:$M$1504,'سجل المراجعات'!$A$5:$A$1504,$A39))</f>
        <v/>
      </c>
      <c r="R39" s="26" t="str">
        <f aca="false">IF(OR($A39="",NOT(ISNUMBER(E39))),"",MAX(0,NETWORKDAYS.INTL(E39,IF(J39&gt;0,J39,تاريخ_الاحتساب),رمز_العطلة,أيام_الأجازات)-1))</f>
        <v/>
      </c>
      <c r="S39" s="22"/>
    </row>
    <row r="40" customFormat="false" ht="15" hidden="false" customHeight="false" outlineLevel="0" collapsed="false">
      <c r="A40" s="20"/>
      <c r="B40" s="20"/>
      <c r="C40" s="30" t="str">
        <f aca="false">IF($A40="","",IFERROR(INDEX(بند_الاسم,MATCH($B40,قائمة_البنود,0)),"⚠ بند غير موجود"))</f>
        <v/>
      </c>
      <c r="D40" s="22"/>
      <c r="E40" s="31"/>
      <c r="F40" s="21"/>
      <c r="G40" s="32"/>
      <c r="H40" s="25" t="str">
        <f aca="false">IF($A40="","",IFERROR(INDEX(بند_سعر_الوحدة,MATCH($B40,قائمة_البنود,0)),0))</f>
        <v/>
      </c>
      <c r="I40" s="25" t="str">
        <f aca="false">IF($A40="","",H40*(1+نسبة_الضريبة))</f>
        <v/>
      </c>
      <c r="J40" s="33" t="str">
        <f aca="false">IF($A40="","",_xlfn.MINIFS('سجل المراجعات'!$E$5:$E$1504,'سجل المراجعات'!$A$5:$A$1504,$A40,'سجل المراجعات'!$D$5:$D$1504,"تسليم"))</f>
        <v/>
      </c>
      <c r="K40" s="33" t="str">
        <f aca="false">IF($A40="","",_xlfn.MAXIFS('سجل المراجعات'!$E$5:$E$1504,'سجل المراجعات'!$A$5:$A$1504,$A40,'سجل المراجعات'!$D$5:$D$1504,"تسليم"))</f>
        <v/>
      </c>
      <c r="L40" s="33" t="str">
        <f aca="false">IF($A40="","",_xlfn.MAXIFS('سجل المراجعات'!$E$5:$E$1504,'سجل المراجعات'!$A$5:$A$1504,$A40,'سجل المراجعات'!$D$5:$D$1504,"رد بملاحظات"))</f>
        <v/>
      </c>
      <c r="M40" s="33" t="str">
        <f aca="false">IF($A40="","",_xlfn.MAXIFS('سجل المراجعات'!$E$5:$E$1504,'سجل المراجعات'!$A$5:$A$1504,$A40,'سجل المراجعات'!$D$5:$D$1504,"قبول"))</f>
        <v/>
      </c>
      <c r="N40" s="26" t="str">
        <f aca="false">IF($A40="","",COUNTIFS('سجل المراجعات'!$A$5:$A$1504,$A40,'سجل المراجعات'!$D$5:$D$1504,"تسليم"))</f>
        <v/>
      </c>
      <c r="O40" s="34" t="str">
        <f aca="false">IF($A40="","",IF(M40&gt;0,"تم القبول",IF(F40="معلق","معلق",IF(AND(L40&gt;0,L40&gt;=K40),"مُعاد بملاحظات",IF(K40&gt;0,"في انتظار القبول",IF(AND(ISNUMBER(E40),E40&lt;تاريخ_الاحتساب),"متأخر",IF(F40="","لم يبدأ",F40)))))))</f>
        <v/>
      </c>
      <c r="P40" s="26" t="str">
        <f aca="false">IF($A40="","",SUMIFS('سجل المراجعات'!$L$5:$L$1504,'سجل المراجعات'!$A$5:$A$1504,$A40))</f>
        <v/>
      </c>
      <c r="Q40" s="26" t="str">
        <f aca="false">IF($A40="","",SUMIFS('سجل المراجعات'!$M$5:$M$1504,'سجل المراجعات'!$A$5:$A$1504,$A40))</f>
        <v/>
      </c>
      <c r="R40" s="26" t="str">
        <f aca="false">IF(OR($A40="",NOT(ISNUMBER(E40))),"",MAX(0,NETWORKDAYS.INTL(E40,IF(J40&gt;0,J40,تاريخ_الاحتساب),رمز_العطلة,أيام_الأجازات)-1))</f>
        <v/>
      </c>
      <c r="S40" s="22"/>
    </row>
    <row r="41" customFormat="false" ht="15" hidden="false" customHeight="false" outlineLevel="0" collapsed="false">
      <c r="A41" s="20"/>
      <c r="B41" s="20"/>
      <c r="C41" s="30" t="str">
        <f aca="false">IF($A41="","",IFERROR(INDEX(بند_الاسم,MATCH($B41,قائمة_البنود,0)),"⚠ بند غير موجود"))</f>
        <v/>
      </c>
      <c r="D41" s="22"/>
      <c r="E41" s="31"/>
      <c r="F41" s="21"/>
      <c r="G41" s="32"/>
      <c r="H41" s="25" t="str">
        <f aca="false">IF($A41="","",IFERROR(INDEX(بند_سعر_الوحدة,MATCH($B41,قائمة_البنود,0)),0))</f>
        <v/>
      </c>
      <c r="I41" s="25" t="str">
        <f aca="false">IF($A41="","",H41*(1+نسبة_الضريبة))</f>
        <v/>
      </c>
      <c r="J41" s="33" t="str">
        <f aca="false">IF($A41="","",_xlfn.MINIFS('سجل المراجعات'!$E$5:$E$1504,'سجل المراجعات'!$A$5:$A$1504,$A41,'سجل المراجعات'!$D$5:$D$1504,"تسليم"))</f>
        <v/>
      </c>
      <c r="K41" s="33" t="str">
        <f aca="false">IF($A41="","",_xlfn.MAXIFS('سجل المراجعات'!$E$5:$E$1504,'سجل المراجعات'!$A$5:$A$1504,$A41,'سجل المراجعات'!$D$5:$D$1504,"تسليم"))</f>
        <v/>
      </c>
      <c r="L41" s="33" t="str">
        <f aca="false">IF($A41="","",_xlfn.MAXIFS('سجل المراجعات'!$E$5:$E$1504,'سجل المراجعات'!$A$5:$A$1504,$A41,'سجل المراجعات'!$D$5:$D$1504,"رد بملاحظات"))</f>
        <v/>
      </c>
      <c r="M41" s="33" t="str">
        <f aca="false">IF($A41="","",_xlfn.MAXIFS('سجل المراجعات'!$E$5:$E$1504,'سجل المراجعات'!$A$5:$A$1504,$A41,'سجل المراجعات'!$D$5:$D$1504,"قبول"))</f>
        <v/>
      </c>
      <c r="N41" s="26" t="str">
        <f aca="false">IF($A41="","",COUNTIFS('سجل المراجعات'!$A$5:$A$1504,$A41,'سجل المراجعات'!$D$5:$D$1504,"تسليم"))</f>
        <v/>
      </c>
      <c r="O41" s="34" t="str">
        <f aca="false">IF($A41="","",IF(M41&gt;0,"تم القبول",IF(F41="معلق","معلق",IF(AND(L41&gt;0,L41&gt;=K41),"مُعاد بملاحظات",IF(K41&gt;0,"في انتظار القبول",IF(AND(ISNUMBER(E41),E41&lt;تاريخ_الاحتساب),"متأخر",IF(F41="","لم يبدأ",F41)))))))</f>
        <v/>
      </c>
      <c r="P41" s="26" t="str">
        <f aca="false">IF($A41="","",SUMIFS('سجل المراجعات'!$L$5:$L$1504,'سجل المراجعات'!$A$5:$A$1504,$A41))</f>
        <v/>
      </c>
      <c r="Q41" s="26" t="str">
        <f aca="false">IF($A41="","",SUMIFS('سجل المراجعات'!$M$5:$M$1504,'سجل المراجعات'!$A$5:$A$1504,$A41))</f>
        <v/>
      </c>
      <c r="R41" s="26" t="str">
        <f aca="false">IF(OR($A41="",NOT(ISNUMBER(E41))),"",MAX(0,NETWORKDAYS.INTL(E41,IF(J41&gt;0,J41,تاريخ_الاحتساب),رمز_العطلة,أيام_الأجازات)-1))</f>
        <v/>
      </c>
      <c r="S41" s="22"/>
    </row>
    <row r="42" customFormat="false" ht="15" hidden="false" customHeight="false" outlineLevel="0" collapsed="false">
      <c r="A42" s="20"/>
      <c r="B42" s="20"/>
      <c r="C42" s="30" t="str">
        <f aca="false">IF($A42="","",IFERROR(INDEX(بند_الاسم,MATCH($B42,قائمة_البنود,0)),"⚠ بند غير موجود"))</f>
        <v/>
      </c>
      <c r="D42" s="22"/>
      <c r="E42" s="31"/>
      <c r="F42" s="21"/>
      <c r="G42" s="32"/>
      <c r="H42" s="25" t="str">
        <f aca="false">IF($A42="","",IFERROR(INDEX(بند_سعر_الوحدة,MATCH($B42,قائمة_البنود,0)),0))</f>
        <v/>
      </c>
      <c r="I42" s="25" t="str">
        <f aca="false">IF($A42="","",H42*(1+نسبة_الضريبة))</f>
        <v/>
      </c>
      <c r="J42" s="33" t="str">
        <f aca="false">IF($A42="","",_xlfn.MINIFS('سجل المراجعات'!$E$5:$E$1504,'سجل المراجعات'!$A$5:$A$1504,$A42,'سجل المراجعات'!$D$5:$D$1504,"تسليم"))</f>
        <v/>
      </c>
      <c r="K42" s="33" t="str">
        <f aca="false">IF($A42="","",_xlfn.MAXIFS('سجل المراجعات'!$E$5:$E$1504,'سجل المراجعات'!$A$5:$A$1504,$A42,'سجل المراجعات'!$D$5:$D$1504,"تسليم"))</f>
        <v/>
      </c>
      <c r="L42" s="33" t="str">
        <f aca="false">IF($A42="","",_xlfn.MAXIFS('سجل المراجعات'!$E$5:$E$1504,'سجل المراجعات'!$A$5:$A$1504,$A42,'سجل المراجعات'!$D$5:$D$1504,"رد بملاحظات"))</f>
        <v/>
      </c>
      <c r="M42" s="33" t="str">
        <f aca="false">IF($A42="","",_xlfn.MAXIFS('سجل المراجعات'!$E$5:$E$1504,'سجل المراجعات'!$A$5:$A$1504,$A42,'سجل المراجعات'!$D$5:$D$1504,"قبول"))</f>
        <v/>
      </c>
      <c r="N42" s="26" t="str">
        <f aca="false">IF($A42="","",COUNTIFS('سجل المراجعات'!$A$5:$A$1504,$A42,'سجل المراجعات'!$D$5:$D$1504,"تسليم"))</f>
        <v/>
      </c>
      <c r="O42" s="34" t="str">
        <f aca="false">IF($A42="","",IF(M42&gt;0,"تم القبول",IF(F42="معلق","معلق",IF(AND(L42&gt;0,L42&gt;=K42),"مُعاد بملاحظات",IF(K42&gt;0,"في انتظار القبول",IF(AND(ISNUMBER(E42),E42&lt;تاريخ_الاحتساب),"متأخر",IF(F42="","لم يبدأ",F42)))))))</f>
        <v/>
      </c>
      <c r="P42" s="26" t="str">
        <f aca="false">IF($A42="","",SUMIFS('سجل المراجعات'!$L$5:$L$1504,'سجل المراجعات'!$A$5:$A$1504,$A42))</f>
        <v/>
      </c>
      <c r="Q42" s="26" t="str">
        <f aca="false">IF($A42="","",SUMIFS('سجل المراجعات'!$M$5:$M$1504,'سجل المراجعات'!$A$5:$A$1504,$A42))</f>
        <v/>
      </c>
      <c r="R42" s="26" t="str">
        <f aca="false">IF(OR($A42="",NOT(ISNUMBER(E42))),"",MAX(0,NETWORKDAYS.INTL(E42,IF(J42&gt;0,J42,تاريخ_الاحتساب),رمز_العطلة,أيام_الأجازات)-1))</f>
        <v/>
      </c>
      <c r="S42" s="22"/>
    </row>
    <row r="43" customFormat="false" ht="15" hidden="false" customHeight="false" outlineLevel="0" collapsed="false">
      <c r="A43" s="20"/>
      <c r="B43" s="20"/>
      <c r="C43" s="30" t="str">
        <f aca="false">IF($A43="","",IFERROR(INDEX(بند_الاسم,MATCH($B43,قائمة_البنود,0)),"⚠ بند غير موجود"))</f>
        <v/>
      </c>
      <c r="D43" s="22"/>
      <c r="E43" s="31"/>
      <c r="F43" s="21"/>
      <c r="G43" s="32"/>
      <c r="H43" s="25" t="str">
        <f aca="false">IF($A43="","",IFERROR(INDEX(بند_سعر_الوحدة,MATCH($B43,قائمة_البنود,0)),0))</f>
        <v/>
      </c>
      <c r="I43" s="25" t="str">
        <f aca="false">IF($A43="","",H43*(1+نسبة_الضريبة))</f>
        <v/>
      </c>
      <c r="J43" s="33" t="str">
        <f aca="false">IF($A43="","",_xlfn.MINIFS('سجل المراجعات'!$E$5:$E$1504,'سجل المراجعات'!$A$5:$A$1504,$A43,'سجل المراجعات'!$D$5:$D$1504,"تسليم"))</f>
        <v/>
      </c>
      <c r="K43" s="33" t="str">
        <f aca="false">IF($A43="","",_xlfn.MAXIFS('سجل المراجعات'!$E$5:$E$1504,'سجل المراجعات'!$A$5:$A$1504,$A43,'سجل المراجعات'!$D$5:$D$1504,"تسليم"))</f>
        <v/>
      </c>
      <c r="L43" s="33" t="str">
        <f aca="false">IF($A43="","",_xlfn.MAXIFS('سجل المراجعات'!$E$5:$E$1504,'سجل المراجعات'!$A$5:$A$1504,$A43,'سجل المراجعات'!$D$5:$D$1504,"رد بملاحظات"))</f>
        <v/>
      </c>
      <c r="M43" s="33" t="str">
        <f aca="false">IF($A43="","",_xlfn.MAXIFS('سجل المراجعات'!$E$5:$E$1504,'سجل المراجعات'!$A$5:$A$1504,$A43,'سجل المراجعات'!$D$5:$D$1504,"قبول"))</f>
        <v/>
      </c>
      <c r="N43" s="26" t="str">
        <f aca="false">IF($A43="","",COUNTIFS('سجل المراجعات'!$A$5:$A$1504,$A43,'سجل المراجعات'!$D$5:$D$1504,"تسليم"))</f>
        <v/>
      </c>
      <c r="O43" s="34" t="str">
        <f aca="false">IF($A43="","",IF(M43&gt;0,"تم القبول",IF(F43="معلق","معلق",IF(AND(L43&gt;0,L43&gt;=K43),"مُعاد بملاحظات",IF(K43&gt;0,"في انتظار القبول",IF(AND(ISNUMBER(E43),E43&lt;تاريخ_الاحتساب),"متأخر",IF(F43="","لم يبدأ",F43)))))))</f>
        <v/>
      </c>
      <c r="P43" s="26" t="str">
        <f aca="false">IF($A43="","",SUMIFS('سجل المراجعات'!$L$5:$L$1504,'سجل المراجعات'!$A$5:$A$1504,$A43))</f>
        <v/>
      </c>
      <c r="Q43" s="26" t="str">
        <f aca="false">IF($A43="","",SUMIFS('سجل المراجعات'!$M$5:$M$1504,'سجل المراجعات'!$A$5:$A$1504,$A43))</f>
        <v/>
      </c>
      <c r="R43" s="26" t="str">
        <f aca="false">IF(OR($A43="",NOT(ISNUMBER(E43))),"",MAX(0,NETWORKDAYS.INTL(E43,IF(J43&gt;0,J43,تاريخ_الاحتساب),رمز_العطلة,أيام_الأجازات)-1))</f>
        <v/>
      </c>
      <c r="S43" s="22"/>
    </row>
    <row r="44" customFormat="false" ht="15" hidden="false" customHeight="false" outlineLevel="0" collapsed="false">
      <c r="A44" s="20"/>
      <c r="B44" s="20"/>
      <c r="C44" s="30" t="str">
        <f aca="false">IF($A44="","",IFERROR(INDEX(بند_الاسم,MATCH($B44,قائمة_البنود,0)),"⚠ بند غير موجود"))</f>
        <v/>
      </c>
      <c r="D44" s="22"/>
      <c r="E44" s="31"/>
      <c r="F44" s="21"/>
      <c r="G44" s="32"/>
      <c r="H44" s="25" t="str">
        <f aca="false">IF($A44="","",IFERROR(INDEX(بند_سعر_الوحدة,MATCH($B44,قائمة_البنود,0)),0))</f>
        <v/>
      </c>
      <c r="I44" s="25" t="str">
        <f aca="false">IF($A44="","",H44*(1+نسبة_الضريبة))</f>
        <v/>
      </c>
      <c r="J44" s="33" t="str">
        <f aca="false">IF($A44="","",_xlfn.MINIFS('سجل المراجعات'!$E$5:$E$1504,'سجل المراجعات'!$A$5:$A$1504,$A44,'سجل المراجعات'!$D$5:$D$1504,"تسليم"))</f>
        <v/>
      </c>
      <c r="K44" s="33" t="str">
        <f aca="false">IF($A44="","",_xlfn.MAXIFS('سجل المراجعات'!$E$5:$E$1504,'سجل المراجعات'!$A$5:$A$1504,$A44,'سجل المراجعات'!$D$5:$D$1504,"تسليم"))</f>
        <v/>
      </c>
      <c r="L44" s="33" t="str">
        <f aca="false">IF($A44="","",_xlfn.MAXIFS('سجل المراجعات'!$E$5:$E$1504,'سجل المراجعات'!$A$5:$A$1504,$A44,'سجل المراجعات'!$D$5:$D$1504,"رد بملاحظات"))</f>
        <v/>
      </c>
      <c r="M44" s="33" t="str">
        <f aca="false">IF($A44="","",_xlfn.MAXIFS('سجل المراجعات'!$E$5:$E$1504,'سجل المراجعات'!$A$5:$A$1504,$A44,'سجل المراجعات'!$D$5:$D$1504,"قبول"))</f>
        <v/>
      </c>
      <c r="N44" s="26" t="str">
        <f aca="false">IF($A44="","",COUNTIFS('سجل المراجعات'!$A$5:$A$1504,$A44,'سجل المراجعات'!$D$5:$D$1504,"تسليم"))</f>
        <v/>
      </c>
      <c r="O44" s="34" t="str">
        <f aca="false">IF($A44="","",IF(M44&gt;0,"تم القبول",IF(F44="معلق","معلق",IF(AND(L44&gt;0,L44&gt;=K44),"مُعاد بملاحظات",IF(K44&gt;0,"في انتظار القبول",IF(AND(ISNUMBER(E44),E44&lt;تاريخ_الاحتساب),"متأخر",IF(F44="","لم يبدأ",F44)))))))</f>
        <v/>
      </c>
      <c r="P44" s="26" t="str">
        <f aca="false">IF($A44="","",SUMIFS('سجل المراجعات'!$L$5:$L$1504,'سجل المراجعات'!$A$5:$A$1504,$A44))</f>
        <v/>
      </c>
      <c r="Q44" s="26" t="str">
        <f aca="false">IF($A44="","",SUMIFS('سجل المراجعات'!$M$5:$M$1504,'سجل المراجعات'!$A$5:$A$1504,$A44))</f>
        <v/>
      </c>
      <c r="R44" s="26" t="str">
        <f aca="false">IF(OR($A44="",NOT(ISNUMBER(E44))),"",MAX(0,NETWORKDAYS.INTL(E44,IF(J44&gt;0,J44,تاريخ_الاحتساب),رمز_العطلة,أيام_الأجازات)-1))</f>
        <v/>
      </c>
      <c r="S44" s="22"/>
    </row>
    <row r="45" customFormat="false" ht="15" hidden="false" customHeight="false" outlineLevel="0" collapsed="false">
      <c r="A45" s="20"/>
      <c r="B45" s="20"/>
      <c r="C45" s="30" t="str">
        <f aca="false">IF($A45="","",IFERROR(INDEX(بند_الاسم,MATCH($B45,قائمة_البنود,0)),"⚠ بند غير موجود"))</f>
        <v/>
      </c>
      <c r="D45" s="22"/>
      <c r="E45" s="31"/>
      <c r="F45" s="21"/>
      <c r="G45" s="32"/>
      <c r="H45" s="25" t="str">
        <f aca="false">IF($A45="","",IFERROR(INDEX(بند_سعر_الوحدة,MATCH($B45,قائمة_البنود,0)),0))</f>
        <v/>
      </c>
      <c r="I45" s="25" t="str">
        <f aca="false">IF($A45="","",H45*(1+نسبة_الضريبة))</f>
        <v/>
      </c>
      <c r="J45" s="33" t="str">
        <f aca="false">IF($A45="","",_xlfn.MINIFS('سجل المراجعات'!$E$5:$E$1504,'سجل المراجعات'!$A$5:$A$1504,$A45,'سجل المراجعات'!$D$5:$D$1504,"تسليم"))</f>
        <v/>
      </c>
      <c r="K45" s="33" t="str">
        <f aca="false">IF($A45="","",_xlfn.MAXIFS('سجل المراجعات'!$E$5:$E$1504,'سجل المراجعات'!$A$5:$A$1504,$A45,'سجل المراجعات'!$D$5:$D$1504,"تسليم"))</f>
        <v/>
      </c>
      <c r="L45" s="33" t="str">
        <f aca="false">IF($A45="","",_xlfn.MAXIFS('سجل المراجعات'!$E$5:$E$1504,'سجل المراجعات'!$A$5:$A$1504,$A45,'سجل المراجعات'!$D$5:$D$1504,"رد بملاحظات"))</f>
        <v/>
      </c>
      <c r="M45" s="33" t="str">
        <f aca="false">IF($A45="","",_xlfn.MAXIFS('سجل المراجعات'!$E$5:$E$1504,'سجل المراجعات'!$A$5:$A$1504,$A45,'سجل المراجعات'!$D$5:$D$1504,"قبول"))</f>
        <v/>
      </c>
      <c r="N45" s="26" t="str">
        <f aca="false">IF($A45="","",COUNTIFS('سجل المراجعات'!$A$5:$A$1504,$A45,'سجل المراجعات'!$D$5:$D$1504,"تسليم"))</f>
        <v/>
      </c>
      <c r="O45" s="34" t="str">
        <f aca="false">IF($A45="","",IF(M45&gt;0,"تم القبول",IF(F45="معلق","معلق",IF(AND(L45&gt;0,L45&gt;=K45),"مُعاد بملاحظات",IF(K45&gt;0,"في انتظار القبول",IF(AND(ISNUMBER(E45),E45&lt;تاريخ_الاحتساب),"متأخر",IF(F45="","لم يبدأ",F45)))))))</f>
        <v/>
      </c>
      <c r="P45" s="26" t="str">
        <f aca="false">IF($A45="","",SUMIFS('سجل المراجعات'!$L$5:$L$1504,'سجل المراجعات'!$A$5:$A$1504,$A45))</f>
        <v/>
      </c>
      <c r="Q45" s="26" t="str">
        <f aca="false">IF($A45="","",SUMIFS('سجل المراجعات'!$M$5:$M$1504,'سجل المراجعات'!$A$5:$A$1504,$A45))</f>
        <v/>
      </c>
      <c r="R45" s="26" t="str">
        <f aca="false">IF(OR($A45="",NOT(ISNUMBER(E45))),"",MAX(0,NETWORKDAYS.INTL(E45,IF(J45&gt;0,J45,تاريخ_الاحتساب),رمز_العطلة,أيام_الأجازات)-1))</f>
        <v/>
      </c>
      <c r="S45" s="22"/>
    </row>
    <row r="46" customFormat="false" ht="15" hidden="false" customHeight="false" outlineLevel="0" collapsed="false">
      <c r="A46" s="20"/>
      <c r="B46" s="20"/>
      <c r="C46" s="30" t="str">
        <f aca="false">IF($A46="","",IFERROR(INDEX(بند_الاسم,MATCH($B46,قائمة_البنود,0)),"⚠ بند غير موجود"))</f>
        <v/>
      </c>
      <c r="D46" s="22"/>
      <c r="E46" s="31"/>
      <c r="F46" s="21"/>
      <c r="G46" s="32"/>
      <c r="H46" s="25" t="str">
        <f aca="false">IF($A46="","",IFERROR(INDEX(بند_سعر_الوحدة,MATCH($B46,قائمة_البنود,0)),0))</f>
        <v/>
      </c>
      <c r="I46" s="25" t="str">
        <f aca="false">IF($A46="","",H46*(1+نسبة_الضريبة))</f>
        <v/>
      </c>
      <c r="J46" s="33" t="str">
        <f aca="false">IF($A46="","",_xlfn.MINIFS('سجل المراجعات'!$E$5:$E$1504,'سجل المراجعات'!$A$5:$A$1504,$A46,'سجل المراجعات'!$D$5:$D$1504,"تسليم"))</f>
        <v/>
      </c>
      <c r="K46" s="33" t="str">
        <f aca="false">IF($A46="","",_xlfn.MAXIFS('سجل المراجعات'!$E$5:$E$1504,'سجل المراجعات'!$A$5:$A$1504,$A46,'سجل المراجعات'!$D$5:$D$1504,"تسليم"))</f>
        <v/>
      </c>
      <c r="L46" s="33" t="str">
        <f aca="false">IF($A46="","",_xlfn.MAXIFS('سجل المراجعات'!$E$5:$E$1504,'سجل المراجعات'!$A$5:$A$1504,$A46,'سجل المراجعات'!$D$5:$D$1504,"رد بملاحظات"))</f>
        <v/>
      </c>
      <c r="M46" s="33" t="str">
        <f aca="false">IF($A46="","",_xlfn.MAXIFS('سجل المراجعات'!$E$5:$E$1504,'سجل المراجعات'!$A$5:$A$1504,$A46,'سجل المراجعات'!$D$5:$D$1504,"قبول"))</f>
        <v/>
      </c>
      <c r="N46" s="26" t="str">
        <f aca="false">IF($A46="","",COUNTIFS('سجل المراجعات'!$A$5:$A$1504,$A46,'سجل المراجعات'!$D$5:$D$1504,"تسليم"))</f>
        <v/>
      </c>
      <c r="O46" s="34" t="str">
        <f aca="false">IF($A46="","",IF(M46&gt;0,"تم القبول",IF(F46="معلق","معلق",IF(AND(L46&gt;0,L46&gt;=K46),"مُعاد بملاحظات",IF(K46&gt;0,"في انتظار القبول",IF(AND(ISNUMBER(E46),E46&lt;تاريخ_الاحتساب),"متأخر",IF(F46="","لم يبدأ",F46)))))))</f>
        <v/>
      </c>
      <c r="P46" s="26" t="str">
        <f aca="false">IF($A46="","",SUMIFS('سجل المراجعات'!$L$5:$L$1504,'سجل المراجعات'!$A$5:$A$1504,$A46))</f>
        <v/>
      </c>
      <c r="Q46" s="26" t="str">
        <f aca="false">IF($A46="","",SUMIFS('سجل المراجعات'!$M$5:$M$1504,'سجل المراجعات'!$A$5:$A$1504,$A46))</f>
        <v/>
      </c>
      <c r="R46" s="26" t="str">
        <f aca="false">IF(OR($A46="",NOT(ISNUMBER(E46))),"",MAX(0,NETWORKDAYS.INTL(E46,IF(J46&gt;0,J46,تاريخ_الاحتساب),رمز_العطلة,أيام_الأجازات)-1))</f>
        <v/>
      </c>
      <c r="S46" s="22"/>
    </row>
    <row r="47" customFormat="false" ht="15" hidden="false" customHeight="false" outlineLevel="0" collapsed="false">
      <c r="A47" s="20"/>
      <c r="B47" s="20"/>
      <c r="C47" s="30" t="str">
        <f aca="false">IF($A47="","",IFERROR(INDEX(بند_الاسم,MATCH($B47,قائمة_البنود,0)),"⚠ بند غير موجود"))</f>
        <v/>
      </c>
      <c r="D47" s="22"/>
      <c r="E47" s="31"/>
      <c r="F47" s="21"/>
      <c r="G47" s="32"/>
      <c r="H47" s="25" t="str">
        <f aca="false">IF($A47="","",IFERROR(INDEX(بند_سعر_الوحدة,MATCH($B47,قائمة_البنود,0)),0))</f>
        <v/>
      </c>
      <c r="I47" s="25" t="str">
        <f aca="false">IF($A47="","",H47*(1+نسبة_الضريبة))</f>
        <v/>
      </c>
      <c r="J47" s="33" t="str">
        <f aca="false">IF($A47="","",_xlfn.MINIFS('سجل المراجعات'!$E$5:$E$1504,'سجل المراجعات'!$A$5:$A$1504,$A47,'سجل المراجعات'!$D$5:$D$1504,"تسليم"))</f>
        <v/>
      </c>
      <c r="K47" s="33" t="str">
        <f aca="false">IF($A47="","",_xlfn.MAXIFS('سجل المراجعات'!$E$5:$E$1504,'سجل المراجعات'!$A$5:$A$1504,$A47,'سجل المراجعات'!$D$5:$D$1504,"تسليم"))</f>
        <v/>
      </c>
      <c r="L47" s="33" t="str">
        <f aca="false">IF($A47="","",_xlfn.MAXIFS('سجل المراجعات'!$E$5:$E$1504,'سجل المراجعات'!$A$5:$A$1504,$A47,'سجل المراجعات'!$D$5:$D$1504,"رد بملاحظات"))</f>
        <v/>
      </c>
      <c r="M47" s="33" t="str">
        <f aca="false">IF($A47="","",_xlfn.MAXIFS('سجل المراجعات'!$E$5:$E$1504,'سجل المراجعات'!$A$5:$A$1504,$A47,'سجل المراجعات'!$D$5:$D$1504,"قبول"))</f>
        <v/>
      </c>
      <c r="N47" s="26" t="str">
        <f aca="false">IF($A47="","",COUNTIFS('سجل المراجعات'!$A$5:$A$1504,$A47,'سجل المراجعات'!$D$5:$D$1504,"تسليم"))</f>
        <v/>
      </c>
      <c r="O47" s="34" t="str">
        <f aca="false">IF($A47="","",IF(M47&gt;0,"تم القبول",IF(F47="معلق","معلق",IF(AND(L47&gt;0,L47&gt;=K47),"مُعاد بملاحظات",IF(K47&gt;0,"في انتظار القبول",IF(AND(ISNUMBER(E47),E47&lt;تاريخ_الاحتساب),"متأخر",IF(F47="","لم يبدأ",F47)))))))</f>
        <v/>
      </c>
      <c r="P47" s="26" t="str">
        <f aca="false">IF($A47="","",SUMIFS('سجل المراجعات'!$L$5:$L$1504,'سجل المراجعات'!$A$5:$A$1504,$A47))</f>
        <v/>
      </c>
      <c r="Q47" s="26" t="str">
        <f aca="false">IF($A47="","",SUMIFS('سجل المراجعات'!$M$5:$M$1504,'سجل المراجعات'!$A$5:$A$1504,$A47))</f>
        <v/>
      </c>
      <c r="R47" s="26" t="str">
        <f aca="false">IF(OR($A47="",NOT(ISNUMBER(E47))),"",MAX(0,NETWORKDAYS.INTL(E47,IF(J47&gt;0,J47,تاريخ_الاحتساب),رمز_العطلة,أيام_الأجازات)-1))</f>
        <v/>
      </c>
      <c r="S47" s="22"/>
    </row>
    <row r="48" customFormat="false" ht="15" hidden="false" customHeight="false" outlineLevel="0" collapsed="false">
      <c r="A48" s="20"/>
      <c r="B48" s="20"/>
      <c r="C48" s="30" t="str">
        <f aca="false">IF($A48="","",IFERROR(INDEX(بند_الاسم,MATCH($B48,قائمة_البنود,0)),"⚠ بند غير موجود"))</f>
        <v/>
      </c>
      <c r="D48" s="22"/>
      <c r="E48" s="31"/>
      <c r="F48" s="21"/>
      <c r="G48" s="32"/>
      <c r="H48" s="25" t="str">
        <f aca="false">IF($A48="","",IFERROR(INDEX(بند_سعر_الوحدة,MATCH($B48,قائمة_البنود,0)),0))</f>
        <v/>
      </c>
      <c r="I48" s="25" t="str">
        <f aca="false">IF($A48="","",H48*(1+نسبة_الضريبة))</f>
        <v/>
      </c>
      <c r="J48" s="33" t="str">
        <f aca="false">IF($A48="","",_xlfn.MINIFS('سجل المراجعات'!$E$5:$E$1504,'سجل المراجعات'!$A$5:$A$1504,$A48,'سجل المراجعات'!$D$5:$D$1504,"تسليم"))</f>
        <v/>
      </c>
      <c r="K48" s="33" t="str">
        <f aca="false">IF($A48="","",_xlfn.MAXIFS('سجل المراجعات'!$E$5:$E$1504,'سجل المراجعات'!$A$5:$A$1504,$A48,'سجل المراجعات'!$D$5:$D$1504,"تسليم"))</f>
        <v/>
      </c>
      <c r="L48" s="33" t="str">
        <f aca="false">IF($A48="","",_xlfn.MAXIFS('سجل المراجعات'!$E$5:$E$1504,'سجل المراجعات'!$A$5:$A$1504,$A48,'سجل المراجعات'!$D$5:$D$1504,"رد بملاحظات"))</f>
        <v/>
      </c>
      <c r="M48" s="33" t="str">
        <f aca="false">IF($A48="","",_xlfn.MAXIFS('سجل المراجعات'!$E$5:$E$1504,'سجل المراجعات'!$A$5:$A$1504,$A48,'سجل المراجعات'!$D$5:$D$1504,"قبول"))</f>
        <v/>
      </c>
      <c r="N48" s="26" t="str">
        <f aca="false">IF($A48="","",COUNTIFS('سجل المراجعات'!$A$5:$A$1504,$A48,'سجل المراجعات'!$D$5:$D$1504,"تسليم"))</f>
        <v/>
      </c>
      <c r="O48" s="34" t="str">
        <f aca="false">IF($A48="","",IF(M48&gt;0,"تم القبول",IF(F48="معلق","معلق",IF(AND(L48&gt;0,L48&gt;=K48),"مُعاد بملاحظات",IF(K48&gt;0,"في انتظار القبول",IF(AND(ISNUMBER(E48),E48&lt;تاريخ_الاحتساب),"متأخر",IF(F48="","لم يبدأ",F48)))))))</f>
        <v/>
      </c>
      <c r="P48" s="26" t="str">
        <f aca="false">IF($A48="","",SUMIFS('سجل المراجعات'!$L$5:$L$1504,'سجل المراجعات'!$A$5:$A$1504,$A48))</f>
        <v/>
      </c>
      <c r="Q48" s="26" t="str">
        <f aca="false">IF($A48="","",SUMIFS('سجل المراجعات'!$M$5:$M$1504,'سجل المراجعات'!$A$5:$A$1504,$A48))</f>
        <v/>
      </c>
      <c r="R48" s="26" t="str">
        <f aca="false">IF(OR($A48="",NOT(ISNUMBER(E48))),"",MAX(0,NETWORKDAYS.INTL(E48,IF(J48&gt;0,J48,تاريخ_الاحتساب),رمز_العطلة,أيام_الأجازات)-1))</f>
        <v/>
      </c>
      <c r="S48" s="22"/>
    </row>
    <row r="49" customFormat="false" ht="15" hidden="false" customHeight="false" outlineLevel="0" collapsed="false">
      <c r="A49" s="20"/>
      <c r="B49" s="20"/>
      <c r="C49" s="30" t="str">
        <f aca="false">IF($A49="","",IFERROR(INDEX(بند_الاسم,MATCH($B49,قائمة_البنود,0)),"⚠ بند غير موجود"))</f>
        <v/>
      </c>
      <c r="D49" s="22"/>
      <c r="E49" s="31"/>
      <c r="F49" s="21"/>
      <c r="G49" s="32"/>
      <c r="H49" s="25" t="str">
        <f aca="false">IF($A49="","",IFERROR(INDEX(بند_سعر_الوحدة,MATCH($B49,قائمة_البنود,0)),0))</f>
        <v/>
      </c>
      <c r="I49" s="25" t="str">
        <f aca="false">IF($A49="","",H49*(1+نسبة_الضريبة))</f>
        <v/>
      </c>
      <c r="J49" s="33" t="str">
        <f aca="false">IF($A49="","",_xlfn.MINIFS('سجل المراجعات'!$E$5:$E$1504,'سجل المراجعات'!$A$5:$A$1504,$A49,'سجل المراجعات'!$D$5:$D$1504,"تسليم"))</f>
        <v/>
      </c>
      <c r="K49" s="33" t="str">
        <f aca="false">IF($A49="","",_xlfn.MAXIFS('سجل المراجعات'!$E$5:$E$1504,'سجل المراجعات'!$A$5:$A$1504,$A49,'سجل المراجعات'!$D$5:$D$1504,"تسليم"))</f>
        <v/>
      </c>
      <c r="L49" s="33" t="str">
        <f aca="false">IF($A49="","",_xlfn.MAXIFS('سجل المراجعات'!$E$5:$E$1504,'سجل المراجعات'!$A$5:$A$1504,$A49,'سجل المراجعات'!$D$5:$D$1504,"رد بملاحظات"))</f>
        <v/>
      </c>
      <c r="M49" s="33" t="str">
        <f aca="false">IF($A49="","",_xlfn.MAXIFS('سجل المراجعات'!$E$5:$E$1504,'سجل المراجعات'!$A$5:$A$1504,$A49,'سجل المراجعات'!$D$5:$D$1504,"قبول"))</f>
        <v/>
      </c>
      <c r="N49" s="26" t="str">
        <f aca="false">IF($A49="","",COUNTIFS('سجل المراجعات'!$A$5:$A$1504,$A49,'سجل المراجعات'!$D$5:$D$1504,"تسليم"))</f>
        <v/>
      </c>
      <c r="O49" s="34" t="str">
        <f aca="false">IF($A49="","",IF(M49&gt;0,"تم القبول",IF(F49="معلق","معلق",IF(AND(L49&gt;0,L49&gt;=K49),"مُعاد بملاحظات",IF(K49&gt;0,"في انتظار القبول",IF(AND(ISNUMBER(E49),E49&lt;تاريخ_الاحتساب),"متأخر",IF(F49="","لم يبدأ",F49)))))))</f>
        <v/>
      </c>
      <c r="P49" s="26" t="str">
        <f aca="false">IF($A49="","",SUMIFS('سجل المراجعات'!$L$5:$L$1504,'سجل المراجعات'!$A$5:$A$1504,$A49))</f>
        <v/>
      </c>
      <c r="Q49" s="26" t="str">
        <f aca="false">IF($A49="","",SUMIFS('سجل المراجعات'!$M$5:$M$1504,'سجل المراجعات'!$A$5:$A$1504,$A49))</f>
        <v/>
      </c>
      <c r="R49" s="26" t="str">
        <f aca="false">IF(OR($A49="",NOT(ISNUMBER(E49))),"",MAX(0,NETWORKDAYS.INTL(E49,IF(J49&gt;0,J49,تاريخ_الاحتساب),رمز_العطلة,أيام_الأجازات)-1))</f>
        <v/>
      </c>
      <c r="S49" s="22"/>
    </row>
    <row r="50" customFormat="false" ht="15" hidden="false" customHeight="false" outlineLevel="0" collapsed="false">
      <c r="A50" s="20"/>
      <c r="B50" s="20"/>
      <c r="C50" s="30" t="str">
        <f aca="false">IF($A50="","",IFERROR(INDEX(بند_الاسم,MATCH($B50,قائمة_البنود,0)),"⚠ بند غير موجود"))</f>
        <v/>
      </c>
      <c r="D50" s="22"/>
      <c r="E50" s="31"/>
      <c r="F50" s="21"/>
      <c r="G50" s="32"/>
      <c r="H50" s="25" t="str">
        <f aca="false">IF($A50="","",IFERROR(INDEX(بند_سعر_الوحدة,MATCH($B50,قائمة_البنود,0)),0))</f>
        <v/>
      </c>
      <c r="I50" s="25" t="str">
        <f aca="false">IF($A50="","",H50*(1+نسبة_الضريبة))</f>
        <v/>
      </c>
      <c r="J50" s="33" t="str">
        <f aca="false">IF($A50="","",_xlfn.MINIFS('سجل المراجعات'!$E$5:$E$1504,'سجل المراجعات'!$A$5:$A$1504,$A50,'سجل المراجعات'!$D$5:$D$1504,"تسليم"))</f>
        <v/>
      </c>
      <c r="K50" s="33" t="str">
        <f aca="false">IF($A50="","",_xlfn.MAXIFS('سجل المراجعات'!$E$5:$E$1504,'سجل المراجعات'!$A$5:$A$1504,$A50,'سجل المراجعات'!$D$5:$D$1504,"تسليم"))</f>
        <v/>
      </c>
      <c r="L50" s="33" t="str">
        <f aca="false">IF($A50="","",_xlfn.MAXIFS('سجل المراجعات'!$E$5:$E$1504,'سجل المراجعات'!$A$5:$A$1504,$A50,'سجل المراجعات'!$D$5:$D$1504,"رد بملاحظات"))</f>
        <v/>
      </c>
      <c r="M50" s="33" t="str">
        <f aca="false">IF($A50="","",_xlfn.MAXIFS('سجل المراجعات'!$E$5:$E$1504,'سجل المراجعات'!$A$5:$A$1504,$A50,'سجل المراجعات'!$D$5:$D$1504,"قبول"))</f>
        <v/>
      </c>
      <c r="N50" s="26" t="str">
        <f aca="false">IF($A50="","",COUNTIFS('سجل المراجعات'!$A$5:$A$1504,$A50,'سجل المراجعات'!$D$5:$D$1504,"تسليم"))</f>
        <v/>
      </c>
      <c r="O50" s="34" t="str">
        <f aca="false">IF($A50="","",IF(M50&gt;0,"تم القبول",IF(F50="معلق","معلق",IF(AND(L50&gt;0,L50&gt;=K50),"مُعاد بملاحظات",IF(K50&gt;0,"في انتظار القبول",IF(AND(ISNUMBER(E50),E50&lt;تاريخ_الاحتساب),"متأخر",IF(F50="","لم يبدأ",F50)))))))</f>
        <v/>
      </c>
      <c r="P50" s="26" t="str">
        <f aca="false">IF($A50="","",SUMIFS('سجل المراجعات'!$L$5:$L$1504,'سجل المراجعات'!$A$5:$A$1504,$A50))</f>
        <v/>
      </c>
      <c r="Q50" s="26" t="str">
        <f aca="false">IF($A50="","",SUMIFS('سجل المراجعات'!$M$5:$M$1504,'سجل المراجعات'!$A$5:$A$1504,$A50))</f>
        <v/>
      </c>
      <c r="R50" s="26" t="str">
        <f aca="false">IF(OR($A50="",NOT(ISNUMBER(E50))),"",MAX(0,NETWORKDAYS.INTL(E50,IF(J50&gt;0,J50,تاريخ_الاحتساب),رمز_العطلة,أيام_الأجازات)-1))</f>
        <v/>
      </c>
      <c r="S50" s="22"/>
    </row>
    <row r="51" customFormat="false" ht="15" hidden="false" customHeight="false" outlineLevel="0" collapsed="false">
      <c r="A51" s="20"/>
      <c r="B51" s="20"/>
      <c r="C51" s="30" t="str">
        <f aca="false">IF($A51="","",IFERROR(INDEX(بند_الاسم,MATCH($B51,قائمة_البنود,0)),"⚠ بند غير موجود"))</f>
        <v/>
      </c>
      <c r="D51" s="22"/>
      <c r="E51" s="31"/>
      <c r="F51" s="21"/>
      <c r="G51" s="32"/>
      <c r="H51" s="25" t="str">
        <f aca="false">IF($A51="","",IFERROR(INDEX(بند_سعر_الوحدة,MATCH($B51,قائمة_البنود,0)),0))</f>
        <v/>
      </c>
      <c r="I51" s="25" t="str">
        <f aca="false">IF($A51="","",H51*(1+نسبة_الضريبة))</f>
        <v/>
      </c>
      <c r="J51" s="33" t="str">
        <f aca="false">IF($A51="","",_xlfn.MINIFS('سجل المراجعات'!$E$5:$E$1504,'سجل المراجعات'!$A$5:$A$1504,$A51,'سجل المراجعات'!$D$5:$D$1504,"تسليم"))</f>
        <v/>
      </c>
      <c r="K51" s="33" t="str">
        <f aca="false">IF($A51="","",_xlfn.MAXIFS('سجل المراجعات'!$E$5:$E$1504,'سجل المراجعات'!$A$5:$A$1504,$A51,'سجل المراجعات'!$D$5:$D$1504,"تسليم"))</f>
        <v/>
      </c>
      <c r="L51" s="33" t="str">
        <f aca="false">IF($A51="","",_xlfn.MAXIFS('سجل المراجعات'!$E$5:$E$1504,'سجل المراجعات'!$A$5:$A$1504,$A51,'سجل المراجعات'!$D$5:$D$1504,"رد بملاحظات"))</f>
        <v/>
      </c>
      <c r="M51" s="33" t="str">
        <f aca="false">IF($A51="","",_xlfn.MAXIFS('سجل المراجعات'!$E$5:$E$1504,'سجل المراجعات'!$A$5:$A$1504,$A51,'سجل المراجعات'!$D$5:$D$1504,"قبول"))</f>
        <v/>
      </c>
      <c r="N51" s="26" t="str">
        <f aca="false">IF($A51="","",COUNTIFS('سجل المراجعات'!$A$5:$A$1504,$A51,'سجل المراجعات'!$D$5:$D$1504,"تسليم"))</f>
        <v/>
      </c>
      <c r="O51" s="34" t="str">
        <f aca="false">IF($A51="","",IF(M51&gt;0,"تم القبول",IF(F51="معلق","معلق",IF(AND(L51&gt;0,L51&gt;=K51),"مُعاد بملاحظات",IF(K51&gt;0,"في انتظار القبول",IF(AND(ISNUMBER(E51),E51&lt;تاريخ_الاحتساب),"متأخر",IF(F51="","لم يبدأ",F51)))))))</f>
        <v/>
      </c>
      <c r="P51" s="26" t="str">
        <f aca="false">IF($A51="","",SUMIFS('سجل المراجعات'!$L$5:$L$1504,'سجل المراجعات'!$A$5:$A$1504,$A51))</f>
        <v/>
      </c>
      <c r="Q51" s="26" t="str">
        <f aca="false">IF($A51="","",SUMIFS('سجل المراجعات'!$M$5:$M$1504,'سجل المراجعات'!$A$5:$A$1504,$A51))</f>
        <v/>
      </c>
      <c r="R51" s="26" t="str">
        <f aca="false">IF(OR($A51="",NOT(ISNUMBER(E51))),"",MAX(0,NETWORKDAYS.INTL(E51,IF(J51&gt;0,J51,تاريخ_الاحتساب),رمز_العطلة,أيام_الأجازات)-1))</f>
        <v/>
      </c>
      <c r="S51" s="22"/>
    </row>
    <row r="52" customFormat="false" ht="15" hidden="false" customHeight="false" outlineLevel="0" collapsed="false">
      <c r="A52" s="20"/>
      <c r="B52" s="20"/>
      <c r="C52" s="30" t="str">
        <f aca="false">IF($A52="","",IFERROR(INDEX(بند_الاسم,MATCH($B52,قائمة_البنود,0)),"⚠ بند غير موجود"))</f>
        <v/>
      </c>
      <c r="D52" s="22"/>
      <c r="E52" s="31"/>
      <c r="F52" s="21"/>
      <c r="G52" s="32"/>
      <c r="H52" s="25" t="str">
        <f aca="false">IF($A52="","",IFERROR(INDEX(بند_سعر_الوحدة,MATCH($B52,قائمة_البنود,0)),0))</f>
        <v/>
      </c>
      <c r="I52" s="25" t="str">
        <f aca="false">IF($A52="","",H52*(1+نسبة_الضريبة))</f>
        <v/>
      </c>
      <c r="J52" s="33" t="str">
        <f aca="false">IF($A52="","",_xlfn.MINIFS('سجل المراجعات'!$E$5:$E$1504,'سجل المراجعات'!$A$5:$A$1504,$A52,'سجل المراجعات'!$D$5:$D$1504,"تسليم"))</f>
        <v/>
      </c>
      <c r="K52" s="33" t="str">
        <f aca="false">IF($A52="","",_xlfn.MAXIFS('سجل المراجعات'!$E$5:$E$1504,'سجل المراجعات'!$A$5:$A$1504,$A52,'سجل المراجعات'!$D$5:$D$1504,"تسليم"))</f>
        <v/>
      </c>
      <c r="L52" s="33" t="str">
        <f aca="false">IF($A52="","",_xlfn.MAXIFS('سجل المراجعات'!$E$5:$E$1504,'سجل المراجعات'!$A$5:$A$1504,$A52,'سجل المراجعات'!$D$5:$D$1504,"رد بملاحظات"))</f>
        <v/>
      </c>
      <c r="M52" s="33" t="str">
        <f aca="false">IF($A52="","",_xlfn.MAXIFS('سجل المراجعات'!$E$5:$E$1504,'سجل المراجعات'!$A$5:$A$1504,$A52,'سجل المراجعات'!$D$5:$D$1504,"قبول"))</f>
        <v/>
      </c>
      <c r="N52" s="26" t="str">
        <f aca="false">IF($A52="","",COUNTIFS('سجل المراجعات'!$A$5:$A$1504,$A52,'سجل المراجعات'!$D$5:$D$1504,"تسليم"))</f>
        <v/>
      </c>
      <c r="O52" s="34" t="str">
        <f aca="false">IF($A52="","",IF(M52&gt;0,"تم القبول",IF(F52="معلق","معلق",IF(AND(L52&gt;0,L52&gt;=K52),"مُعاد بملاحظات",IF(K52&gt;0,"في انتظار القبول",IF(AND(ISNUMBER(E52),E52&lt;تاريخ_الاحتساب),"متأخر",IF(F52="","لم يبدأ",F52)))))))</f>
        <v/>
      </c>
      <c r="P52" s="26" t="str">
        <f aca="false">IF($A52="","",SUMIFS('سجل المراجعات'!$L$5:$L$1504,'سجل المراجعات'!$A$5:$A$1504,$A52))</f>
        <v/>
      </c>
      <c r="Q52" s="26" t="str">
        <f aca="false">IF($A52="","",SUMIFS('سجل المراجعات'!$M$5:$M$1504,'سجل المراجعات'!$A$5:$A$1504,$A52))</f>
        <v/>
      </c>
      <c r="R52" s="26" t="str">
        <f aca="false">IF(OR($A52="",NOT(ISNUMBER(E52))),"",MAX(0,NETWORKDAYS.INTL(E52,IF(J52&gt;0,J52,تاريخ_الاحتساب),رمز_العطلة,أيام_الأجازات)-1))</f>
        <v/>
      </c>
      <c r="S52" s="22"/>
    </row>
    <row r="53" customFormat="false" ht="15" hidden="false" customHeight="false" outlineLevel="0" collapsed="false">
      <c r="A53" s="20"/>
      <c r="B53" s="20"/>
      <c r="C53" s="30" t="str">
        <f aca="false">IF($A53="","",IFERROR(INDEX(بند_الاسم,MATCH($B53,قائمة_البنود,0)),"⚠ بند غير موجود"))</f>
        <v/>
      </c>
      <c r="D53" s="22"/>
      <c r="E53" s="31"/>
      <c r="F53" s="21"/>
      <c r="G53" s="32"/>
      <c r="H53" s="25" t="str">
        <f aca="false">IF($A53="","",IFERROR(INDEX(بند_سعر_الوحدة,MATCH($B53,قائمة_البنود,0)),0))</f>
        <v/>
      </c>
      <c r="I53" s="25" t="str">
        <f aca="false">IF($A53="","",H53*(1+نسبة_الضريبة))</f>
        <v/>
      </c>
      <c r="J53" s="33" t="str">
        <f aca="false">IF($A53="","",_xlfn.MINIFS('سجل المراجعات'!$E$5:$E$1504,'سجل المراجعات'!$A$5:$A$1504,$A53,'سجل المراجعات'!$D$5:$D$1504,"تسليم"))</f>
        <v/>
      </c>
      <c r="K53" s="33" t="str">
        <f aca="false">IF($A53="","",_xlfn.MAXIFS('سجل المراجعات'!$E$5:$E$1504,'سجل المراجعات'!$A$5:$A$1504,$A53,'سجل المراجعات'!$D$5:$D$1504,"تسليم"))</f>
        <v/>
      </c>
      <c r="L53" s="33" t="str">
        <f aca="false">IF($A53="","",_xlfn.MAXIFS('سجل المراجعات'!$E$5:$E$1504,'سجل المراجعات'!$A$5:$A$1504,$A53,'سجل المراجعات'!$D$5:$D$1504,"رد بملاحظات"))</f>
        <v/>
      </c>
      <c r="M53" s="33" t="str">
        <f aca="false">IF($A53="","",_xlfn.MAXIFS('سجل المراجعات'!$E$5:$E$1504,'سجل المراجعات'!$A$5:$A$1504,$A53,'سجل المراجعات'!$D$5:$D$1504,"قبول"))</f>
        <v/>
      </c>
      <c r="N53" s="26" t="str">
        <f aca="false">IF($A53="","",COUNTIFS('سجل المراجعات'!$A$5:$A$1504,$A53,'سجل المراجعات'!$D$5:$D$1504,"تسليم"))</f>
        <v/>
      </c>
      <c r="O53" s="34" t="str">
        <f aca="false">IF($A53="","",IF(M53&gt;0,"تم القبول",IF(F53="معلق","معلق",IF(AND(L53&gt;0,L53&gt;=K53),"مُعاد بملاحظات",IF(K53&gt;0,"في انتظار القبول",IF(AND(ISNUMBER(E53),E53&lt;تاريخ_الاحتساب),"متأخر",IF(F53="","لم يبدأ",F53)))))))</f>
        <v/>
      </c>
      <c r="P53" s="26" t="str">
        <f aca="false">IF($A53="","",SUMIFS('سجل المراجعات'!$L$5:$L$1504,'سجل المراجعات'!$A$5:$A$1504,$A53))</f>
        <v/>
      </c>
      <c r="Q53" s="26" t="str">
        <f aca="false">IF($A53="","",SUMIFS('سجل المراجعات'!$M$5:$M$1504,'سجل المراجعات'!$A$5:$A$1504,$A53))</f>
        <v/>
      </c>
      <c r="R53" s="26" t="str">
        <f aca="false">IF(OR($A53="",NOT(ISNUMBER(E53))),"",MAX(0,NETWORKDAYS.INTL(E53,IF(J53&gt;0,J53,تاريخ_الاحتساب),رمز_العطلة,أيام_الأجازات)-1))</f>
        <v/>
      </c>
      <c r="S53" s="22"/>
    </row>
    <row r="54" customFormat="false" ht="15" hidden="false" customHeight="false" outlineLevel="0" collapsed="false">
      <c r="A54" s="20"/>
      <c r="B54" s="20"/>
      <c r="C54" s="30" t="str">
        <f aca="false">IF($A54="","",IFERROR(INDEX(بند_الاسم,MATCH($B54,قائمة_البنود,0)),"⚠ بند غير موجود"))</f>
        <v/>
      </c>
      <c r="D54" s="22"/>
      <c r="E54" s="31"/>
      <c r="F54" s="21"/>
      <c r="G54" s="32"/>
      <c r="H54" s="25" t="str">
        <f aca="false">IF($A54="","",IFERROR(INDEX(بند_سعر_الوحدة,MATCH($B54,قائمة_البنود,0)),0))</f>
        <v/>
      </c>
      <c r="I54" s="25" t="str">
        <f aca="false">IF($A54="","",H54*(1+نسبة_الضريبة))</f>
        <v/>
      </c>
      <c r="J54" s="33" t="str">
        <f aca="false">IF($A54="","",_xlfn.MINIFS('سجل المراجعات'!$E$5:$E$1504,'سجل المراجعات'!$A$5:$A$1504,$A54,'سجل المراجعات'!$D$5:$D$1504,"تسليم"))</f>
        <v/>
      </c>
      <c r="K54" s="33" t="str">
        <f aca="false">IF($A54="","",_xlfn.MAXIFS('سجل المراجعات'!$E$5:$E$1504,'سجل المراجعات'!$A$5:$A$1504,$A54,'سجل المراجعات'!$D$5:$D$1504,"تسليم"))</f>
        <v/>
      </c>
      <c r="L54" s="33" t="str">
        <f aca="false">IF($A54="","",_xlfn.MAXIFS('سجل المراجعات'!$E$5:$E$1504,'سجل المراجعات'!$A$5:$A$1504,$A54,'سجل المراجعات'!$D$5:$D$1504,"رد بملاحظات"))</f>
        <v/>
      </c>
      <c r="M54" s="33" t="str">
        <f aca="false">IF($A54="","",_xlfn.MAXIFS('سجل المراجعات'!$E$5:$E$1504,'سجل المراجعات'!$A$5:$A$1504,$A54,'سجل المراجعات'!$D$5:$D$1504,"قبول"))</f>
        <v/>
      </c>
      <c r="N54" s="26" t="str">
        <f aca="false">IF($A54="","",COUNTIFS('سجل المراجعات'!$A$5:$A$1504,$A54,'سجل المراجعات'!$D$5:$D$1504,"تسليم"))</f>
        <v/>
      </c>
      <c r="O54" s="34" t="str">
        <f aca="false">IF($A54="","",IF(M54&gt;0,"تم القبول",IF(F54="معلق","معلق",IF(AND(L54&gt;0,L54&gt;=K54),"مُعاد بملاحظات",IF(K54&gt;0,"في انتظار القبول",IF(AND(ISNUMBER(E54),E54&lt;تاريخ_الاحتساب),"متأخر",IF(F54="","لم يبدأ",F54)))))))</f>
        <v/>
      </c>
      <c r="P54" s="26" t="str">
        <f aca="false">IF($A54="","",SUMIFS('سجل المراجعات'!$L$5:$L$1504,'سجل المراجعات'!$A$5:$A$1504,$A54))</f>
        <v/>
      </c>
      <c r="Q54" s="26" t="str">
        <f aca="false">IF($A54="","",SUMIFS('سجل المراجعات'!$M$5:$M$1504,'سجل المراجعات'!$A$5:$A$1504,$A54))</f>
        <v/>
      </c>
      <c r="R54" s="26" t="str">
        <f aca="false">IF(OR($A54="",NOT(ISNUMBER(E54))),"",MAX(0,NETWORKDAYS.INTL(E54,IF(J54&gt;0,J54,تاريخ_الاحتساب),رمز_العطلة,أيام_الأجازات)-1))</f>
        <v/>
      </c>
      <c r="S54" s="22"/>
    </row>
    <row r="55" customFormat="false" ht="15" hidden="false" customHeight="false" outlineLevel="0" collapsed="false">
      <c r="A55" s="20"/>
      <c r="B55" s="20"/>
      <c r="C55" s="30" t="str">
        <f aca="false">IF($A55="","",IFERROR(INDEX(بند_الاسم,MATCH($B55,قائمة_البنود,0)),"⚠ بند غير موجود"))</f>
        <v/>
      </c>
      <c r="D55" s="22"/>
      <c r="E55" s="31"/>
      <c r="F55" s="21"/>
      <c r="G55" s="32"/>
      <c r="H55" s="25" t="str">
        <f aca="false">IF($A55="","",IFERROR(INDEX(بند_سعر_الوحدة,MATCH($B55,قائمة_البنود,0)),0))</f>
        <v/>
      </c>
      <c r="I55" s="25" t="str">
        <f aca="false">IF($A55="","",H55*(1+نسبة_الضريبة))</f>
        <v/>
      </c>
      <c r="J55" s="33" t="str">
        <f aca="false">IF($A55="","",_xlfn.MINIFS('سجل المراجعات'!$E$5:$E$1504,'سجل المراجعات'!$A$5:$A$1504,$A55,'سجل المراجعات'!$D$5:$D$1504,"تسليم"))</f>
        <v/>
      </c>
      <c r="K55" s="33" t="str">
        <f aca="false">IF($A55="","",_xlfn.MAXIFS('سجل المراجعات'!$E$5:$E$1504,'سجل المراجعات'!$A$5:$A$1504,$A55,'سجل المراجعات'!$D$5:$D$1504,"تسليم"))</f>
        <v/>
      </c>
      <c r="L55" s="33" t="str">
        <f aca="false">IF($A55="","",_xlfn.MAXIFS('سجل المراجعات'!$E$5:$E$1504,'سجل المراجعات'!$A$5:$A$1504,$A55,'سجل المراجعات'!$D$5:$D$1504,"رد بملاحظات"))</f>
        <v/>
      </c>
      <c r="M55" s="33" t="str">
        <f aca="false">IF($A55="","",_xlfn.MAXIFS('سجل المراجعات'!$E$5:$E$1504,'سجل المراجعات'!$A$5:$A$1504,$A55,'سجل المراجعات'!$D$5:$D$1504,"قبول"))</f>
        <v/>
      </c>
      <c r="N55" s="26" t="str">
        <f aca="false">IF($A55="","",COUNTIFS('سجل المراجعات'!$A$5:$A$1504,$A55,'سجل المراجعات'!$D$5:$D$1504,"تسليم"))</f>
        <v/>
      </c>
      <c r="O55" s="34" t="str">
        <f aca="false">IF($A55="","",IF(M55&gt;0,"تم القبول",IF(F55="معلق","معلق",IF(AND(L55&gt;0,L55&gt;=K55),"مُعاد بملاحظات",IF(K55&gt;0,"في انتظار القبول",IF(AND(ISNUMBER(E55),E55&lt;تاريخ_الاحتساب),"متأخر",IF(F55="","لم يبدأ",F55)))))))</f>
        <v/>
      </c>
      <c r="P55" s="26" t="str">
        <f aca="false">IF($A55="","",SUMIFS('سجل المراجعات'!$L$5:$L$1504,'سجل المراجعات'!$A$5:$A$1504,$A55))</f>
        <v/>
      </c>
      <c r="Q55" s="26" t="str">
        <f aca="false">IF($A55="","",SUMIFS('سجل المراجعات'!$M$5:$M$1504,'سجل المراجعات'!$A$5:$A$1504,$A55))</f>
        <v/>
      </c>
      <c r="R55" s="26" t="str">
        <f aca="false">IF(OR($A55="",NOT(ISNUMBER(E55))),"",MAX(0,NETWORKDAYS.INTL(E55,IF(J55&gt;0,J55,تاريخ_الاحتساب),رمز_العطلة,أيام_الأجازات)-1))</f>
        <v/>
      </c>
      <c r="S55" s="22"/>
    </row>
    <row r="56" customFormat="false" ht="15" hidden="false" customHeight="false" outlineLevel="0" collapsed="false">
      <c r="A56" s="20"/>
      <c r="B56" s="20"/>
      <c r="C56" s="30" t="str">
        <f aca="false">IF($A56="","",IFERROR(INDEX(بند_الاسم,MATCH($B56,قائمة_البنود,0)),"⚠ بند غير موجود"))</f>
        <v/>
      </c>
      <c r="D56" s="22"/>
      <c r="E56" s="31"/>
      <c r="F56" s="21"/>
      <c r="G56" s="32"/>
      <c r="H56" s="25" t="str">
        <f aca="false">IF($A56="","",IFERROR(INDEX(بند_سعر_الوحدة,MATCH($B56,قائمة_البنود,0)),0))</f>
        <v/>
      </c>
      <c r="I56" s="25" t="str">
        <f aca="false">IF($A56="","",H56*(1+نسبة_الضريبة))</f>
        <v/>
      </c>
      <c r="J56" s="33" t="str">
        <f aca="false">IF($A56="","",_xlfn.MINIFS('سجل المراجعات'!$E$5:$E$1504,'سجل المراجعات'!$A$5:$A$1504,$A56,'سجل المراجعات'!$D$5:$D$1504,"تسليم"))</f>
        <v/>
      </c>
      <c r="K56" s="33" t="str">
        <f aca="false">IF($A56="","",_xlfn.MAXIFS('سجل المراجعات'!$E$5:$E$1504,'سجل المراجعات'!$A$5:$A$1504,$A56,'سجل المراجعات'!$D$5:$D$1504,"تسليم"))</f>
        <v/>
      </c>
      <c r="L56" s="33" t="str">
        <f aca="false">IF($A56="","",_xlfn.MAXIFS('سجل المراجعات'!$E$5:$E$1504,'سجل المراجعات'!$A$5:$A$1504,$A56,'سجل المراجعات'!$D$5:$D$1504,"رد بملاحظات"))</f>
        <v/>
      </c>
      <c r="M56" s="33" t="str">
        <f aca="false">IF($A56="","",_xlfn.MAXIFS('سجل المراجعات'!$E$5:$E$1504,'سجل المراجعات'!$A$5:$A$1504,$A56,'سجل المراجعات'!$D$5:$D$1504,"قبول"))</f>
        <v/>
      </c>
      <c r="N56" s="26" t="str">
        <f aca="false">IF($A56="","",COUNTIFS('سجل المراجعات'!$A$5:$A$1504,$A56,'سجل المراجعات'!$D$5:$D$1504,"تسليم"))</f>
        <v/>
      </c>
      <c r="O56" s="34" t="str">
        <f aca="false">IF($A56="","",IF(M56&gt;0,"تم القبول",IF(F56="معلق","معلق",IF(AND(L56&gt;0,L56&gt;=K56),"مُعاد بملاحظات",IF(K56&gt;0,"في انتظار القبول",IF(AND(ISNUMBER(E56),E56&lt;تاريخ_الاحتساب),"متأخر",IF(F56="","لم يبدأ",F56)))))))</f>
        <v/>
      </c>
      <c r="P56" s="26" t="str">
        <f aca="false">IF($A56="","",SUMIFS('سجل المراجعات'!$L$5:$L$1504,'سجل المراجعات'!$A$5:$A$1504,$A56))</f>
        <v/>
      </c>
      <c r="Q56" s="26" t="str">
        <f aca="false">IF($A56="","",SUMIFS('سجل المراجعات'!$M$5:$M$1504,'سجل المراجعات'!$A$5:$A$1504,$A56))</f>
        <v/>
      </c>
      <c r="R56" s="26" t="str">
        <f aca="false">IF(OR($A56="",NOT(ISNUMBER(E56))),"",MAX(0,NETWORKDAYS.INTL(E56,IF(J56&gt;0,J56,تاريخ_الاحتساب),رمز_العطلة,أيام_الأجازات)-1))</f>
        <v/>
      </c>
      <c r="S56" s="22"/>
    </row>
    <row r="57" customFormat="false" ht="15" hidden="false" customHeight="false" outlineLevel="0" collapsed="false">
      <c r="A57" s="20"/>
      <c r="B57" s="20"/>
      <c r="C57" s="30" t="str">
        <f aca="false">IF($A57="","",IFERROR(INDEX(بند_الاسم,MATCH($B57,قائمة_البنود,0)),"⚠ بند غير موجود"))</f>
        <v/>
      </c>
      <c r="D57" s="22"/>
      <c r="E57" s="31"/>
      <c r="F57" s="21"/>
      <c r="G57" s="32"/>
      <c r="H57" s="25" t="str">
        <f aca="false">IF($A57="","",IFERROR(INDEX(بند_سعر_الوحدة,MATCH($B57,قائمة_البنود,0)),0))</f>
        <v/>
      </c>
      <c r="I57" s="25" t="str">
        <f aca="false">IF($A57="","",H57*(1+نسبة_الضريبة))</f>
        <v/>
      </c>
      <c r="J57" s="33" t="str">
        <f aca="false">IF($A57="","",_xlfn.MINIFS('سجل المراجعات'!$E$5:$E$1504,'سجل المراجعات'!$A$5:$A$1504,$A57,'سجل المراجعات'!$D$5:$D$1504,"تسليم"))</f>
        <v/>
      </c>
      <c r="K57" s="33" t="str">
        <f aca="false">IF($A57="","",_xlfn.MAXIFS('سجل المراجعات'!$E$5:$E$1504,'سجل المراجعات'!$A$5:$A$1504,$A57,'سجل المراجعات'!$D$5:$D$1504,"تسليم"))</f>
        <v/>
      </c>
      <c r="L57" s="33" t="str">
        <f aca="false">IF($A57="","",_xlfn.MAXIFS('سجل المراجعات'!$E$5:$E$1504,'سجل المراجعات'!$A$5:$A$1504,$A57,'سجل المراجعات'!$D$5:$D$1504,"رد بملاحظات"))</f>
        <v/>
      </c>
      <c r="M57" s="33" t="str">
        <f aca="false">IF($A57="","",_xlfn.MAXIFS('سجل المراجعات'!$E$5:$E$1504,'سجل المراجعات'!$A$5:$A$1504,$A57,'سجل المراجعات'!$D$5:$D$1504,"قبول"))</f>
        <v/>
      </c>
      <c r="N57" s="26" t="str">
        <f aca="false">IF($A57="","",COUNTIFS('سجل المراجعات'!$A$5:$A$1504,$A57,'سجل المراجعات'!$D$5:$D$1504,"تسليم"))</f>
        <v/>
      </c>
      <c r="O57" s="34" t="str">
        <f aca="false">IF($A57="","",IF(M57&gt;0,"تم القبول",IF(F57="معلق","معلق",IF(AND(L57&gt;0,L57&gt;=K57),"مُعاد بملاحظات",IF(K57&gt;0,"في انتظار القبول",IF(AND(ISNUMBER(E57),E57&lt;تاريخ_الاحتساب),"متأخر",IF(F57="","لم يبدأ",F57)))))))</f>
        <v/>
      </c>
      <c r="P57" s="26" t="str">
        <f aca="false">IF($A57="","",SUMIFS('سجل المراجعات'!$L$5:$L$1504,'سجل المراجعات'!$A$5:$A$1504,$A57))</f>
        <v/>
      </c>
      <c r="Q57" s="26" t="str">
        <f aca="false">IF($A57="","",SUMIFS('سجل المراجعات'!$M$5:$M$1504,'سجل المراجعات'!$A$5:$A$1504,$A57))</f>
        <v/>
      </c>
      <c r="R57" s="26" t="str">
        <f aca="false">IF(OR($A57="",NOT(ISNUMBER(E57))),"",MAX(0,NETWORKDAYS.INTL(E57,IF(J57&gt;0,J57,تاريخ_الاحتساب),رمز_العطلة,أيام_الأجازات)-1))</f>
        <v/>
      </c>
      <c r="S57" s="22"/>
    </row>
    <row r="58" customFormat="false" ht="15" hidden="false" customHeight="false" outlineLevel="0" collapsed="false">
      <c r="A58" s="20"/>
      <c r="B58" s="20"/>
      <c r="C58" s="30" t="str">
        <f aca="false">IF($A58="","",IFERROR(INDEX(بند_الاسم,MATCH($B58,قائمة_البنود,0)),"⚠ بند غير موجود"))</f>
        <v/>
      </c>
      <c r="D58" s="22"/>
      <c r="E58" s="31"/>
      <c r="F58" s="21"/>
      <c r="G58" s="32"/>
      <c r="H58" s="25" t="str">
        <f aca="false">IF($A58="","",IFERROR(INDEX(بند_سعر_الوحدة,MATCH($B58,قائمة_البنود,0)),0))</f>
        <v/>
      </c>
      <c r="I58" s="25" t="str">
        <f aca="false">IF($A58="","",H58*(1+نسبة_الضريبة))</f>
        <v/>
      </c>
      <c r="J58" s="33" t="str">
        <f aca="false">IF($A58="","",_xlfn.MINIFS('سجل المراجعات'!$E$5:$E$1504,'سجل المراجعات'!$A$5:$A$1504,$A58,'سجل المراجعات'!$D$5:$D$1504,"تسليم"))</f>
        <v/>
      </c>
      <c r="K58" s="33" t="str">
        <f aca="false">IF($A58="","",_xlfn.MAXIFS('سجل المراجعات'!$E$5:$E$1504,'سجل المراجعات'!$A$5:$A$1504,$A58,'سجل المراجعات'!$D$5:$D$1504,"تسليم"))</f>
        <v/>
      </c>
      <c r="L58" s="33" t="str">
        <f aca="false">IF($A58="","",_xlfn.MAXIFS('سجل المراجعات'!$E$5:$E$1504,'سجل المراجعات'!$A$5:$A$1504,$A58,'سجل المراجعات'!$D$5:$D$1504,"رد بملاحظات"))</f>
        <v/>
      </c>
      <c r="M58" s="33" t="str">
        <f aca="false">IF($A58="","",_xlfn.MAXIFS('سجل المراجعات'!$E$5:$E$1504,'سجل المراجعات'!$A$5:$A$1504,$A58,'سجل المراجعات'!$D$5:$D$1504,"قبول"))</f>
        <v/>
      </c>
      <c r="N58" s="26" t="str">
        <f aca="false">IF($A58="","",COUNTIFS('سجل المراجعات'!$A$5:$A$1504,$A58,'سجل المراجعات'!$D$5:$D$1504,"تسليم"))</f>
        <v/>
      </c>
      <c r="O58" s="34" t="str">
        <f aca="false">IF($A58="","",IF(M58&gt;0,"تم القبول",IF(F58="معلق","معلق",IF(AND(L58&gt;0,L58&gt;=K58),"مُعاد بملاحظات",IF(K58&gt;0,"في انتظار القبول",IF(AND(ISNUMBER(E58),E58&lt;تاريخ_الاحتساب),"متأخر",IF(F58="","لم يبدأ",F58)))))))</f>
        <v/>
      </c>
      <c r="P58" s="26" t="str">
        <f aca="false">IF($A58="","",SUMIFS('سجل المراجعات'!$L$5:$L$1504,'سجل المراجعات'!$A$5:$A$1504,$A58))</f>
        <v/>
      </c>
      <c r="Q58" s="26" t="str">
        <f aca="false">IF($A58="","",SUMIFS('سجل المراجعات'!$M$5:$M$1504,'سجل المراجعات'!$A$5:$A$1504,$A58))</f>
        <v/>
      </c>
      <c r="R58" s="26" t="str">
        <f aca="false">IF(OR($A58="",NOT(ISNUMBER(E58))),"",MAX(0,NETWORKDAYS.INTL(E58,IF(J58&gt;0,J58,تاريخ_الاحتساب),رمز_العطلة,أيام_الأجازات)-1))</f>
        <v/>
      </c>
      <c r="S58" s="22"/>
    </row>
    <row r="59" customFormat="false" ht="15" hidden="false" customHeight="false" outlineLevel="0" collapsed="false">
      <c r="A59" s="20"/>
      <c r="B59" s="20"/>
      <c r="C59" s="30" t="str">
        <f aca="false">IF($A59="","",IFERROR(INDEX(بند_الاسم,MATCH($B59,قائمة_البنود,0)),"⚠ بند غير موجود"))</f>
        <v/>
      </c>
      <c r="D59" s="22"/>
      <c r="E59" s="31"/>
      <c r="F59" s="21"/>
      <c r="G59" s="32"/>
      <c r="H59" s="25" t="str">
        <f aca="false">IF($A59="","",IFERROR(INDEX(بند_سعر_الوحدة,MATCH($B59,قائمة_البنود,0)),0))</f>
        <v/>
      </c>
      <c r="I59" s="25" t="str">
        <f aca="false">IF($A59="","",H59*(1+نسبة_الضريبة))</f>
        <v/>
      </c>
      <c r="J59" s="33" t="str">
        <f aca="false">IF($A59="","",_xlfn.MINIFS('سجل المراجعات'!$E$5:$E$1504,'سجل المراجعات'!$A$5:$A$1504,$A59,'سجل المراجعات'!$D$5:$D$1504,"تسليم"))</f>
        <v/>
      </c>
      <c r="K59" s="33" t="str">
        <f aca="false">IF($A59="","",_xlfn.MAXIFS('سجل المراجعات'!$E$5:$E$1504,'سجل المراجعات'!$A$5:$A$1504,$A59,'سجل المراجعات'!$D$5:$D$1504,"تسليم"))</f>
        <v/>
      </c>
      <c r="L59" s="33" t="str">
        <f aca="false">IF($A59="","",_xlfn.MAXIFS('سجل المراجعات'!$E$5:$E$1504,'سجل المراجعات'!$A$5:$A$1504,$A59,'سجل المراجعات'!$D$5:$D$1504,"رد بملاحظات"))</f>
        <v/>
      </c>
      <c r="M59" s="33" t="str">
        <f aca="false">IF($A59="","",_xlfn.MAXIFS('سجل المراجعات'!$E$5:$E$1504,'سجل المراجعات'!$A$5:$A$1504,$A59,'سجل المراجعات'!$D$5:$D$1504,"قبول"))</f>
        <v/>
      </c>
      <c r="N59" s="26" t="str">
        <f aca="false">IF($A59="","",COUNTIFS('سجل المراجعات'!$A$5:$A$1504,$A59,'سجل المراجعات'!$D$5:$D$1504,"تسليم"))</f>
        <v/>
      </c>
      <c r="O59" s="34" t="str">
        <f aca="false">IF($A59="","",IF(M59&gt;0,"تم القبول",IF(F59="معلق","معلق",IF(AND(L59&gt;0,L59&gt;=K59),"مُعاد بملاحظات",IF(K59&gt;0,"في انتظار القبول",IF(AND(ISNUMBER(E59),E59&lt;تاريخ_الاحتساب),"متأخر",IF(F59="","لم يبدأ",F59)))))))</f>
        <v/>
      </c>
      <c r="P59" s="26" t="str">
        <f aca="false">IF($A59="","",SUMIFS('سجل المراجعات'!$L$5:$L$1504,'سجل المراجعات'!$A$5:$A$1504,$A59))</f>
        <v/>
      </c>
      <c r="Q59" s="26" t="str">
        <f aca="false">IF($A59="","",SUMIFS('سجل المراجعات'!$M$5:$M$1504,'سجل المراجعات'!$A$5:$A$1504,$A59))</f>
        <v/>
      </c>
      <c r="R59" s="26" t="str">
        <f aca="false">IF(OR($A59="",NOT(ISNUMBER(E59))),"",MAX(0,NETWORKDAYS.INTL(E59,IF(J59&gt;0,J59,تاريخ_الاحتساب),رمز_العطلة,أيام_الأجازات)-1))</f>
        <v/>
      </c>
      <c r="S59" s="22"/>
    </row>
    <row r="60" customFormat="false" ht="15" hidden="false" customHeight="false" outlineLevel="0" collapsed="false">
      <c r="A60" s="20"/>
      <c r="B60" s="20"/>
      <c r="C60" s="30" t="str">
        <f aca="false">IF($A60="","",IFERROR(INDEX(بند_الاسم,MATCH($B60,قائمة_البنود,0)),"⚠ بند غير موجود"))</f>
        <v/>
      </c>
      <c r="D60" s="22"/>
      <c r="E60" s="31"/>
      <c r="F60" s="21"/>
      <c r="G60" s="32"/>
      <c r="H60" s="25" t="str">
        <f aca="false">IF($A60="","",IFERROR(INDEX(بند_سعر_الوحدة,MATCH($B60,قائمة_البنود,0)),0))</f>
        <v/>
      </c>
      <c r="I60" s="25" t="str">
        <f aca="false">IF($A60="","",H60*(1+نسبة_الضريبة))</f>
        <v/>
      </c>
      <c r="J60" s="33" t="str">
        <f aca="false">IF($A60="","",_xlfn.MINIFS('سجل المراجعات'!$E$5:$E$1504,'سجل المراجعات'!$A$5:$A$1504,$A60,'سجل المراجعات'!$D$5:$D$1504,"تسليم"))</f>
        <v/>
      </c>
      <c r="K60" s="33" t="str">
        <f aca="false">IF($A60="","",_xlfn.MAXIFS('سجل المراجعات'!$E$5:$E$1504,'سجل المراجعات'!$A$5:$A$1504,$A60,'سجل المراجعات'!$D$5:$D$1504,"تسليم"))</f>
        <v/>
      </c>
      <c r="L60" s="33" t="str">
        <f aca="false">IF($A60="","",_xlfn.MAXIFS('سجل المراجعات'!$E$5:$E$1504,'سجل المراجعات'!$A$5:$A$1504,$A60,'سجل المراجعات'!$D$5:$D$1504,"رد بملاحظات"))</f>
        <v/>
      </c>
      <c r="M60" s="33" t="str">
        <f aca="false">IF($A60="","",_xlfn.MAXIFS('سجل المراجعات'!$E$5:$E$1504,'سجل المراجعات'!$A$5:$A$1504,$A60,'سجل المراجعات'!$D$5:$D$1504,"قبول"))</f>
        <v/>
      </c>
      <c r="N60" s="26" t="str">
        <f aca="false">IF($A60="","",COUNTIFS('سجل المراجعات'!$A$5:$A$1504,$A60,'سجل المراجعات'!$D$5:$D$1504,"تسليم"))</f>
        <v/>
      </c>
      <c r="O60" s="34" t="str">
        <f aca="false">IF($A60="","",IF(M60&gt;0,"تم القبول",IF(F60="معلق","معلق",IF(AND(L60&gt;0,L60&gt;=K60),"مُعاد بملاحظات",IF(K60&gt;0,"في انتظار القبول",IF(AND(ISNUMBER(E60),E60&lt;تاريخ_الاحتساب),"متأخر",IF(F60="","لم يبدأ",F60)))))))</f>
        <v/>
      </c>
      <c r="P60" s="26" t="str">
        <f aca="false">IF($A60="","",SUMIFS('سجل المراجعات'!$L$5:$L$1504,'سجل المراجعات'!$A$5:$A$1504,$A60))</f>
        <v/>
      </c>
      <c r="Q60" s="26" t="str">
        <f aca="false">IF($A60="","",SUMIFS('سجل المراجعات'!$M$5:$M$1504,'سجل المراجعات'!$A$5:$A$1504,$A60))</f>
        <v/>
      </c>
      <c r="R60" s="26" t="str">
        <f aca="false">IF(OR($A60="",NOT(ISNUMBER(E60))),"",MAX(0,NETWORKDAYS.INTL(E60,IF(J60&gt;0,J60,تاريخ_الاحتساب),رمز_العطلة,أيام_الأجازات)-1))</f>
        <v/>
      </c>
      <c r="S60" s="22"/>
    </row>
    <row r="61" customFormat="false" ht="15" hidden="false" customHeight="false" outlineLevel="0" collapsed="false">
      <c r="A61" s="20"/>
      <c r="B61" s="20"/>
      <c r="C61" s="30" t="str">
        <f aca="false">IF($A61="","",IFERROR(INDEX(بند_الاسم,MATCH($B61,قائمة_البنود,0)),"⚠ بند غير موجود"))</f>
        <v/>
      </c>
      <c r="D61" s="22"/>
      <c r="E61" s="31"/>
      <c r="F61" s="21"/>
      <c r="G61" s="32"/>
      <c r="H61" s="25" t="str">
        <f aca="false">IF($A61="","",IFERROR(INDEX(بند_سعر_الوحدة,MATCH($B61,قائمة_البنود,0)),0))</f>
        <v/>
      </c>
      <c r="I61" s="25" t="str">
        <f aca="false">IF($A61="","",H61*(1+نسبة_الضريبة))</f>
        <v/>
      </c>
      <c r="J61" s="33" t="str">
        <f aca="false">IF($A61="","",_xlfn.MINIFS('سجل المراجعات'!$E$5:$E$1504,'سجل المراجعات'!$A$5:$A$1504,$A61,'سجل المراجعات'!$D$5:$D$1504,"تسليم"))</f>
        <v/>
      </c>
      <c r="K61" s="33" t="str">
        <f aca="false">IF($A61="","",_xlfn.MAXIFS('سجل المراجعات'!$E$5:$E$1504,'سجل المراجعات'!$A$5:$A$1504,$A61,'سجل المراجعات'!$D$5:$D$1504,"تسليم"))</f>
        <v/>
      </c>
      <c r="L61" s="33" t="str">
        <f aca="false">IF($A61="","",_xlfn.MAXIFS('سجل المراجعات'!$E$5:$E$1504,'سجل المراجعات'!$A$5:$A$1504,$A61,'سجل المراجعات'!$D$5:$D$1504,"رد بملاحظات"))</f>
        <v/>
      </c>
      <c r="M61" s="33" t="str">
        <f aca="false">IF($A61="","",_xlfn.MAXIFS('سجل المراجعات'!$E$5:$E$1504,'سجل المراجعات'!$A$5:$A$1504,$A61,'سجل المراجعات'!$D$5:$D$1504,"قبول"))</f>
        <v/>
      </c>
      <c r="N61" s="26" t="str">
        <f aca="false">IF($A61="","",COUNTIFS('سجل المراجعات'!$A$5:$A$1504,$A61,'سجل المراجعات'!$D$5:$D$1504,"تسليم"))</f>
        <v/>
      </c>
      <c r="O61" s="34" t="str">
        <f aca="false">IF($A61="","",IF(M61&gt;0,"تم القبول",IF(F61="معلق","معلق",IF(AND(L61&gt;0,L61&gt;=K61),"مُعاد بملاحظات",IF(K61&gt;0,"في انتظار القبول",IF(AND(ISNUMBER(E61),E61&lt;تاريخ_الاحتساب),"متأخر",IF(F61="","لم يبدأ",F61)))))))</f>
        <v/>
      </c>
      <c r="P61" s="26" t="str">
        <f aca="false">IF($A61="","",SUMIFS('سجل المراجعات'!$L$5:$L$1504,'سجل المراجعات'!$A$5:$A$1504,$A61))</f>
        <v/>
      </c>
      <c r="Q61" s="26" t="str">
        <f aca="false">IF($A61="","",SUMIFS('سجل المراجعات'!$M$5:$M$1504,'سجل المراجعات'!$A$5:$A$1504,$A61))</f>
        <v/>
      </c>
      <c r="R61" s="26" t="str">
        <f aca="false">IF(OR($A61="",NOT(ISNUMBER(E61))),"",MAX(0,NETWORKDAYS.INTL(E61,IF(J61&gt;0,J61,تاريخ_الاحتساب),رمز_العطلة,أيام_الأجازات)-1))</f>
        <v/>
      </c>
      <c r="S61" s="22"/>
    </row>
    <row r="62" customFormat="false" ht="15" hidden="false" customHeight="false" outlineLevel="0" collapsed="false">
      <c r="A62" s="20"/>
      <c r="B62" s="20"/>
      <c r="C62" s="30" t="str">
        <f aca="false">IF($A62="","",IFERROR(INDEX(بند_الاسم,MATCH($B62,قائمة_البنود,0)),"⚠ بند غير موجود"))</f>
        <v/>
      </c>
      <c r="D62" s="22"/>
      <c r="E62" s="31"/>
      <c r="F62" s="21"/>
      <c r="G62" s="32"/>
      <c r="H62" s="25" t="str">
        <f aca="false">IF($A62="","",IFERROR(INDEX(بند_سعر_الوحدة,MATCH($B62,قائمة_البنود,0)),0))</f>
        <v/>
      </c>
      <c r="I62" s="25" t="str">
        <f aca="false">IF($A62="","",H62*(1+نسبة_الضريبة))</f>
        <v/>
      </c>
      <c r="J62" s="33" t="str">
        <f aca="false">IF($A62="","",_xlfn.MINIFS('سجل المراجعات'!$E$5:$E$1504,'سجل المراجعات'!$A$5:$A$1504,$A62,'سجل المراجعات'!$D$5:$D$1504,"تسليم"))</f>
        <v/>
      </c>
      <c r="K62" s="33" t="str">
        <f aca="false">IF($A62="","",_xlfn.MAXIFS('سجل المراجعات'!$E$5:$E$1504,'سجل المراجعات'!$A$5:$A$1504,$A62,'سجل المراجعات'!$D$5:$D$1504,"تسليم"))</f>
        <v/>
      </c>
      <c r="L62" s="33" t="str">
        <f aca="false">IF($A62="","",_xlfn.MAXIFS('سجل المراجعات'!$E$5:$E$1504,'سجل المراجعات'!$A$5:$A$1504,$A62,'سجل المراجعات'!$D$5:$D$1504,"رد بملاحظات"))</f>
        <v/>
      </c>
      <c r="M62" s="33" t="str">
        <f aca="false">IF($A62="","",_xlfn.MAXIFS('سجل المراجعات'!$E$5:$E$1504,'سجل المراجعات'!$A$5:$A$1504,$A62,'سجل المراجعات'!$D$5:$D$1504,"قبول"))</f>
        <v/>
      </c>
      <c r="N62" s="26" t="str">
        <f aca="false">IF($A62="","",COUNTIFS('سجل المراجعات'!$A$5:$A$1504,$A62,'سجل المراجعات'!$D$5:$D$1504,"تسليم"))</f>
        <v/>
      </c>
      <c r="O62" s="34" t="str">
        <f aca="false">IF($A62="","",IF(M62&gt;0,"تم القبول",IF(F62="معلق","معلق",IF(AND(L62&gt;0,L62&gt;=K62),"مُعاد بملاحظات",IF(K62&gt;0,"في انتظار القبول",IF(AND(ISNUMBER(E62),E62&lt;تاريخ_الاحتساب),"متأخر",IF(F62="","لم يبدأ",F62)))))))</f>
        <v/>
      </c>
      <c r="P62" s="26" t="str">
        <f aca="false">IF($A62="","",SUMIFS('سجل المراجعات'!$L$5:$L$1504,'سجل المراجعات'!$A$5:$A$1504,$A62))</f>
        <v/>
      </c>
      <c r="Q62" s="26" t="str">
        <f aca="false">IF($A62="","",SUMIFS('سجل المراجعات'!$M$5:$M$1504,'سجل المراجعات'!$A$5:$A$1504,$A62))</f>
        <v/>
      </c>
      <c r="R62" s="26" t="str">
        <f aca="false">IF(OR($A62="",NOT(ISNUMBER(E62))),"",MAX(0,NETWORKDAYS.INTL(E62,IF(J62&gt;0,J62,تاريخ_الاحتساب),رمز_العطلة,أيام_الأجازات)-1))</f>
        <v/>
      </c>
      <c r="S62" s="22"/>
    </row>
    <row r="63" customFormat="false" ht="15" hidden="false" customHeight="false" outlineLevel="0" collapsed="false">
      <c r="A63" s="20"/>
      <c r="B63" s="20"/>
      <c r="C63" s="30" t="str">
        <f aca="false">IF($A63="","",IFERROR(INDEX(بند_الاسم,MATCH($B63,قائمة_البنود,0)),"⚠ بند غير موجود"))</f>
        <v/>
      </c>
      <c r="D63" s="22"/>
      <c r="E63" s="31"/>
      <c r="F63" s="21"/>
      <c r="G63" s="32"/>
      <c r="H63" s="25" t="str">
        <f aca="false">IF($A63="","",IFERROR(INDEX(بند_سعر_الوحدة,MATCH($B63,قائمة_البنود,0)),0))</f>
        <v/>
      </c>
      <c r="I63" s="25" t="str">
        <f aca="false">IF($A63="","",H63*(1+نسبة_الضريبة))</f>
        <v/>
      </c>
      <c r="J63" s="33" t="str">
        <f aca="false">IF($A63="","",_xlfn.MINIFS('سجل المراجعات'!$E$5:$E$1504,'سجل المراجعات'!$A$5:$A$1504,$A63,'سجل المراجعات'!$D$5:$D$1504,"تسليم"))</f>
        <v/>
      </c>
      <c r="K63" s="33" t="str">
        <f aca="false">IF($A63="","",_xlfn.MAXIFS('سجل المراجعات'!$E$5:$E$1504,'سجل المراجعات'!$A$5:$A$1504,$A63,'سجل المراجعات'!$D$5:$D$1504,"تسليم"))</f>
        <v/>
      </c>
      <c r="L63" s="33" t="str">
        <f aca="false">IF($A63="","",_xlfn.MAXIFS('سجل المراجعات'!$E$5:$E$1504,'سجل المراجعات'!$A$5:$A$1504,$A63,'سجل المراجعات'!$D$5:$D$1504,"رد بملاحظات"))</f>
        <v/>
      </c>
      <c r="M63" s="33" t="str">
        <f aca="false">IF($A63="","",_xlfn.MAXIFS('سجل المراجعات'!$E$5:$E$1504,'سجل المراجعات'!$A$5:$A$1504,$A63,'سجل المراجعات'!$D$5:$D$1504,"قبول"))</f>
        <v/>
      </c>
      <c r="N63" s="26" t="str">
        <f aca="false">IF($A63="","",COUNTIFS('سجل المراجعات'!$A$5:$A$1504,$A63,'سجل المراجعات'!$D$5:$D$1504,"تسليم"))</f>
        <v/>
      </c>
      <c r="O63" s="34" t="str">
        <f aca="false">IF($A63="","",IF(M63&gt;0,"تم القبول",IF(F63="معلق","معلق",IF(AND(L63&gt;0,L63&gt;=K63),"مُعاد بملاحظات",IF(K63&gt;0,"في انتظار القبول",IF(AND(ISNUMBER(E63),E63&lt;تاريخ_الاحتساب),"متأخر",IF(F63="","لم يبدأ",F63)))))))</f>
        <v/>
      </c>
      <c r="P63" s="26" t="str">
        <f aca="false">IF($A63="","",SUMIFS('سجل المراجعات'!$L$5:$L$1504,'سجل المراجعات'!$A$5:$A$1504,$A63))</f>
        <v/>
      </c>
      <c r="Q63" s="26" t="str">
        <f aca="false">IF($A63="","",SUMIFS('سجل المراجعات'!$M$5:$M$1504,'سجل المراجعات'!$A$5:$A$1504,$A63))</f>
        <v/>
      </c>
      <c r="R63" s="26" t="str">
        <f aca="false">IF(OR($A63="",NOT(ISNUMBER(E63))),"",MAX(0,NETWORKDAYS.INTL(E63,IF(J63&gt;0,J63,تاريخ_الاحتساب),رمز_العطلة,أيام_الأجازات)-1))</f>
        <v/>
      </c>
      <c r="S63" s="22"/>
    </row>
    <row r="64" customFormat="false" ht="15" hidden="false" customHeight="false" outlineLevel="0" collapsed="false">
      <c r="A64" s="20"/>
      <c r="B64" s="20"/>
      <c r="C64" s="30" t="str">
        <f aca="false">IF($A64="","",IFERROR(INDEX(بند_الاسم,MATCH($B64,قائمة_البنود,0)),"⚠ بند غير موجود"))</f>
        <v/>
      </c>
      <c r="D64" s="22"/>
      <c r="E64" s="31"/>
      <c r="F64" s="21"/>
      <c r="G64" s="32"/>
      <c r="H64" s="25" t="str">
        <f aca="false">IF($A64="","",IFERROR(INDEX(بند_سعر_الوحدة,MATCH($B64,قائمة_البنود,0)),0))</f>
        <v/>
      </c>
      <c r="I64" s="25" t="str">
        <f aca="false">IF($A64="","",H64*(1+نسبة_الضريبة))</f>
        <v/>
      </c>
      <c r="J64" s="33" t="str">
        <f aca="false">IF($A64="","",_xlfn.MINIFS('سجل المراجعات'!$E$5:$E$1504,'سجل المراجعات'!$A$5:$A$1504,$A64,'سجل المراجعات'!$D$5:$D$1504,"تسليم"))</f>
        <v/>
      </c>
      <c r="K64" s="33" t="str">
        <f aca="false">IF($A64="","",_xlfn.MAXIFS('سجل المراجعات'!$E$5:$E$1504,'سجل المراجعات'!$A$5:$A$1504,$A64,'سجل المراجعات'!$D$5:$D$1504,"تسليم"))</f>
        <v/>
      </c>
      <c r="L64" s="33" t="str">
        <f aca="false">IF($A64="","",_xlfn.MAXIFS('سجل المراجعات'!$E$5:$E$1504,'سجل المراجعات'!$A$5:$A$1504,$A64,'سجل المراجعات'!$D$5:$D$1504,"رد بملاحظات"))</f>
        <v/>
      </c>
      <c r="M64" s="33" t="str">
        <f aca="false">IF($A64="","",_xlfn.MAXIFS('سجل المراجعات'!$E$5:$E$1504,'سجل المراجعات'!$A$5:$A$1504,$A64,'سجل المراجعات'!$D$5:$D$1504,"قبول"))</f>
        <v/>
      </c>
      <c r="N64" s="26" t="str">
        <f aca="false">IF($A64="","",COUNTIFS('سجل المراجعات'!$A$5:$A$1504,$A64,'سجل المراجعات'!$D$5:$D$1504,"تسليم"))</f>
        <v/>
      </c>
      <c r="O64" s="34" t="str">
        <f aca="false">IF($A64="","",IF(M64&gt;0,"تم القبول",IF(F64="معلق","معلق",IF(AND(L64&gt;0,L64&gt;=K64),"مُعاد بملاحظات",IF(K64&gt;0,"في انتظار القبول",IF(AND(ISNUMBER(E64),E64&lt;تاريخ_الاحتساب),"متأخر",IF(F64="","لم يبدأ",F64)))))))</f>
        <v/>
      </c>
      <c r="P64" s="26" t="str">
        <f aca="false">IF($A64="","",SUMIFS('سجل المراجعات'!$L$5:$L$1504,'سجل المراجعات'!$A$5:$A$1504,$A64))</f>
        <v/>
      </c>
      <c r="Q64" s="26" t="str">
        <f aca="false">IF($A64="","",SUMIFS('سجل المراجعات'!$M$5:$M$1504,'سجل المراجعات'!$A$5:$A$1504,$A64))</f>
        <v/>
      </c>
      <c r="R64" s="26" t="str">
        <f aca="false">IF(OR($A64="",NOT(ISNUMBER(E64))),"",MAX(0,NETWORKDAYS.INTL(E64,IF(J64&gt;0,J64,تاريخ_الاحتساب),رمز_العطلة,أيام_الأجازات)-1))</f>
        <v/>
      </c>
      <c r="S64" s="22"/>
    </row>
    <row r="65" customFormat="false" ht="15" hidden="false" customHeight="false" outlineLevel="0" collapsed="false">
      <c r="A65" s="20"/>
      <c r="B65" s="20"/>
      <c r="C65" s="30" t="str">
        <f aca="false">IF($A65="","",IFERROR(INDEX(بند_الاسم,MATCH($B65,قائمة_البنود,0)),"⚠ بند غير موجود"))</f>
        <v/>
      </c>
      <c r="D65" s="22"/>
      <c r="E65" s="31"/>
      <c r="F65" s="21"/>
      <c r="G65" s="32"/>
      <c r="H65" s="25" t="str">
        <f aca="false">IF($A65="","",IFERROR(INDEX(بند_سعر_الوحدة,MATCH($B65,قائمة_البنود,0)),0))</f>
        <v/>
      </c>
      <c r="I65" s="25" t="str">
        <f aca="false">IF($A65="","",H65*(1+نسبة_الضريبة))</f>
        <v/>
      </c>
      <c r="J65" s="33" t="str">
        <f aca="false">IF($A65="","",_xlfn.MINIFS('سجل المراجعات'!$E$5:$E$1504,'سجل المراجعات'!$A$5:$A$1504,$A65,'سجل المراجعات'!$D$5:$D$1504,"تسليم"))</f>
        <v/>
      </c>
      <c r="K65" s="33" t="str">
        <f aca="false">IF($A65="","",_xlfn.MAXIFS('سجل المراجعات'!$E$5:$E$1504,'سجل المراجعات'!$A$5:$A$1504,$A65,'سجل المراجعات'!$D$5:$D$1504,"تسليم"))</f>
        <v/>
      </c>
      <c r="L65" s="33" t="str">
        <f aca="false">IF($A65="","",_xlfn.MAXIFS('سجل المراجعات'!$E$5:$E$1504,'سجل المراجعات'!$A$5:$A$1504,$A65,'سجل المراجعات'!$D$5:$D$1504,"رد بملاحظات"))</f>
        <v/>
      </c>
      <c r="M65" s="33" t="str">
        <f aca="false">IF($A65="","",_xlfn.MAXIFS('سجل المراجعات'!$E$5:$E$1504,'سجل المراجعات'!$A$5:$A$1504,$A65,'سجل المراجعات'!$D$5:$D$1504,"قبول"))</f>
        <v/>
      </c>
      <c r="N65" s="26" t="str">
        <f aca="false">IF($A65="","",COUNTIFS('سجل المراجعات'!$A$5:$A$1504,$A65,'سجل المراجعات'!$D$5:$D$1504,"تسليم"))</f>
        <v/>
      </c>
      <c r="O65" s="34" t="str">
        <f aca="false">IF($A65="","",IF(M65&gt;0,"تم القبول",IF(F65="معلق","معلق",IF(AND(L65&gt;0,L65&gt;=K65),"مُعاد بملاحظات",IF(K65&gt;0,"في انتظار القبول",IF(AND(ISNUMBER(E65),E65&lt;تاريخ_الاحتساب),"متأخر",IF(F65="","لم يبدأ",F65)))))))</f>
        <v/>
      </c>
      <c r="P65" s="26" t="str">
        <f aca="false">IF($A65="","",SUMIFS('سجل المراجعات'!$L$5:$L$1504,'سجل المراجعات'!$A$5:$A$1504,$A65))</f>
        <v/>
      </c>
      <c r="Q65" s="26" t="str">
        <f aca="false">IF($A65="","",SUMIFS('سجل المراجعات'!$M$5:$M$1504,'سجل المراجعات'!$A$5:$A$1504,$A65))</f>
        <v/>
      </c>
      <c r="R65" s="26" t="str">
        <f aca="false">IF(OR($A65="",NOT(ISNUMBER(E65))),"",MAX(0,NETWORKDAYS.INTL(E65,IF(J65&gt;0,J65,تاريخ_الاحتساب),رمز_العطلة,أيام_الأجازات)-1))</f>
        <v/>
      </c>
      <c r="S65" s="22"/>
    </row>
    <row r="66" customFormat="false" ht="15" hidden="false" customHeight="false" outlineLevel="0" collapsed="false">
      <c r="A66" s="20"/>
      <c r="B66" s="20"/>
      <c r="C66" s="30" t="str">
        <f aca="false">IF($A66="","",IFERROR(INDEX(بند_الاسم,MATCH($B66,قائمة_البنود,0)),"⚠ بند غير موجود"))</f>
        <v/>
      </c>
      <c r="D66" s="22"/>
      <c r="E66" s="31"/>
      <c r="F66" s="21"/>
      <c r="G66" s="32"/>
      <c r="H66" s="25" t="str">
        <f aca="false">IF($A66="","",IFERROR(INDEX(بند_سعر_الوحدة,MATCH($B66,قائمة_البنود,0)),0))</f>
        <v/>
      </c>
      <c r="I66" s="25" t="str">
        <f aca="false">IF($A66="","",H66*(1+نسبة_الضريبة))</f>
        <v/>
      </c>
      <c r="J66" s="33" t="str">
        <f aca="false">IF($A66="","",_xlfn.MINIFS('سجل المراجعات'!$E$5:$E$1504,'سجل المراجعات'!$A$5:$A$1504,$A66,'سجل المراجعات'!$D$5:$D$1504,"تسليم"))</f>
        <v/>
      </c>
      <c r="K66" s="33" t="str">
        <f aca="false">IF($A66="","",_xlfn.MAXIFS('سجل المراجعات'!$E$5:$E$1504,'سجل المراجعات'!$A$5:$A$1504,$A66,'سجل المراجعات'!$D$5:$D$1504,"تسليم"))</f>
        <v/>
      </c>
      <c r="L66" s="33" t="str">
        <f aca="false">IF($A66="","",_xlfn.MAXIFS('سجل المراجعات'!$E$5:$E$1504,'سجل المراجعات'!$A$5:$A$1504,$A66,'سجل المراجعات'!$D$5:$D$1504,"رد بملاحظات"))</f>
        <v/>
      </c>
      <c r="M66" s="33" t="str">
        <f aca="false">IF($A66="","",_xlfn.MAXIFS('سجل المراجعات'!$E$5:$E$1504,'سجل المراجعات'!$A$5:$A$1504,$A66,'سجل المراجعات'!$D$5:$D$1504,"قبول"))</f>
        <v/>
      </c>
      <c r="N66" s="26" t="str">
        <f aca="false">IF($A66="","",COUNTIFS('سجل المراجعات'!$A$5:$A$1504,$A66,'سجل المراجعات'!$D$5:$D$1504,"تسليم"))</f>
        <v/>
      </c>
      <c r="O66" s="34" t="str">
        <f aca="false">IF($A66="","",IF(M66&gt;0,"تم القبول",IF(F66="معلق","معلق",IF(AND(L66&gt;0,L66&gt;=K66),"مُعاد بملاحظات",IF(K66&gt;0,"في انتظار القبول",IF(AND(ISNUMBER(E66),E66&lt;تاريخ_الاحتساب),"متأخر",IF(F66="","لم يبدأ",F66)))))))</f>
        <v/>
      </c>
      <c r="P66" s="26" t="str">
        <f aca="false">IF($A66="","",SUMIFS('سجل المراجعات'!$L$5:$L$1504,'سجل المراجعات'!$A$5:$A$1504,$A66))</f>
        <v/>
      </c>
      <c r="Q66" s="26" t="str">
        <f aca="false">IF($A66="","",SUMIFS('سجل المراجعات'!$M$5:$M$1504,'سجل المراجعات'!$A$5:$A$1504,$A66))</f>
        <v/>
      </c>
      <c r="R66" s="26" t="str">
        <f aca="false">IF(OR($A66="",NOT(ISNUMBER(E66))),"",MAX(0,NETWORKDAYS.INTL(E66,IF(J66&gt;0,J66,تاريخ_الاحتساب),رمز_العطلة,أيام_الأجازات)-1))</f>
        <v/>
      </c>
      <c r="S66" s="22"/>
    </row>
    <row r="67" customFormat="false" ht="15" hidden="false" customHeight="false" outlineLevel="0" collapsed="false">
      <c r="A67" s="20"/>
      <c r="B67" s="20"/>
      <c r="C67" s="30" t="str">
        <f aca="false">IF($A67="","",IFERROR(INDEX(بند_الاسم,MATCH($B67,قائمة_البنود,0)),"⚠ بند غير موجود"))</f>
        <v/>
      </c>
      <c r="D67" s="22"/>
      <c r="E67" s="31"/>
      <c r="F67" s="21"/>
      <c r="G67" s="32"/>
      <c r="H67" s="25" t="str">
        <f aca="false">IF($A67="","",IFERROR(INDEX(بند_سعر_الوحدة,MATCH($B67,قائمة_البنود,0)),0))</f>
        <v/>
      </c>
      <c r="I67" s="25" t="str">
        <f aca="false">IF($A67="","",H67*(1+نسبة_الضريبة))</f>
        <v/>
      </c>
      <c r="J67" s="33" t="str">
        <f aca="false">IF($A67="","",_xlfn.MINIFS('سجل المراجعات'!$E$5:$E$1504,'سجل المراجعات'!$A$5:$A$1504,$A67,'سجل المراجعات'!$D$5:$D$1504,"تسليم"))</f>
        <v/>
      </c>
      <c r="K67" s="33" t="str">
        <f aca="false">IF($A67="","",_xlfn.MAXIFS('سجل المراجعات'!$E$5:$E$1504,'سجل المراجعات'!$A$5:$A$1504,$A67,'سجل المراجعات'!$D$5:$D$1504,"تسليم"))</f>
        <v/>
      </c>
      <c r="L67" s="33" t="str">
        <f aca="false">IF($A67="","",_xlfn.MAXIFS('سجل المراجعات'!$E$5:$E$1504,'سجل المراجعات'!$A$5:$A$1504,$A67,'سجل المراجعات'!$D$5:$D$1504,"رد بملاحظات"))</f>
        <v/>
      </c>
      <c r="M67" s="33" t="str">
        <f aca="false">IF($A67="","",_xlfn.MAXIFS('سجل المراجعات'!$E$5:$E$1504,'سجل المراجعات'!$A$5:$A$1504,$A67,'سجل المراجعات'!$D$5:$D$1504,"قبول"))</f>
        <v/>
      </c>
      <c r="N67" s="26" t="str">
        <f aca="false">IF($A67="","",COUNTIFS('سجل المراجعات'!$A$5:$A$1504,$A67,'سجل المراجعات'!$D$5:$D$1504,"تسليم"))</f>
        <v/>
      </c>
      <c r="O67" s="34" t="str">
        <f aca="false">IF($A67="","",IF(M67&gt;0,"تم القبول",IF(F67="معلق","معلق",IF(AND(L67&gt;0,L67&gt;=K67),"مُعاد بملاحظات",IF(K67&gt;0,"في انتظار القبول",IF(AND(ISNUMBER(E67),E67&lt;تاريخ_الاحتساب),"متأخر",IF(F67="","لم يبدأ",F67)))))))</f>
        <v/>
      </c>
      <c r="P67" s="26" t="str">
        <f aca="false">IF($A67="","",SUMIFS('سجل المراجعات'!$L$5:$L$1504,'سجل المراجعات'!$A$5:$A$1504,$A67))</f>
        <v/>
      </c>
      <c r="Q67" s="26" t="str">
        <f aca="false">IF($A67="","",SUMIFS('سجل المراجعات'!$M$5:$M$1504,'سجل المراجعات'!$A$5:$A$1504,$A67))</f>
        <v/>
      </c>
      <c r="R67" s="26" t="str">
        <f aca="false">IF(OR($A67="",NOT(ISNUMBER(E67))),"",MAX(0,NETWORKDAYS.INTL(E67,IF(J67&gt;0,J67,تاريخ_الاحتساب),رمز_العطلة,أيام_الأجازات)-1))</f>
        <v/>
      </c>
      <c r="S67" s="22"/>
    </row>
    <row r="68" customFormat="false" ht="15" hidden="false" customHeight="false" outlineLevel="0" collapsed="false">
      <c r="A68" s="20"/>
      <c r="B68" s="20"/>
      <c r="C68" s="30" t="str">
        <f aca="false">IF($A68="","",IFERROR(INDEX(بند_الاسم,MATCH($B68,قائمة_البنود,0)),"⚠ بند غير موجود"))</f>
        <v/>
      </c>
      <c r="D68" s="22"/>
      <c r="E68" s="31"/>
      <c r="F68" s="21"/>
      <c r="G68" s="32"/>
      <c r="H68" s="25" t="str">
        <f aca="false">IF($A68="","",IFERROR(INDEX(بند_سعر_الوحدة,MATCH($B68,قائمة_البنود,0)),0))</f>
        <v/>
      </c>
      <c r="I68" s="25" t="str">
        <f aca="false">IF($A68="","",H68*(1+نسبة_الضريبة))</f>
        <v/>
      </c>
      <c r="J68" s="33" t="str">
        <f aca="false">IF($A68="","",_xlfn.MINIFS('سجل المراجعات'!$E$5:$E$1504,'سجل المراجعات'!$A$5:$A$1504,$A68,'سجل المراجعات'!$D$5:$D$1504,"تسليم"))</f>
        <v/>
      </c>
      <c r="K68" s="33" t="str">
        <f aca="false">IF($A68="","",_xlfn.MAXIFS('سجل المراجعات'!$E$5:$E$1504,'سجل المراجعات'!$A$5:$A$1504,$A68,'سجل المراجعات'!$D$5:$D$1504,"تسليم"))</f>
        <v/>
      </c>
      <c r="L68" s="33" t="str">
        <f aca="false">IF($A68="","",_xlfn.MAXIFS('سجل المراجعات'!$E$5:$E$1504,'سجل المراجعات'!$A$5:$A$1504,$A68,'سجل المراجعات'!$D$5:$D$1504,"رد بملاحظات"))</f>
        <v/>
      </c>
      <c r="M68" s="33" t="str">
        <f aca="false">IF($A68="","",_xlfn.MAXIFS('سجل المراجعات'!$E$5:$E$1504,'سجل المراجعات'!$A$5:$A$1504,$A68,'سجل المراجعات'!$D$5:$D$1504,"قبول"))</f>
        <v/>
      </c>
      <c r="N68" s="26" t="str">
        <f aca="false">IF($A68="","",COUNTIFS('سجل المراجعات'!$A$5:$A$1504,$A68,'سجل المراجعات'!$D$5:$D$1504,"تسليم"))</f>
        <v/>
      </c>
      <c r="O68" s="34" t="str">
        <f aca="false">IF($A68="","",IF(M68&gt;0,"تم القبول",IF(F68="معلق","معلق",IF(AND(L68&gt;0,L68&gt;=K68),"مُعاد بملاحظات",IF(K68&gt;0,"في انتظار القبول",IF(AND(ISNUMBER(E68),E68&lt;تاريخ_الاحتساب),"متأخر",IF(F68="","لم يبدأ",F68)))))))</f>
        <v/>
      </c>
      <c r="P68" s="26" t="str">
        <f aca="false">IF($A68="","",SUMIFS('سجل المراجعات'!$L$5:$L$1504,'سجل المراجعات'!$A$5:$A$1504,$A68))</f>
        <v/>
      </c>
      <c r="Q68" s="26" t="str">
        <f aca="false">IF($A68="","",SUMIFS('سجل المراجعات'!$M$5:$M$1504,'سجل المراجعات'!$A$5:$A$1504,$A68))</f>
        <v/>
      </c>
      <c r="R68" s="26" t="str">
        <f aca="false">IF(OR($A68="",NOT(ISNUMBER(E68))),"",MAX(0,NETWORKDAYS.INTL(E68,IF(J68&gt;0,J68,تاريخ_الاحتساب),رمز_العطلة,أيام_الأجازات)-1))</f>
        <v/>
      </c>
      <c r="S68" s="22"/>
    </row>
    <row r="69" customFormat="false" ht="15" hidden="false" customHeight="false" outlineLevel="0" collapsed="false">
      <c r="A69" s="20"/>
      <c r="B69" s="20"/>
      <c r="C69" s="30" t="str">
        <f aca="false">IF($A69="","",IFERROR(INDEX(بند_الاسم,MATCH($B69,قائمة_البنود,0)),"⚠ بند غير موجود"))</f>
        <v/>
      </c>
      <c r="D69" s="22"/>
      <c r="E69" s="31"/>
      <c r="F69" s="21"/>
      <c r="G69" s="32"/>
      <c r="H69" s="25" t="str">
        <f aca="false">IF($A69="","",IFERROR(INDEX(بند_سعر_الوحدة,MATCH($B69,قائمة_البنود,0)),0))</f>
        <v/>
      </c>
      <c r="I69" s="25" t="str">
        <f aca="false">IF($A69="","",H69*(1+نسبة_الضريبة))</f>
        <v/>
      </c>
      <c r="J69" s="33" t="str">
        <f aca="false">IF($A69="","",_xlfn.MINIFS('سجل المراجعات'!$E$5:$E$1504,'سجل المراجعات'!$A$5:$A$1504,$A69,'سجل المراجعات'!$D$5:$D$1504,"تسليم"))</f>
        <v/>
      </c>
      <c r="K69" s="33" t="str">
        <f aca="false">IF($A69="","",_xlfn.MAXIFS('سجل المراجعات'!$E$5:$E$1504,'سجل المراجعات'!$A$5:$A$1504,$A69,'سجل المراجعات'!$D$5:$D$1504,"تسليم"))</f>
        <v/>
      </c>
      <c r="L69" s="33" t="str">
        <f aca="false">IF($A69="","",_xlfn.MAXIFS('سجل المراجعات'!$E$5:$E$1504,'سجل المراجعات'!$A$5:$A$1504,$A69,'سجل المراجعات'!$D$5:$D$1504,"رد بملاحظات"))</f>
        <v/>
      </c>
      <c r="M69" s="33" t="str">
        <f aca="false">IF($A69="","",_xlfn.MAXIFS('سجل المراجعات'!$E$5:$E$1504,'سجل المراجعات'!$A$5:$A$1504,$A69,'سجل المراجعات'!$D$5:$D$1504,"قبول"))</f>
        <v/>
      </c>
      <c r="N69" s="26" t="str">
        <f aca="false">IF($A69="","",COUNTIFS('سجل المراجعات'!$A$5:$A$1504,$A69,'سجل المراجعات'!$D$5:$D$1504,"تسليم"))</f>
        <v/>
      </c>
      <c r="O69" s="34" t="str">
        <f aca="false">IF($A69="","",IF(M69&gt;0,"تم القبول",IF(F69="معلق","معلق",IF(AND(L69&gt;0,L69&gt;=K69),"مُعاد بملاحظات",IF(K69&gt;0,"في انتظار القبول",IF(AND(ISNUMBER(E69),E69&lt;تاريخ_الاحتساب),"متأخر",IF(F69="","لم يبدأ",F69)))))))</f>
        <v/>
      </c>
      <c r="P69" s="26" t="str">
        <f aca="false">IF($A69="","",SUMIFS('سجل المراجعات'!$L$5:$L$1504,'سجل المراجعات'!$A$5:$A$1504,$A69))</f>
        <v/>
      </c>
      <c r="Q69" s="26" t="str">
        <f aca="false">IF($A69="","",SUMIFS('سجل المراجعات'!$M$5:$M$1504,'سجل المراجعات'!$A$5:$A$1504,$A69))</f>
        <v/>
      </c>
      <c r="R69" s="26" t="str">
        <f aca="false">IF(OR($A69="",NOT(ISNUMBER(E69))),"",MAX(0,NETWORKDAYS.INTL(E69,IF(J69&gt;0,J69,تاريخ_الاحتساب),رمز_العطلة,أيام_الأجازات)-1))</f>
        <v/>
      </c>
      <c r="S69" s="22"/>
    </row>
    <row r="70" customFormat="false" ht="15" hidden="false" customHeight="false" outlineLevel="0" collapsed="false">
      <c r="A70" s="20"/>
      <c r="B70" s="20"/>
      <c r="C70" s="30" t="str">
        <f aca="false">IF($A70="","",IFERROR(INDEX(بند_الاسم,MATCH($B70,قائمة_البنود,0)),"⚠ بند غير موجود"))</f>
        <v/>
      </c>
      <c r="D70" s="22"/>
      <c r="E70" s="31"/>
      <c r="F70" s="21"/>
      <c r="G70" s="32"/>
      <c r="H70" s="25" t="str">
        <f aca="false">IF($A70="","",IFERROR(INDEX(بند_سعر_الوحدة,MATCH($B70,قائمة_البنود,0)),0))</f>
        <v/>
      </c>
      <c r="I70" s="25" t="str">
        <f aca="false">IF($A70="","",H70*(1+نسبة_الضريبة))</f>
        <v/>
      </c>
      <c r="J70" s="33" t="str">
        <f aca="false">IF($A70="","",_xlfn.MINIFS('سجل المراجعات'!$E$5:$E$1504,'سجل المراجعات'!$A$5:$A$1504,$A70,'سجل المراجعات'!$D$5:$D$1504,"تسليم"))</f>
        <v/>
      </c>
      <c r="K70" s="33" t="str">
        <f aca="false">IF($A70="","",_xlfn.MAXIFS('سجل المراجعات'!$E$5:$E$1504,'سجل المراجعات'!$A$5:$A$1504,$A70,'سجل المراجعات'!$D$5:$D$1504,"تسليم"))</f>
        <v/>
      </c>
      <c r="L70" s="33" t="str">
        <f aca="false">IF($A70="","",_xlfn.MAXIFS('سجل المراجعات'!$E$5:$E$1504,'سجل المراجعات'!$A$5:$A$1504,$A70,'سجل المراجعات'!$D$5:$D$1504,"رد بملاحظات"))</f>
        <v/>
      </c>
      <c r="M70" s="33" t="str">
        <f aca="false">IF($A70="","",_xlfn.MAXIFS('سجل المراجعات'!$E$5:$E$1504,'سجل المراجعات'!$A$5:$A$1504,$A70,'سجل المراجعات'!$D$5:$D$1504,"قبول"))</f>
        <v/>
      </c>
      <c r="N70" s="26" t="str">
        <f aca="false">IF($A70="","",COUNTIFS('سجل المراجعات'!$A$5:$A$1504,$A70,'سجل المراجعات'!$D$5:$D$1504,"تسليم"))</f>
        <v/>
      </c>
      <c r="O70" s="34" t="str">
        <f aca="false">IF($A70="","",IF(M70&gt;0,"تم القبول",IF(F70="معلق","معلق",IF(AND(L70&gt;0,L70&gt;=K70),"مُعاد بملاحظات",IF(K70&gt;0,"في انتظار القبول",IF(AND(ISNUMBER(E70),E70&lt;تاريخ_الاحتساب),"متأخر",IF(F70="","لم يبدأ",F70)))))))</f>
        <v/>
      </c>
      <c r="P70" s="26" t="str">
        <f aca="false">IF($A70="","",SUMIFS('سجل المراجعات'!$L$5:$L$1504,'سجل المراجعات'!$A$5:$A$1504,$A70))</f>
        <v/>
      </c>
      <c r="Q70" s="26" t="str">
        <f aca="false">IF($A70="","",SUMIFS('سجل المراجعات'!$M$5:$M$1504,'سجل المراجعات'!$A$5:$A$1504,$A70))</f>
        <v/>
      </c>
      <c r="R70" s="26" t="str">
        <f aca="false">IF(OR($A70="",NOT(ISNUMBER(E70))),"",MAX(0,NETWORKDAYS.INTL(E70,IF(J70&gt;0,J70,تاريخ_الاحتساب),رمز_العطلة,أيام_الأجازات)-1))</f>
        <v/>
      </c>
      <c r="S70" s="22"/>
    </row>
    <row r="71" customFormat="false" ht="15" hidden="false" customHeight="false" outlineLevel="0" collapsed="false">
      <c r="A71" s="20"/>
      <c r="B71" s="20"/>
      <c r="C71" s="30" t="str">
        <f aca="false">IF($A71="","",IFERROR(INDEX(بند_الاسم,MATCH($B71,قائمة_البنود,0)),"⚠ بند غير موجود"))</f>
        <v/>
      </c>
      <c r="D71" s="22"/>
      <c r="E71" s="31"/>
      <c r="F71" s="21"/>
      <c r="G71" s="32"/>
      <c r="H71" s="25" t="str">
        <f aca="false">IF($A71="","",IFERROR(INDEX(بند_سعر_الوحدة,MATCH($B71,قائمة_البنود,0)),0))</f>
        <v/>
      </c>
      <c r="I71" s="25" t="str">
        <f aca="false">IF($A71="","",H71*(1+نسبة_الضريبة))</f>
        <v/>
      </c>
      <c r="J71" s="33" t="str">
        <f aca="false">IF($A71="","",_xlfn.MINIFS('سجل المراجعات'!$E$5:$E$1504,'سجل المراجعات'!$A$5:$A$1504,$A71,'سجل المراجعات'!$D$5:$D$1504,"تسليم"))</f>
        <v/>
      </c>
      <c r="K71" s="33" t="str">
        <f aca="false">IF($A71="","",_xlfn.MAXIFS('سجل المراجعات'!$E$5:$E$1504,'سجل المراجعات'!$A$5:$A$1504,$A71,'سجل المراجعات'!$D$5:$D$1504,"تسليم"))</f>
        <v/>
      </c>
      <c r="L71" s="33" t="str">
        <f aca="false">IF($A71="","",_xlfn.MAXIFS('سجل المراجعات'!$E$5:$E$1504,'سجل المراجعات'!$A$5:$A$1504,$A71,'سجل المراجعات'!$D$5:$D$1504,"رد بملاحظات"))</f>
        <v/>
      </c>
      <c r="M71" s="33" t="str">
        <f aca="false">IF($A71="","",_xlfn.MAXIFS('سجل المراجعات'!$E$5:$E$1504,'سجل المراجعات'!$A$5:$A$1504,$A71,'سجل المراجعات'!$D$5:$D$1504,"قبول"))</f>
        <v/>
      </c>
      <c r="N71" s="26" t="str">
        <f aca="false">IF($A71="","",COUNTIFS('سجل المراجعات'!$A$5:$A$1504,$A71,'سجل المراجعات'!$D$5:$D$1504,"تسليم"))</f>
        <v/>
      </c>
      <c r="O71" s="34" t="str">
        <f aca="false">IF($A71="","",IF(M71&gt;0,"تم القبول",IF(F71="معلق","معلق",IF(AND(L71&gt;0,L71&gt;=K71),"مُعاد بملاحظات",IF(K71&gt;0,"في انتظار القبول",IF(AND(ISNUMBER(E71),E71&lt;تاريخ_الاحتساب),"متأخر",IF(F71="","لم يبدأ",F71)))))))</f>
        <v/>
      </c>
      <c r="P71" s="26" t="str">
        <f aca="false">IF($A71="","",SUMIFS('سجل المراجعات'!$L$5:$L$1504,'سجل المراجعات'!$A$5:$A$1504,$A71))</f>
        <v/>
      </c>
      <c r="Q71" s="26" t="str">
        <f aca="false">IF($A71="","",SUMIFS('سجل المراجعات'!$M$5:$M$1504,'سجل المراجعات'!$A$5:$A$1504,$A71))</f>
        <v/>
      </c>
      <c r="R71" s="26" t="str">
        <f aca="false">IF(OR($A71="",NOT(ISNUMBER(E71))),"",MAX(0,NETWORKDAYS.INTL(E71,IF(J71&gt;0,J71,تاريخ_الاحتساب),رمز_العطلة,أيام_الأجازات)-1))</f>
        <v/>
      </c>
      <c r="S71" s="22"/>
    </row>
    <row r="72" customFormat="false" ht="15" hidden="false" customHeight="false" outlineLevel="0" collapsed="false">
      <c r="A72" s="20"/>
      <c r="B72" s="20"/>
      <c r="C72" s="30" t="str">
        <f aca="false">IF($A72="","",IFERROR(INDEX(بند_الاسم,MATCH($B72,قائمة_البنود,0)),"⚠ بند غير موجود"))</f>
        <v/>
      </c>
      <c r="D72" s="22"/>
      <c r="E72" s="31"/>
      <c r="F72" s="21"/>
      <c r="G72" s="32"/>
      <c r="H72" s="25" t="str">
        <f aca="false">IF($A72="","",IFERROR(INDEX(بند_سعر_الوحدة,MATCH($B72,قائمة_البنود,0)),0))</f>
        <v/>
      </c>
      <c r="I72" s="25" t="str">
        <f aca="false">IF($A72="","",H72*(1+نسبة_الضريبة))</f>
        <v/>
      </c>
      <c r="J72" s="33" t="str">
        <f aca="false">IF($A72="","",_xlfn.MINIFS('سجل المراجعات'!$E$5:$E$1504,'سجل المراجعات'!$A$5:$A$1504,$A72,'سجل المراجعات'!$D$5:$D$1504,"تسليم"))</f>
        <v/>
      </c>
      <c r="K72" s="33" t="str">
        <f aca="false">IF($A72="","",_xlfn.MAXIFS('سجل المراجعات'!$E$5:$E$1504,'سجل المراجعات'!$A$5:$A$1504,$A72,'سجل المراجعات'!$D$5:$D$1504,"تسليم"))</f>
        <v/>
      </c>
      <c r="L72" s="33" t="str">
        <f aca="false">IF($A72="","",_xlfn.MAXIFS('سجل المراجعات'!$E$5:$E$1504,'سجل المراجعات'!$A$5:$A$1504,$A72,'سجل المراجعات'!$D$5:$D$1504,"رد بملاحظات"))</f>
        <v/>
      </c>
      <c r="M72" s="33" t="str">
        <f aca="false">IF($A72="","",_xlfn.MAXIFS('سجل المراجعات'!$E$5:$E$1504,'سجل المراجعات'!$A$5:$A$1504,$A72,'سجل المراجعات'!$D$5:$D$1504,"قبول"))</f>
        <v/>
      </c>
      <c r="N72" s="26" t="str">
        <f aca="false">IF($A72="","",COUNTIFS('سجل المراجعات'!$A$5:$A$1504,$A72,'سجل المراجعات'!$D$5:$D$1504,"تسليم"))</f>
        <v/>
      </c>
      <c r="O72" s="34" t="str">
        <f aca="false">IF($A72="","",IF(M72&gt;0,"تم القبول",IF(F72="معلق","معلق",IF(AND(L72&gt;0,L72&gt;=K72),"مُعاد بملاحظات",IF(K72&gt;0,"في انتظار القبول",IF(AND(ISNUMBER(E72),E72&lt;تاريخ_الاحتساب),"متأخر",IF(F72="","لم يبدأ",F72)))))))</f>
        <v/>
      </c>
      <c r="P72" s="26" t="str">
        <f aca="false">IF($A72="","",SUMIFS('سجل المراجعات'!$L$5:$L$1504,'سجل المراجعات'!$A$5:$A$1504,$A72))</f>
        <v/>
      </c>
      <c r="Q72" s="26" t="str">
        <f aca="false">IF($A72="","",SUMIFS('سجل المراجعات'!$M$5:$M$1504,'سجل المراجعات'!$A$5:$A$1504,$A72))</f>
        <v/>
      </c>
      <c r="R72" s="26" t="str">
        <f aca="false">IF(OR($A72="",NOT(ISNUMBER(E72))),"",MAX(0,NETWORKDAYS.INTL(E72,IF(J72&gt;0,J72,تاريخ_الاحتساب),رمز_العطلة,أيام_الأجازات)-1))</f>
        <v/>
      </c>
      <c r="S72" s="22"/>
    </row>
    <row r="73" customFormat="false" ht="15" hidden="false" customHeight="false" outlineLevel="0" collapsed="false">
      <c r="A73" s="20"/>
      <c r="B73" s="20"/>
      <c r="C73" s="30" t="str">
        <f aca="false">IF($A73="","",IFERROR(INDEX(بند_الاسم,MATCH($B73,قائمة_البنود,0)),"⚠ بند غير موجود"))</f>
        <v/>
      </c>
      <c r="D73" s="22"/>
      <c r="E73" s="31"/>
      <c r="F73" s="21"/>
      <c r="G73" s="32"/>
      <c r="H73" s="25" t="str">
        <f aca="false">IF($A73="","",IFERROR(INDEX(بند_سعر_الوحدة,MATCH($B73,قائمة_البنود,0)),0))</f>
        <v/>
      </c>
      <c r="I73" s="25" t="str">
        <f aca="false">IF($A73="","",H73*(1+نسبة_الضريبة))</f>
        <v/>
      </c>
      <c r="J73" s="33" t="str">
        <f aca="false">IF($A73="","",_xlfn.MINIFS('سجل المراجعات'!$E$5:$E$1504,'سجل المراجعات'!$A$5:$A$1504,$A73,'سجل المراجعات'!$D$5:$D$1504,"تسليم"))</f>
        <v/>
      </c>
      <c r="K73" s="33" t="str">
        <f aca="false">IF($A73="","",_xlfn.MAXIFS('سجل المراجعات'!$E$5:$E$1504,'سجل المراجعات'!$A$5:$A$1504,$A73,'سجل المراجعات'!$D$5:$D$1504,"تسليم"))</f>
        <v/>
      </c>
      <c r="L73" s="33" t="str">
        <f aca="false">IF($A73="","",_xlfn.MAXIFS('سجل المراجعات'!$E$5:$E$1504,'سجل المراجعات'!$A$5:$A$1504,$A73,'سجل المراجعات'!$D$5:$D$1504,"رد بملاحظات"))</f>
        <v/>
      </c>
      <c r="M73" s="33" t="str">
        <f aca="false">IF($A73="","",_xlfn.MAXIFS('سجل المراجعات'!$E$5:$E$1504,'سجل المراجعات'!$A$5:$A$1504,$A73,'سجل المراجعات'!$D$5:$D$1504,"قبول"))</f>
        <v/>
      </c>
      <c r="N73" s="26" t="str">
        <f aca="false">IF($A73="","",COUNTIFS('سجل المراجعات'!$A$5:$A$1504,$A73,'سجل المراجعات'!$D$5:$D$1504,"تسليم"))</f>
        <v/>
      </c>
      <c r="O73" s="34" t="str">
        <f aca="false">IF($A73="","",IF(M73&gt;0,"تم القبول",IF(F73="معلق","معلق",IF(AND(L73&gt;0,L73&gt;=K73),"مُعاد بملاحظات",IF(K73&gt;0,"في انتظار القبول",IF(AND(ISNUMBER(E73),E73&lt;تاريخ_الاحتساب),"متأخر",IF(F73="","لم يبدأ",F73)))))))</f>
        <v/>
      </c>
      <c r="P73" s="26" t="str">
        <f aca="false">IF($A73="","",SUMIFS('سجل المراجعات'!$L$5:$L$1504,'سجل المراجعات'!$A$5:$A$1504,$A73))</f>
        <v/>
      </c>
      <c r="Q73" s="26" t="str">
        <f aca="false">IF($A73="","",SUMIFS('سجل المراجعات'!$M$5:$M$1504,'سجل المراجعات'!$A$5:$A$1504,$A73))</f>
        <v/>
      </c>
      <c r="R73" s="26" t="str">
        <f aca="false">IF(OR($A73="",NOT(ISNUMBER(E73))),"",MAX(0,NETWORKDAYS.INTL(E73,IF(J73&gt;0,J73,تاريخ_الاحتساب),رمز_العطلة,أيام_الأجازات)-1))</f>
        <v/>
      </c>
      <c r="S73" s="22"/>
    </row>
    <row r="74" customFormat="false" ht="15" hidden="false" customHeight="false" outlineLevel="0" collapsed="false">
      <c r="A74" s="20"/>
      <c r="B74" s="20"/>
      <c r="C74" s="30" t="str">
        <f aca="false">IF($A74="","",IFERROR(INDEX(بند_الاسم,MATCH($B74,قائمة_البنود,0)),"⚠ بند غير موجود"))</f>
        <v/>
      </c>
      <c r="D74" s="22"/>
      <c r="E74" s="31"/>
      <c r="F74" s="21"/>
      <c r="G74" s="32"/>
      <c r="H74" s="25" t="str">
        <f aca="false">IF($A74="","",IFERROR(INDEX(بند_سعر_الوحدة,MATCH($B74,قائمة_البنود,0)),0))</f>
        <v/>
      </c>
      <c r="I74" s="25" t="str">
        <f aca="false">IF($A74="","",H74*(1+نسبة_الضريبة))</f>
        <v/>
      </c>
      <c r="J74" s="33" t="str">
        <f aca="false">IF($A74="","",_xlfn.MINIFS('سجل المراجعات'!$E$5:$E$1504,'سجل المراجعات'!$A$5:$A$1504,$A74,'سجل المراجعات'!$D$5:$D$1504,"تسليم"))</f>
        <v/>
      </c>
      <c r="K74" s="33" t="str">
        <f aca="false">IF($A74="","",_xlfn.MAXIFS('سجل المراجعات'!$E$5:$E$1504,'سجل المراجعات'!$A$5:$A$1504,$A74,'سجل المراجعات'!$D$5:$D$1504,"تسليم"))</f>
        <v/>
      </c>
      <c r="L74" s="33" t="str">
        <f aca="false">IF($A74="","",_xlfn.MAXIFS('سجل المراجعات'!$E$5:$E$1504,'سجل المراجعات'!$A$5:$A$1504,$A74,'سجل المراجعات'!$D$5:$D$1504,"رد بملاحظات"))</f>
        <v/>
      </c>
      <c r="M74" s="33" t="str">
        <f aca="false">IF($A74="","",_xlfn.MAXIFS('سجل المراجعات'!$E$5:$E$1504,'سجل المراجعات'!$A$5:$A$1504,$A74,'سجل المراجعات'!$D$5:$D$1504,"قبول"))</f>
        <v/>
      </c>
      <c r="N74" s="26" t="str">
        <f aca="false">IF($A74="","",COUNTIFS('سجل المراجعات'!$A$5:$A$1504,$A74,'سجل المراجعات'!$D$5:$D$1504,"تسليم"))</f>
        <v/>
      </c>
      <c r="O74" s="34" t="str">
        <f aca="false">IF($A74="","",IF(M74&gt;0,"تم القبول",IF(F74="معلق","معلق",IF(AND(L74&gt;0,L74&gt;=K74),"مُعاد بملاحظات",IF(K74&gt;0,"في انتظار القبول",IF(AND(ISNUMBER(E74),E74&lt;تاريخ_الاحتساب),"متأخر",IF(F74="","لم يبدأ",F74)))))))</f>
        <v/>
      </c>
      <c r="P74" s="26" t="str">
        <f aca="false">IF($A74="","",SUMIFS('سجل المراجعات'!$L$5:$L$1504,'سجل المراجعات'!$A$5:$A$1504,$A74))</f>
        <v/>
      </c>
      <c r="Q74" s="26" t="str">
        <f aca="false">IF($A74="","",SUMIFS('سجل المراجعات'!$M$5:$M$1504,'سجل المراجعات'!$A$5:$A$1504,$A74))</f>
        <v/>
      </c>
      <c r="R74" s="26" t="str">
        <f aca="false">IF(OR($A74="",NOT(ISNUMBER(E74))),"",MAX(0,NETWORKDAYS.INTL(E74,IF(J74&gt;0,J74,تاريخ_الاحتساب),رمز_العطلة,أيام_الأجازات)-1))</f>
        <v/>
      </c>
      <c r="S74" s="22"/>
    </row>
    <row r="75" customFormat="false" ht="15" hidden="false" customHeight="false" outlineLevel="0" collapsed="false">
      <c r="A75" s="20"/>
      <c r="B75" s="20"/>
      <c r="C75" s="30" t="str">
        <f aca="false">IF($A75="","",IFERROR(INDEX(بند_الاسم,MATCH($B75,قائمة_البنود,0)),"⚠ بند غير موجود"))</f>
        <v/>
      </c>
      <c r="D75" s="22"/>
      <c r="E75" s="31"/>
      <c r="F75" s="21"/>
      <c r="G75" s="32"/>
      <c r="H75" s="25" t="str">
        <f aca="false">IF($A75="","",IFERROR(INDEX(بند_سعر_الوحدة,MATCH($B75,قائمة_البنود,0)),0))</f>
        <v/>
      </c>
      <c r="I75" s="25" t="str">
        <f aca="false">IF($A75="","",H75*(1+نسبة_الضريبة))</f>
        <v/>
      </c>
      <c r="J75" s="33" t="str">
        <f aca="false">IF($A75="","",_xlfn.MINIFS('سجل المراجعات'!$E$5:$E$1504,'سجل المراجعات'!$A$5:$A$1504,$A75,'سجل المراجعات'!$D$5:$D$1504,"تسليم"))</f>
        <v/>
      </c>
      <c r="K75" s="33" t="str">
        <f aca="false">IF($A75="","",_xlfn.MAXIFS('سجل المراجعات'!$E$5:$E$1504,'سجل المراجعات'!$A$5:$A$1504,$A75,'سجل المراجعات'!$D$5:$D$1504,"تسليم"))</f>
        <v/>
      </c>
      <c r="L75" s="33" t="str">
        <f aca="false">IF($A75="","",_xlfn.MAXIFS('سجل المراجعات'!$E$5:$E$1504,'سجل المراجعات'!$A$5:$A$1504,$A75,'سجل المراجعات'!$D$5:$D$1504,"رد بملاحظات"))</f>
        <v/>
      </c>
      <c r="M75" s="33" t="str">
        <f aca="false">IF($A75="","",_xlfn.MAXIFS('سجل المراجعات'!$E$5:$E$1504,'سجل المراجعات'!$A$5:$A$1504,$A75,'سجل المراجعات'!$D$5:$D$1504,"قبول"))</f>
        <v/>
      </c>
      <c r="N75" s="26" t="str">
        <f aca="false">IF($A75="","",COUNTIFS('سجل المراجعات'!$A$5:$A$1504,$A75,'سجل المراجعات'!$D$5:$D$1504,"تسليم"))</f>
        <v/>
      </c>
      <c r="O75" s="34" t="str">
        <f aca="false">IF($A75="","",IF(M75&gt;0,"تم القبول",IF(F75="معلق","معلق",IF(AND(L75&gt;0,L75&gt;=K75),"مُعاد بملاحظات",IF(K75&gt;0,"في انتظار القبول",IF(AND(ISNUMBER(E75),E75&lt;تاريخ_الاحتساب),"متأخر",IF(F75="","لم يبدأ",F75)))))))</f>
        <v/>
      </c>
      <c r="P75" s="26" t="str">
        <f aca="false">IF($A75="","",SUMIFS('سجل المراجعات'!$L$5:$L$1504,'سجل المراجعات'!$A$5:$A$1504,$A75))</f>
        <v/>
      </c>
      <c r="Q75" s="26" t="str">
        <f aca="false">IF($A75="","",SUMIFS('سجل المراجعات'!$M$5:$M$1504,'سجل المراجعات'!$A$5:$A$1504,$A75))</f>
        <v/>
      </c>
      <c r="R75" s="26" t="str">
        <f aca="false">IF(OR($A75="",NOT(ISNUMBER(E75))),"",MAX(0,NETWORKDAYS.INTL(E75,IF(J75&gt;0,J75,تاريخ_الاحتساب),رمز_العطلة,أيام_الأجازات)-1))</f>
        <v/>
      </c>
      <c r="S75" s="22"/>
    </row>
    <row r="76" customFormat="false" ht="15" hidden="false" customHeight="false" outlineLevel="0" collapsed="false">
      <c r="A76" s="20"/>
      <c r="B76" s="20"/>
      <c r="C76" s="30" t="str">
        <f aca="false">IF($A76="","",IFERROR(INDEX(بند_الاسم,MATCH($B76,قائمة_البنود,0)),"⚠ بند غير موجود"))</f>
        <v/>
      </c>
      <c r="D76" s="22"/>
      <c r="E76" s="31"/>
      <c r="F76" s="21"/>
      <c r="G76" s="32"/>
      <c r="H76" s="25" t="str">
        <f aca="false">IF($A76="","",IFERROR(INDEX(بند_سعر_الوحدة,MATCH($B76,قائمة_البنود,0)),0))</f>
        <v/>
      </c>
      <c r="I76" s="25" t="str">
        <f aca="false">IF($A76="","",H76*(1+نسبة_الضريبة))</f>
        <v/>
      </c>
      <c r="J76" s="33" t="str">
        <f aca="false">IF($A76="","",_xlfn.MINIFS('سجل المراجعات'!$E$5:$E$1504,'سجل المراجعات'!$A$5:$A$1504,$A76,'سجل المراجعات'!$D$5:$D$1504,"تسليم"))</f>
        <v/>
      </c>
      <c r="K76" s="33" t="str">
        <f aca="false">IF($A76="","",_xlfn.MAXIFS('سجل المراجعات'!$E$5:$E$1504,'سجل المراجعات'!$A$5:$A$1504,$A76,'سجل المراجعات'!$D$5:$D$1504,"تسليم"))</f>
        <v/>
      </c>
      <c r="L76" s="33" t="str">
        <f aca="false">IF($A76="","",_xlfn.MAXIFS('سجل المراجعات'!$E$5:$E$1504,'سجل المراجعات'!$A$5:$A$1504,$A76,'سجل المراجعات'!$D$5:$D$1504,"رد بملاحظات"))</f>
        <v/>
      </c>
      <c r="M76" s="33" t="str">
        <f aca="false">IF($A76="","",_xlfn.MAXIFS('سجل المراجعات'!$E$5:$E$1504,'سجل المراجعات'!$A$5:$A$1504,$A76,'سجل المراجعات'!$D$5:$D$1504,"قبول"))</f>
        <v/>
      </c>
      <c r="N76" s="26" t="str">
        <f aca="false">IF($A76="","",COUNTIFS('سجل المراجعات'!$A$5:$A$1504,$A76,'سجل المراجعات'!$D$5:$D$1504,"تسليم"))</f>
        <v/>
      </c>
      <c r="O76" s="34" t="str">
        <f aca="false">IF($A76="","",IF(M76&gt;0,"تم القبول",IF(F76="معلق","معلق",IF(AND(L76&gt;0,L76&gt;=K76),"مُعاد بملاحظات",IF(K76&gt;0,"في انتظار القبول",IF(AND(ISNUMBER(E76),E76&lt;تاريخ_الاحتساب),"متأخر",IF(F76="","لم يبدأ",F76)))))))</f>
        <v/>
      </c>
      <c r="P76" s="26" t="str">
        <f aca="false">IF($A76="","",SUMIFS('سجل المراجعات'!$L$5:$L$1504,'سجل المراجعات'!$A$5:$A$1504,$A76))</f>
        <v/>
      </c>
      <c r="Q76" s="26" t="str">
        <f aca="false">IF($A76="","",SUMIFS('سجل المراجعات'!$M$5:$M$1504,'سجل المراجعات'!$A$5:$A$1504,$A76))</f>
        <v/>
      </c>
      <c r="R76" s="26" t="str">
        <f aca="false">IF(OR($A76="",NOT(ISNUMBER(E76))),"",MAX(0,NETWORKDAYS.INTL(E76,IF(J76&gt;0,J76,تاريخ_الاحتساب),رمز_العطلة,أيام_الأجازات)-1))</f>
        <v/>
      </c>
      <c r="S76" s="22"/>
    </row>
    <row r="77" customFormat="false" ht="15" hidden="false" customHeight="false" outlineLevel="0" collapsed="false">
      <c r="A77" s="20"/>
      <c r="B77" s="20"/>
      <c r="C77" s="30" t="str">
        <f aca="false">IF($A77="","",IFERROR(INDEX(بند_الاسم,MATCH($B77,قائمة_البنود,0)),"⚠ بند غير موجود"))</f>
        <v/>
      </c>
      <c r="D77" s="22"/>
      <c r="E77" s="31"/>
      <c r="F77" s="21"/>
      <c r="G77" s="32"/>
      <c r="H77" s="25" t="str">
        <f aca="false">IF($A77="","",IFERROR(INDEX(بند_سعر_الوحدة,MATCH($B77,قائمة_البنود,0)),0))</f>
        <v/>
      </c>
      <c r="I77" s="25" t="str">
        <f aca="false">IF($A77="","",H77*(1+نسبة_الضريبة))</f>
        <v/>
      </c>
      <c r="J77" s="33" t="str">
        <f aca="false">IF($A77="","",_xlfn.MINIFS('سجل المراجعات'!$E$5:$E$1504,'سجل المراجعات'!$A$5:$A$1504,$A77,'سجل المراجعات'!$D$5:$D$1504,"تسليم"))</f>
        <v/>
      </c>
      <c r="K77" s="33" t="str">
        <f aca="false">IF($A77="","",_xlfn.MAXIFS('سجل المراجعات'!$E$5:$E$1504,'سجل المراجعات'!$A$5:$A$1504,$A77,'سجل المراجعات'!$D$5:$D$1504,"تسليم"))</f>
        <v/>
      </c>
      <c r="L77" s="33" t="str">
        <f aca="false">IF($A77="","",_xlfn.MAXIFS('سجل المراجعات'!$E$5:$E$1504,'سجل المراجعات'!$A$5:$A$1504,$A77,'سجل المراجعات'!$D$5:$D$1504,"رد بملاحظات"))</f>
        <v/>
      </c>
      <c r="M77" s="33" t="str">
        <f aca="false">IF($A77="","",_xlfn.MAXIFS('سجل المراجعات'!$E$5:$E$1504,'سجل المراجعات'!$A$5:$A$1504,$A77,'سجل المراجعات'!$D$5:$D$1504,"قبول"))</f>
        <v/>
      </c>
      <c r="N77" s="26" t="str">
        <f aca="false">IF($A77="","",COUNTIFS('سجل المراجعات'!$A$5:$A$1504,$A77,'سجل المراجعات'!$D$5:$D$1504,"تسليم"))</f>
        <v/>
      </c>
      <c r="O77" s="34" t="str">
        <f aca="false">IF($A77="","",IF(M77&gt;0,"تم القبول",IF(F77="معلق","معلق",IF(AND(L77&gt;0,L77&gt;=K77),"مُعاد بملاحظات",IF(K77&gt;0,"في انتظار القبول",IF(AND(ISNUMBER(E77),E77&lt;تاريخ_الاحتساب),"متأخر",IF(F77="","لم يبدأ",F77)))))))</f>
        <v/>
      </c>
      <c r="P77" s="26" t="str">
        <f aca="false">IF($A77="","",SUMIFS('سجل المراجعات'!$L$5:$L$1504,'سجل المراجعات'!$A$5:$A$1504,$A77))</f>
        <v/>
      </c>
      <c r="Q77" s="26" t="str">
        <f aca="false">IF($A77="","",SUMIFS('سجل المراجعات'!$M$5:$M$1504,'سجل المراجعات'!$A$5:$A$1504,$A77))</f>
        <v/>
      </c>
      <c r="R77" s="26" t="str">
        <f aca="false">IF(OR($A77="",NOT(ISNUMBER(E77))),"",MAX(0,NETWORKDAYS.INTL(E77,IF(J77&gt;0,J77,تاريخ_الاحتساب),رمز_العطلة,أيام_الأجازات)-1))</f>
        <v/>
      </c>
      <c r="S77" s="22"/>
    </row>
    <row r="78" customFormat="false" ht="15" hidden="false" customHeight="false" outlineLevel="0" collapsed="false">
      <c r="A78" s="20"/>
      <c r="B78" s="20"/>
      <c r="C78" s="30" t="str">
        <f aca="false">IF($A78="","",IFERROR(INDEX(بند_الاسم,MATCH($B78,قائمة_البنود,0)),"⚠ بند غير موجود"))</f>
        <v/>
      </c>
      <c r="D78" s="22"/>
      <c r="E78" s="31"/>
      <c r="F78" s="21"/>
      <c r="G78" s="32"/>
      <c r="H78" s="25" t="str">
        <f aca="false">IF($A78="","",IFERROR(INDEX(بند_سعر_الوحدة,MATCH($B78,قائمة_البنود,0)),0))</f>
        <v/>
      </c>
      <c r="I78" s="25" t="str">
        <f aca="false">IF($A78="","",H78*(1+نسبة_الضريبة))</f>
        <v/>
      </c>
      <c r="J78" s="33" t="str">
        <f aca="false">IF($A78="","",_xlfn.MINIFS('سجل المراجعات'!$E$5:$E$1504,'سجل المراجعات'!$A$5:$A$1504,$A78,'سجل المراجعات'!$D$5:$D$1504,"تسليم"))</f>
        <v/>
      </c>
      <c r="K78" s="33" t="str">
        <f aca="false">IF($A78="","",_xlfn.MAXIFS('سجل المراجعات'!$E$5:$E$1504,'سجل المراجعات'!$A$5:$A$1504,$A78,'سجل المراجعات'!$D$5:$D$1504,"تسليم"))</f>
        <v/>
      </c>
      <c r="L78" s="33" t="str">
        <f aca="false">IF($A78="","",_xlfn.MAXIFS('سجل المراجعات'!$E$5:$E$1504,'سجل المراجعات'!$A$5:$A$1504,$A78,'سجل المراجعات'!$D$5:$D$1504,"رد بملاحظات"))</f>
        <v/>
      </c>
      <c r="M78" s="33" t="str">
        <f aca="false">IF($A78="","",_xlfn.MAXIFS('سجل المراجعات'!$E$5:$E$1504,'سجل المراجعات'!$A$5:$A$1504,$A78,'سجل المراجعات'!$D$5:$D$1504,"قبول"))</f>
        <v/>
      </c>
      <c r="N78" s="26" t="str">
        <f aca="false">IF($A78="","",COUNTIFS('سجل المراجعات'!$A$5:$A$1504,$A78,'سجل المراجعات'!$D$5:$D$1504,"تسليم"))</f>
        <v/>
      </c>
      <c r="O78" s="34" t="str">
        <f aca="false">IF($A78="","",IF(M78&gt;0,"تم القبول",IF(F78="معلق","معلق",IF(AND(L78&gt;0,L78&gt;=K78),"مُعاد بملاحظات",IF(K78&gt;0,"في انتظار القبول",IF(AND(ISNUMBER(E78),E78&lt;تاريخ_الاحتساب),"متأخر",IF(F78="","لم يبدأ",F78)))))))</f>
        <v/>
      </c>
      <c r="P78" s="26" t="str">
        <f aca="false">IF($A78="","",SUMIFS('سجل المراجعات'!$L$5:$L$1504,'سجل المراجعات'!$A$5:$A$1504,$A78))</f>
        <v/>
      </c>
      <c r="Q78" s="26" t="str">
        <f aca="false">IF($A78="","",SUMIFS('سجل المراجعات'!$M$5:$M$1504,'سجل المراجعات'!$A$5:$A$1504,$A78))</f>
        <v/>
      </c>
      <c r="R78" s="26" t="str">
        <f aca="false">IF(OR($A78="",NOT(ISNUMBER(E78))),"",MAX(0,NETWORKDAYS.INTL(E78,IF(J78&gt;0,J78,تاريخ_الاحتساب),رمز_العطلة,أيام_الأجازات)-1))</f>
        <v/>
      </c>
      <c r="S78" s="22"/>
    </row>
    <row r="79" customFormat="false" ht="15" hidden="false" customHeight="false" outlineLevel="0" collapsed="false">
      <c r="A79" s="20"/>
      <c r="B79" s="20"/>
      <c r="C79" s="30" t="str">
        <f aca="false">IF($A79="","",IFERROR(INDEX(بند_الاسم,MATCH($B79,قائمة_البنود,0)),"⚠ بند غير موجود"))</f>
        <v/>
      </c>
      <c r="D79" s="22"/>
      <c r="E79" s="31"/>
      <c r="F79" s="21"/>
      <c r="G79" s="32"/>
      <c r="H79" s="25" t="str">
        <f aca="false">IF($A79="","",IFERROR(INDEX(بند_سعر_الوحدة,MATCH($B79,قائمة_البنود,0)),0))</f>
        <v/>
      </c>
      <c r="I79" s="25" t="str">
        <f aca="false">IF($A79="","",H79*(1+نسبة_الضريبة))</f>
        <v/>
      </c>
      <c r="J79" s="33" t="str">
        <f aca="false">IF($A79="","",_xlfn.MINIFS('سجل المراجعات'!$E$5:$E$1504,'سجل المراجعات'!$A$5:$A$1504,$A79,'سجل المراجعات'!$D$5:$D$1504,"تسليم"))</f>
        <v/>
      </c>
      <c r="K79" s="33" t="str">
        <f aca="false">IF($A79="","",_xlfn.MAXIFS('سجل المراجعات'!$E$5:$E$1504,'سجل المراجعات'!$A$5:$A$1504,$A79,'سجل المراجعات'!$D$5:$D$1504,"تسليم"))</f>
        <v/>
      </c>
      <c r="L79" s="33" t="str">
        <f aca="false">IF($A79="","",_xlfn.MAXIFS('سجل المراجعات'!$E$5:$E$1504,'سجل المراجعات'!$A$5:$A$1504,$A79,'سجل المراجعات'!$D$5:$D$1504,"رد بملاحظات"))</f>
        <v/>
      </c>
      <c r="M79" s="33" t="str">
        <f aca="false">IF($A79="","",_xlfn.MAXIFS('سجل المراجعات'!$E$5:$E$1504,'سجل المراجعات'!$A$5:$A$1504,$A79,'سجل المراجعات'!$D$5:$D$1504,"قبول"))</f>
        <v/>
      </c>
      <c r="N79" s="26" t="str">
        <f aca="false">IF($A79="","",COUNTIFS('سجل المراجعات'!$A$5:$A$1504,$A79,'سجل المراجعات'!$D$5:$D$1504,"تسليم"))</f>
        <v/>
      </c>
      <c r="O79" s="34" t="str">
        <f aca="false">IF($A79="","",IF(M79&gt;0,"تم القبول",IF(F79="معلق","معلق",IF(AND(L79&gt;0,L79&gt;=K79),"مُعاد بملاحظات",IF(K79&gt;0,"في انتظار القبول",IF(AND(ISNUMBER(E79),E79&lt;تاريخ_الاحتساب),"متأخر",IF(F79="","لم يبدأ",F79)))))))</f>
        <v/>
      </c>
      <c r="P79" s="26" t="str">
        <f aca="false">IF($A79="","",SUMIFS('سجل المراجعات'!$L$5:$L$1504,'سجل المراجعات'!$A$5:$A$1504,$A79))</f>
        <v/>
      </c>
      <c r="Q79" s="26" t="str">
        <f aca="false">IF($A79="","",SUMIFS('سجل المراجعات'!$M$5:$M$1504,'سجل المراجعات'!$A$5:$A$1504,$A79))</f>
        <v/>
      </c>
      <c r="R79" s="26" t="str">
        <f aca="false">IF(OR($A79="",NOT(ISNUMBER(E79))),"",MAX(0,NETWORKDAYS.INTL(E79,IF(J79&gt;0,J79,تاريخ_الاحتساب),رمز_العطلة,أيام_الأجازات)-1))</f>
        <v/>
      </c>
      <c r="S79" s="22"/>
    </row>
    <row r="80" customFormat="false" ht="15" hidden="false" customHeight="false" outlineLevel="0" collapsed="false">
      <c r="A80" s="20"/>
      <c r="B80" s="20"/>
      <c r="C80" s="30" t="str">
        <f aca="false">IF($A80="","",IFERROR(INDEX(بند_الاسم,MATCH($B80,قائمة_البنود,0)),"⚠ بند غير موجود"))</f>
        <v/>
      </c>
      <c r="D80" s="22"/>
      <c r="E80" s="31"/>
      <c r="F80" s="21"/>
      <c r="G80" s="32"/>
      <c r="H80" s="25" t="str">
        <f aca="false">IF($A80="","",IFERROR(INDEX(بند_سعر_الوحدة,MATCH($B80,قائمة_البنود,0)),0))</f>
        <v/>
      </c>
      <c r="I80" s="25" t="str">
        <f aca="false">IF($A80="","",H80*(1+نسبة_الضريبة))</f>
        <v/>
      </c>
      <c r="J80" s="33" t="str">
        <f aca="false">IF($A80="","",_xlfn.MINIFS('سجل المراجعات'!$E$5:$E$1504,'سجل المراجعات'!$A$5:$A$1504,$A80,'سجل المراجعات'!$D$5:$D$1504,"تسليم"))</f>
        <v/>
      </c>
      <c r="K80" s="33" t="str">
        <f aca="false">IF($A80="","",_xlfn.MAXIFS('سجل المراجعات'!$E$5:$E$1504,'سجل المراجعات'!$A$5:$A$1504,$A80,'سجل المراجعات'!$D$5:$D$1504,"تسليم"))</f>
        <v/>
      </c>
      <c r="L80" s="33" t="str">
        <f aca="false">IF($A80="","",_xlfn.MAXIFS('سجل المراجعات'!$E$5:$E$1504,'سجل المراجعات'!$A$5:$A$1504,$A80,'سجل المراجعات'!$D$5:$D$1504,"رد بملاحظات"))</f>
        <v/>
      </c>
      <c r="M80" s="33" t="str">
        <f aca="false">IF($A80="","",_xlfn.MAXIFS('سجل المراجعات'!$E$5:$E$1504,'سجل المراجعات'!$A$5:$A$1504,$A80,'سجل المراجعات'!$D$5:$D$1504,"قبول"))</f>
        <v/>
      </c>
      <c r="N80" s="26" t="str">
        <f aca="false">IF($A80="","",COUNTIFS('سجل المراجعات'!$A$5:$A$1504,$A80,'سجل المراجعات'!$D$5:$D$1504,"تسليم"))</f>
        <v/>
      </c>
      <c r="O80" s="34" t="str">
        <f aca="false">IF($A80="","",IF(M80&gt;0,"تم القبول",IF(F80="معلق","معلق",IF(AND(L80&gt;0,L80&gt;=K80),"مُعاد بملاحظات",IF(K80&gt;0,"في انتظار القبول",IF(AND(ISNUMBER(E80),E80&lt;تاريخ_الاحتساب),"متأخر",IF(F80="","لم يبدأ",F80)))))))</f>
        <v/>
      </c>
      <c r="P80" s="26" t="str">
        <f aca="false">IF($A80="","",SUMIFS('سجل المراجعات'!$L$5:$L$1504,'سجل المراجعات'!$A$5:$A$1504,$A80))</f>
        <v/>
      </c>
      <c r="Q80" s="26" t="str">
        <f aca="false">IF($A80="","",SUMIFS('سجل المراجعات'!$M$5:$M$1504,'سجل المراجعات'!$A$5:$A$1504,$A80))</f>
        <v/>
      </c>
      <c r="R80" s="26" t="str">
        <f aca="false">IF(OR($A80="",NOT(ISNUMBER(E80))),"",MAX(0,NETWORKDAYS.INTL(E80,IF(J80&gt;0,J80,تاريخ_الاحتساب),رمز_العطلة,أيام_الأجازات)-1))</f>
        <v/>
      </c>
      <c r="S80" s="22"/>
    </row>
    <row r="81" customFormat="false" ht="15" hidden="false" customHeight="false" outlineLevel="0" collapsed="false">
      <c r="A81" s="20"/>
      <c r="B81" s="20"/>
      <c r="C81" s="30" t="str">
        <f aca="false">IF($A81="","",IFERROR(INDEX(بند_الاسم,MATCH($B81,قائمة_البنود,0)),"⚠ بند غير موجود"))</f>
        <v/>
      </c>
      <c r="D81" s="22"/>
      <c r="E81" s="31"/>
      <c r="F81" s="21"/>
      <c r="G81" s="32"/>
      <c r="H81" s="25" t="str">
        <f aca="false">IF($A81="","",IFERROR(INDEX(بند_سعر_الوحدة,MATCH($B81,قائمة_البنود,0)),0))</f>
        <v/>
      </c>
      <c r="I81" s="25" t="str">
        <f aca="false">IF($A81="","",H81*(1+نسبة_الضريبة))</f>
        <v/>
      </c>
      <c r="J81" s="33" t="str">
        <f aca="false">IF($A81="","",_xlfn.MINIFS('سجل المراجعات'!$E$5:$E$1504,'سجل المراجعات'!$A$5:$A$1504,$A81,'سجل المراجعات'!$D$5:$D$1504,"تسليم"))</f>
        <v/>
      </c>
      <c r="K81" s="33" t="str">
        <f aca="false">IF($A81="","",_xlfn.MAXIFS('سجل المراجعات'!$E$5:$E$1504,'سجل المراجعات'!$A$5:$A$1504,$A81,'سجل المراجعات'!$D$5:$D$1504,"تسليم"))</f>
        <v/>
      </c>
      <c r="L81" s="33" t="str">
        <f aca="false">IF($A81="","",_xlfn.MAXIFS('سجل المراجعات'!$E$5:$E$1504,'سجل المراجعات'!$A$5:$A$1504,$A81,'سجل المراجعات'!$D$5:$D$1504,"رد بملاحظات"))</f>
        <v/>
      </c>
      <c r="M81" s="33" t="str">
        <f aca="false">IF($A81="","",_xlfn.MAXIFS('سجل المراجعات'!$E$5:$E$1504,'سجل المراجعات'!$A$5:$A$1504,$A81,'سجل المراجعات'!$D$5:$D$1504,"قبول"))</f>
        <v/>
      </c>
      <c r="N81" s="26" t="str">
        <f aca="false">IF($A81="","",COUNTIFS('سجل المراجعات'!$A$5:$A$1504,$A81,'سجل المراجعات'!$D$5:$D$1504,"تسليم"))</f>
        <v/>
      </c>
      <c r="O81" s="34" t="str">
        <f aca="false">IF($A81="","",IF(M81&gt;0,"تم القبول",IF(F81="معلق","معلق",IF(AND(L81&gt;0,L81&gt;=K81),"مُعاد بملاحظات",IF(K81&gt;0,"في انتظار القبول",IF(AND(ISNUMBER(E81),E81&lt;تاريخ_الاحتساب),"متأخر",IF(F81="","لم يبدأ",F81)))))))</f>
        <v/>
      </c>
      <c r="P81" s="26" t="str">
        <f aca="false">IF($A81="","",SUMIFS('سجل المراجعات'!$L$5:$L$1504,'سجل المراجعات'!$A$5:$A$1504,$A81))</f>
        <v/>
      </c>
      <c r="Q81" s="26" t="str">
        <f aca="false">IF($A81="","",SUMIFS('سجل المراجعات'!$M$5:$M$1504,'سجل المراجعات'!$A$5:$A$1504,$A81))</f>
        <v/>
      </c>
      <c r="R81" s="26" t="str">
        <f aca="false">IF(OR($A81="",NOT(ISNUMBER(E81))),"",MAX(0,NETWORKDAYS.INTL(E81,IF(J81&gt;0,J81,تاريخ_الاحتساب),رمز_العطلة,أيام_الأجازات)-1))</f>
        <v/>
      </c>
      <c r="S81" s="22"/>
    </row>
    <row r="82" customFormat="false" ht="15" hidden="false" customHeight="false" outlineLevel="0" collapsed="false">
      <c r="A82" s="20"/>
      <c r="B82" s="20"/>
      <c r="C82" s="30" t="str">
        <f aca="false">IF($A82="","",IFERROR(INDEX(بند_الاسم,MATCH($B82,قائمة_البنود,0)),"⚠ بند غير موجود"))</f>
        <v/>
      </c>
      <c r="D82" s="22"/>
      <c r="E82" s="31"/>
      <c r="F82" s="21"/>
      <c r="G82" s="32"/>
      <c r="H82" s="25" t="str">
        <f aca="false">IF($A82="","",IFERROR(INDEX(بند_سعر_الوحدة,MATCH($B82,قائمة_البنود,0)),0))</f>
        <v/>
      </c>
      <c r="I82" s="25" t="str">
        <f aca="false">IF($A82="","",H82*(1+نسبة_الضريبة))</f>
        <v/>
      </c>
      <c r="J82" s="33" t="str">
        <f aca="false">IF($A82="","",_xlfn.MINIFS('سجل المراجعات'!$E$5:$E$1504,'سجل المراجعات'!$A$5:$A$1504,$A82,'سجل المراجعات'!$D$5:$D$1504,"تسليم"))</f>
        <v/>
      </c>
      <c r="K82" s="33" t="str">
        <f aca="false">IF($A82="","",_xlfn.MAXIFS('سجل المراجعات'!$E$5:$E$1504,'سجل المراجعات'!$A$5:$A$1504,$A82,'سجل المراجعات'!$D$5:$D$1504,"تسليم"))</f>
        <v/>
      </c>
      <c r="L82" s="33" t="str">
        <f aca="false">IF($A82="","",_xlfn.MAXIFS('سجل المراجعات'!$E$5:$E$1504,'سجل المراجعات'!$A$5:$A$1504,$A82,'سجل المراجعات'!$D$5:$D$1504,"رد بملاحظات"))</f>
        <v/>
      </c>
      <c r="M82" s="33" t="str">
        <f aca="false">IF($A82="","",_xlfn.MAXIFS('سجل المراجعات'!$E$5:$E$1504,'سجل المراجعات'!$A$5:$A$1504,$A82,'سجل المراجعات'!$D$5:$D$1504,"قبول"))</f>
        <v/>
      </c>
      <c r="N82" s="26" t="str">
        <f aca="false">IF($A82="","",COUNTIFS('سجل المراجعات'!$A$5:$A$1504,$A82,'سجل المراجعات'!$D$5:$D$1504,"تسليم"))</f>
        <v/>
      </c>
      <c r="O82" s="34" t="str">
        <f aca="false">IF($A82="","",IF(M82&gt;0,"تم القبول",IF(F82="معلق","معلق",IF(AND(L82&gt;0,L82&gt;=K82),"مُعاد بملاحظات",IF(K82&gt;0,"في انتظار القبول",IF(AND(ISNUMBER(E82),E82&lt;تاريخ_الاحتساب),"متأخر",IF(F82="","لم يبدأ",F82)))))))</f>
        <v/>
      </c>
      <c r="P82" s="26" t="str">
        <f aca="false">IF($A82="","",SUMIFS('سجل المراجعات'!$L$5:$L$1504,'سجل المراجعات'!$A$5:$A$1504,$A82))</f>
        <v/>
      </c>
      <c r="Q82" s="26" t="str">
        <f aca="false">IF($A82="","",SUMIFS('سجل المراجعات'!$M$5:$M$1504,'سجل المراجعات'!$A$5:$A$1504,$A82))</f>
        <v/>
      </c>
      <c r="R82" s="26" t="str">
        <f aca="false">IF(OR($A82="",NOT(ISNUMBER(E82))),"",MAX(0,NETWORKDAYS.INTL(E82,IF(J82&gt;0,J82,تاريخ_الاحتساب),رمز_العطلة,أيام_الأجازات)-1))</f>
        <v/>
      </c>
      <c r="S82" s="22"/>
    </row>
    <row r="83" customFormat="false" ht="15" hidden="false" customHeight="false" outlineLevel="0" collapsed="false">
      <c r="A83" s="20"/>
      <c r="B83" s="20"/>
      <c r="C83" s="30" t="str">
        <f aca="false">IF($A83="","",IFERROR(INDEX(بند_الاسم,MATCH($B83,قائمة_البنود,0)),"⚠ بند غير موجود"))</f>
        <v/>
      </c>
      <c r="D83" s="22"/>
      <c r="E83" s="31"/>
      <c r="F83" s="21"/>
      <c r="G83" s="32"/>
      <c r="H83" s="25" t="str">
        <f aca="false">IF($A83="","",IFERROR(INDEX(بند_سعر_الوحدة,MATCH($B83,قائمة_البنود,0)),0))</f>
        <v/>
      </c>
      <c r="I83" s="25" t="str">
        <f aca="false">IF($A83="","",H83*(1+نسبة_الضريبة))</f>
        <v/>
      </c>
      <c r="J83" s="33" t="str">
        <f aca="false">IF($A83="","",_xlfn.MINIFS('سجل المراجعات'!$E$5:$E$1504,'سجل المراجعات'!$A$5:$A$1504,$A83,'سجل المراجعات'!$D$5:$D$1504,"تسليم"))</f>
        <v/>
      </c>
      <c r="K83" s="33" t="str">
        <f aca="false">IF($A83="","",_xlfn.MAXIFS('سجل المراجعات'!$E$5:$E$1504,'سجل المراجعات'!$A$5:$A$1504,$A83,'سجل المراجعات'!$D$5:$D$1504,"تسليم"))</f>
        <v/>
      </c>
      <c r="L83" s="33" t="str">
        <f aca="false">IF($A83="","",_xlfn.MAXIFS('سجل المراجعات'!$E$5:$E$1504,'سجل المراجعات'!$A$5:$A$1504,$A83,'سجل المراجعات'!$D$5:$D$1504,"رد بملاحظات"))</f>
        <v/>
      </c>
      <c r="M83" s="33" t="str">
        <f aca="false">IF($A83="","",_xlfn.MAXIFS('سجل المراجعات'!$E$5:$E$1504,'سجل المراجعات'!$A$5:$A$1504,$A83,'سجل المراجعات'!$D$5:$D$1504,"قبول"))</f>
        <v/>
      </c>
      <c r="N83" s="26" t="str">
        <f aca="false">IF($A83="","",COUNTIFS('سجل المراجعات'!$A$5:$A$1504,$A83,'سجل المراجعات'!$D$5:$D$1504,"تسليم"))</f>
        <v/>
      </c>
      <c r="O83" s="34" t="str">
        <f aca="false">IF($A83="","",IF(M83&gt;0,"تم القبول",IF(F83="معلق","معلق",IF(AND(L83&gt;0,L83&gt;=K83),"مُعاد بملاحظات",IF(K83&gt;0,"في انتظار القبول",IF(AND(ISNUMBER(E83),E83&lt;تاريخ_الاحتساب),"متأخر",IF(F83="","لم يبدأ",F83)))))))</f>
        <v/>
      </c>
      <c r="P83" s="26" t="str">
        <f aca="false">IF($A83="","",SUMIFS('سجل المراجعات'!$L$5:$L$1504,'سجل المراجعات'!$A$5:$A$1504,$A83))</f>
        <v/>
      </c>
      <c r="Q83" s="26" t="str">
        <f aca="false">IF($A83="","",SUMIFS('سجل المراجعات'!$M$5:$M$1504,'سجل المراجعات'!$A$5:$A$1504,$A83))</f>
        <v/>
      </c>
      <c r="R83" s="26" t="str">
        <f aca="false">IF(OR($A83="",NOT(ISNUMBER(E83))),"",MAX(0,NETWORKDAYS.INTL(E83,IF(J83&gt;0,J83,تاريخ_الاحتساب),رمز_العطلة,أيام_الأجازات)-1))</f>
        <v/>
      </c>
      <c r="S83" s="22"/>
    </row>
    <row r="84" customFormat="false" ht="15" hidden="false" customHeight="false" outlineLevel="0" collapsed="false">
      <c r="A84" s="20"/>
      <c r="B84" s="20"/>
      <c r="C84" s="30" t="str">
        <f aca="false">IF($A84="","",IFERROR(INDEX(بند_الاسم,MATCH($B84,قائمة_البنود,0)),"⚠ بند غير موجود"))</f>
        <v/>
      </c>
      <c r="D84" s="22"/>
      <c r="E84" s="31"/>
      <c r="F84" s="21"/>
      <c r="G84" s="32"/>
      <c r="H84" s="25" t="str">
        <f aca="false">IF($A84="","",IFERROR(INDEX(بند_سعر_الوحدة,MATCH($B84,قائمة_البنود,0)),0))</f>
        <v/>
      </c>
      <c r="I84" s="25" t="str">
        <f aca="false">IF($A84="","",H84*(1+نسبة_الضريبة))</f>
        <v/>
      </c>
      <c r="J84" s="33" t="str">
        <f aca="false">IF($A84="","",_xlfn.MINIFS('سجل المراجعات'!$E$5:$E$1504,'سجل المراجعات'!$A$5:$A$1504,$A84,'سجل المراجعات'!$D$5:$D$1504,"تسليم"))</f>
        <v/>
      </c>
      <c r="K84" s="33" t="str">
        <f aca="false">IF($A84="","",_xlfn.MAXIFS('سجل المراجعات'!$E$5:$E$1504,'سجل المراجعات'!$A$5:$A$1504,$A84,'سجل المراجعات'!$D$5:$D$1504,"تسليم"))</f>
        <v/>
      </c>
      <c r="L84" s="33" t="str">
        <f aca="false">IF($A84="","",_xlfn.MAXIFS('سجل المراجعات'!$E$5:$E$1504,'سجل المراجعات'!$A$5:$A$1504,$A84,'سجل المراجعات'!$D$5:$D$1504,"رد بملاحظات"))</f>
        <v/>
      </c>
      <c r="M84" s="33" t="str">
        <f aca="false">IF($A84="","",_xlfn.MAXIFS('سجل المراجعات'!$E$5:$E$1504,'سجل المراجعات'!$A$5:$A$1504,$A84,'سجل المراجعات'!$D$5:$D$1504,"قبول"))</f>
        <v/>
      </c>
      <c r="N84" s="26" t="str">
        <f aca="false">IF($A84="","",COUNTIFS('سجل المراجعات'!$A$5:$A$1504,$A84,'سجل المراجعات'!$D$5:$D$1504,"تسليم"))</f>
        <v/>
      </c>
      <c r="O84" s="34" t="str">
        <f aca="false">IF($A84="","",IF(M84&gt;0,"تم القبول",IF(F84="معلق","معلق",IF(AND(L84&gt;0,L84&gt;=K84),"مُعاد بملاحظات",IF(K84&gt;0,"في انتظار القبول",IF(AND(ISNUMBER(E84),E84&lt;تاريخ_الاحتساب),"متأخر",IF(F84="","لم يبدأ",F84)))))))</f>
        <v/>
      </c>
      <c r="P84" s="26" t="str">
        <f aca="false">IF($A84="","",SUMIFS('سجل المراجعات'!$L$5:$L$1504,'سجل المراجعات'!$A$5:$A$1504,$A84))</f>
        <v/>
      </c>
      <c r="Q84" s="26" t="str">
        <f aca="false">IF($A84="","",SUMIFS('سجل المراجعات'!$M$5:$M$1504,'سجل المراجعات'!$A$5:$A$1504,$A84))</f>
        <v/>
      </c>
      <c r="R84" s="26" t="str">
        <f aca="false">IF(OR($A84="",NOT(ISNUMBER(E84))),"",MAX(0,NETWORKDAYS.INTL(E84,IF(J84&gt;0,J84,تاريخ_الاحتساب),رمز_العطلة,أيام_الأجازات)-1))</f>
        <v/>
      </c>
      <c r="S84" s="22"/>
    </row>
    <row r="85" customFormat="false" ht="15" hidden="false" customHeight="false" outlineLevel="0" collapsed="false">
      <c r="A85" s="20"/>
      <c r="B85" s="20"/>
      <c r="C85" s="30" t="str">
        <f aca="false">IF($A85="","",IFERROR(INDEX(بند_الاسم,MATCH($B85,قائمة_البنود,0)),"⚠ بند غير موجود"))</f>
        <v/>
      </c>
      <c r="D85" s="22"/>
      <c r="E85" s="31"/>
      <c r="F85" s="21"/>
      <c r="G85" s="32"/>
      <c r="H85" s="25" t="str">
        <f aca="false">IF($A85="","",IFERROR(INDEX(بند_سعر_الوحدة,MATCH($B85,قائمة_البنود,0)),0))</f>
        <v/>
      </c>
      <c r="I85" s="25" t="str">
        <f aca="false">IF($A85="","",H85*(1+نسبة_الضريبة))</f>
        <v/>
      </c>
      <c r="J85" s="33" t="str">
        <f aca="false">IF($A85="","",_xlfn.MINIFS('سجل المراجعات'!$E$5:$E$1504,'سجل المراجعات'!$A$5:$A$1504,$A85,'سجل المراجعات'!$D$5:$D$1504,"تسليم"))</f>
        <v/>
      </c>
      <c r="K85" s="33" t="str">
        <f aca="false">IF($A85="","",_xlfn.MAXIFS('سجل المراجعات'!$E$5:$E$1504,'سجل المراجعات'!$A$5:$A$1504,$A85,'سجل المراجعات'!$D$5:$D$1504,"تسليم"))</f>
        <v/>
      </c>
      <c r="L85" s="33" t="str">
        <f aca="false">IF($A85="","",_xlfn.MAXIFS('سجل المراجعات'!$E$5:$E$1504,'سجل المراجعات'!$A$5:$A$1504,$A85,'سجل المراجعات'!$D$5:$D$1504,"رد بملاحظات"))</f>
        <v/>
      </c>
      <c r="M85" s="33" t="str">
        <f aca="false">IF($A85="","",_xlfn.MAXIFS('سجل المراجعات'!$E$5:$E$1504,'سجل المراجعات'!$A$5:$A$1504,$A85,'سجل المراجعات'!$D$5:$D$1504,"قبول"))</f>
        <v/>
      </c>
      <c r="N85" s="26" t="str">
        <f aca="false">IF($A85="","",COUNTIFS('سجل المراجعات'!$A$5:$A$1504,$A85,'سجل المراجعات'!$D$5:$D$1504,"تسليم"))</f>
        <v/>
      </c>
      <c r="O85" s="34" t="str">
        <f aca="false">IF($A85="","",IF(M85&gt;0,"تم القبول",IF(F85="معلق","معلق",IF(AND(L85&gt;0,L85&gt;=K85),"مُعاد بملاحظات",IF(K85&gt;0,"في انتظار القبول",IF(AND(ISNUMBER(E85),E85&lt;تاريخ_الاحتساب),"متأخر",IF(F85="","لم يبدأ",F85)))))))</f>
        <v/>
      </c>
      <c r="P85" s="26" t="str">
        <f aca="false">IF($A85="","",SUMIFS('سجل المراجعات'!$L$5:$L$1504,'سجل المراجعات'!$A$5:$A$1504,$A85))</f>
        <v/>
      </c>
      <c r="Q85" s="26" t="str">
        <f aca="false">IF($A85="","",SUMIFS('سجل المراجعات'!$M$5:$M$1504,'سجل المراجعات'!$A$5:$A$1504,$A85))</f>
        <v/>
      </c>
      <c r="R85" s="26" t="str">
        <f aca="false">IF(OR($A85="",NOT(ISNUMBER(E85))),"",MAX(0,NETWORKDAYS.INTL(E85,IF(J85&gt;0,J85,تاريخ_الاحتساب),رمز_العطلة,أيام_الأجازات)-1))</f>
        <v/>
      </c>
      <c r="S85" s="22"/>
    </row>
    <row r="86" customFormat="false" ht="15" hidden="false" customHeight="false" outlineLevel="0" collapsed="false">
      <c r="A86" s="20"/>
      <c r="B86" s="20"/>
      <c r="C86" s="30" t="str">
        <f aca="false">IF($A86="","",IFERROR(INDEX(بند_الاسم,MATCH($B86,قائمة_البنود,0)),"⚠ بند غير موجود"))</f>
        <v/>
      </c>
      <c r="D86" s="22"/>
      <c r="E86" s="31"/>
      <c r="F86" s="21"/>
      <c r="G86" s="32"/>
      <c r="H86" s="25" t="str">
        <f aca="false">IF($A86="","",IFERROR(INDEX(بند_سعر_الوحدة,MATCH($B86,قائمة_البنود,0)),0))</f>
        <v/>
      </c>
      <c r="I86" s="25" t="str">
        <f aca="false">IF($A86="","",H86*(1+نسبة_الضريبة))</f>
        <v/>
      </c>
      <c r="J86" s="33" t="str">
        <f aca="false">IF($A86="","",_xlfn.MINIFS('سجل المراجعات'!$E$5:$E$1504,'سجل المراجعات'!$A$5:$A$1504,$A86,'سجل المراجعات'!$D$5:$D$1504,"تسليم"))</f>
        <v/>
      </c>
      <c r="K86" s="33" t="str">
        <f aca="false">IF($A86="","",_xlfn.MAXIFS('سجل المراجعات'!$E$5:$E$1504,'سجل المراجعات'!$A$5:$A$1504,$A86,'سجل المراجعات'!$D$5:$D$1504,"تسليم"))</f>
        <v/>
      </c>
      <c r="L86" s="33" t="str">
        <f aca="false">IF($A86="","",_xlfn.MAXIFS('سجل المراجعات'!$E$5:$E$1504,'سجل المراجعات'!$A$5:$A$1504,$A86,'سجل المراجعات'!$D$5:$D$1504,"رد بملاحظات"))</f>
        <v/>
      </c>
      <c r="M86" s="33" t="str">
        <f aca="false">IF($A86="","",_xlfn.MAXIFS('سجل المراجعات'!$E$5:$E$1504,'سجل المراجعات'!$A$5:$A$1504,$A86,'سجل المراجعات'!$D$5:$D$1504,"قبول"))</f>
        <v/>
      </c>
      <c r="N86" s="26" t="str">
        <f aca="false">IF($A86="","",COUNTIFS('سجل المراجعات'!$A$5:$A$1504,$A86,'سجل المراجعات'!$D$5:$D$1504,"تسليم"))</f>
        <v/>
      </c>
      <c r="O86" s="34" t="str">
        <f aca="false">IF($A86="","",IF(M86&gt;0,"تم القبول",IF(F86="معلق","معلق",IF(AND(L86&gt;0,L86&gt;=K86),"مُعاد بملاحظات",IF(K86&gt;0,"في انتظار القبول",IF(AND(ISNUMBER(E86),E86&lt;تاريخ_الاحتساب),"متأخر",IF(F86="","لم يبدأ",F86)))))))</f>
        <v/>
      </c>
      <c r="P86" s="26" t="str">
        <f aca="false">IF($A86="","",SUMIFS('سجل المراجعات'!$L$5:$L$1504,'سجل المراجعات'!$A$5:$A$1504,$A86))</f>
        <v/>
      </c>
      <c r="Q86" s="26" t="str">
        <f aca="false">IF($A86="","",SUMIFS('سجل المراجعات'!$M$5:$M$1504,'سجل المراجعات'!$A$5:$A$1504,$A86))</f>
        <v/>
      </c>
      <c r="R86" s="26" t="str">
        <f aca="false">IF(OR($A86="",NOT(ISNUMBER(E86))),"",MAX(0,NETWORKDAYS.INTL(E86,IF(J86&gt;0,J86,تاريخ_الاحتساب),رمز_العطلة,أيام_الأجازات)-1))</f>
        <v/>
      </c>
      <c r="S86" s="22"/>
    </row>
    <row r="87" customFormat="false" ht="15" hidden="false" customHeight="false" outlineLevel="0" collapsed="false">
      <c r="A87" s="20"/>
      <c r="B87" s="20"/>
      <c r="C87" s="30" t="str">
        <f aca="false">IF($A87="","",IFERROR(INDEX(بند_الاسم,MATCH($B87,قائمة_البنود,0)),"⚠ بند غير موجود"))</f>
        <v/>
      </c>
      <c r="D87" s="22"/>
      <c r="E87" s="31"/>
      <c r="F87" s="21"/>
      <c r="G87" s="32"/>
      <c r="H87" s="25" t="str">
        <f aca="false">IF($A87="","",IFERROR(INDEX(بند_سعر_الوحدة,MATCH($B87,قائمة_البنود,0)),0))</f>
        <v/>
      </c>
      <c r="I87" s="25" t="str">
        <f aca="false">IF($A87="","",H87*(1+نسبة_الضريبة))</f>
        <v/>
      </c>
      <c r="J87" s="33" t="str">
        <f aca="false">IF($A87="","",_xlfn.MINIFS('سجل المراجعات'!$E$5:$E$1504,'سجل المراجعات'!$A$5:$A$1504,$A87,'سجل المراجعات'!$D$5:$D$1504,"تسليم"))</f>
        <v/>
      </c>
      <c r="K87" s="33" t="str">
        <f aca="false">IF($A87="","",_xlfn.MAXIFS('سجل المراجعات'!$E$5:$E$1504,'سجل المراجعات'!$A$5:$A$1504,$A87,'سجل المراجعات'!$D$5:$D$1504,"تسليم"))</f>
        <v/>
      </c>
      <c r="L87" s="33" t="str">
        <f aca="false">IF($A87="","",_xlfn.MAXIFS('سجل المراجعات'!$E$5:$E$1504,'سجل المراجعات'!$A$5:$A$1504,$A87,'سجل المراجعات'!$D$5:$D$1504,"رد بملاحظات"))</f>
        <v/>
      </c>
      <c r="M87" s="33" t="str">
        <f aca="false">IF($A87="","",_xlfn.MAXIFS('سجل المراجعات'!$E$5:$E$1504,'سجل المراجعات'!$A$5:$A$1504,$A87,'سجل المراجعات'!$D$5:$D$1504,"قبول"))</f>
        <v/>
      </c>
      <c r="N87" s="26" t="str">
        <f aca="false">IF($A87="","",COUNTIFS('سجل المراجعات'!$A$5:$A$1504,$A87,'سجل المراجعات'!$D$5:$D$1504,"تسليم"))</f>
        <v/>
      </c>
      <c r="O87" s="34" t="str">
        <f aca="false">IF($A87="","",IF(M87&gt;0,"تم القبول",IF(F87="معلق","معلق",IF(AND(L87&gt;0,L87&gt;=K87),"مُعاد بملاحظات",IF(K87&gt;0,"في انتظار القبول",IF(AND(ISNUMBER(E87),E87&lt;تاريخ_الاحتساب),"متأخر",IF(F87="","لم يبدأ",F87)))))))</f>
        <v/>
      </c>
      <c r="P87" s="26" t="str">
        <f aca="false">IF($A87="","",SUMIFS('سجل المراجعات'!$L$5:$L$1504,'سجل المراجعات'!$A$5:$A$1504,$A87))</f>
        <v/>
      </c>
      <c r="Q87" s="26" t="str">
        <f aca="false">IF($A87="","",SUMIFS('سجل المراجعات'!$M$5:$M$1504,'سجل المراجعات'!$A$5:$A$1504,$A87))</f>
        <v/>
      </c>
      <c r="R87" s="26" t="str">
        <f aca="false">IF(OR($A87="",NOT(ISNUMBER(E87))),"",MAX(0,NETWORKDAYS.INTL(E87,IF(J87&gt;0,J87,تاريخ_الاحتساب),رمز_العطلة,أيام_الأجازات)-1))</f>
        <v/>
      </c>
      <c r="S87" s="22"/>
    </row>
    <row r="88" customFormat="false" ht="15" hidden="false" customHeight="false" outlineLevel="0" collapsed="false">
      <c r="A88" s="20"/>
      <c r="B88" s="20"/>
      <c r="C88" s="30" t="str">
        <f aca="false">IF($A88="","",IFERROR(INDEX(بند_الاسم,MATCH($B88,قائمة_البنود,0)),"⚠ بند غير موجود"))</f>
        <v/>
      </c>
      <c r="D88" s="22"/>
      <c r="E88" s="31"/>
      <c r="F88" s="21"/>
      <c r="G88" s="32"/>
      <c r="H88" s="25" t="str">
        <f aca="false">IF($A88="","",IFERROR(INDEX(بند_سعر_الوحدة,MATCH($B88,قائمة_البنود,0)),0))</f>
        <v/>
      </c>
      <c r="I88" s="25" t="str">
        <f aca="false">IF($A88="","",H88*(1+نسبة_الضريبة))</f>
        <v/>
      </c>
      <c r="J88" s="33" t="str">
        <f aca="false">IF($A88="","",_xlfn.MINIFS('سجل المراجعات'!$E$5:$E$1504,'سجل المراجعات'!$A$5:$A$1504,$A88,'سجل المراجعات'!$D$5:$D$1504,"تسليم"))</f>
        <v/>
      </c>
      <c r="K88" s="33" t="str">
        <f aca="false">IF($A88="","",_xlfn.MAXIFS('سجل المراجعات'!$E$5:$E$1504,'سجل المراجعات'!$A$5:$A$1504,$A88,'سجل المراجعات'!$D$5:$D$1504,"تسليم"))</f>
        <v/>
      </c>
      <c r="L88" s="33" t="str">
        <f aca="false">IF($A88="","",_xlfn.MAXIFS('سجل المراجعات'!$E$5:$E$1504,'سجل المراجعات'!$A$5:$A$1504,$A88,'سجل المراجعات'!$D$5:$D$1504,"رد بملاحظات"))</f>
        <v/>
      </c>
      <c r="M88" s="33" t="str">
        <f aca="false">IF($A88="","",_xlfn.MAXIFS('سجل المراجعات'!$E$5:$E$1504,'سجل المراجعات'!$A$5:$A$1504,$A88,'سجل المراجعات'!$D$5:$D$1504,"قبول"))</f>
        <v/>
      </c>
      <c r="N88" s="26" t="str">
        <f aca="false">IF($A88="","",COUNTIFS('سجل المراجعات'!$A$5:$A$1504,$A88,'سجل المراجعات'!$D$5:$D$1504,"تسليم"))</f>
        <v/>
      </c>
      <c r="O88" s="34" t="str">
        <f aca="false">IF($A88="","",IF(M88&gt;0,"تم القبول",IF(F88="معلق","معلق",IF(AND(L88&gt;0,L88&gt;=K88),"مُعاد بملاحظات",IF(K88&gt;0,"في انتظار القبول",IF(AND(ISNUMBER(E88),E88&lt;تاريخ_الاحتساب),"متأخر",IF(F88="","لم يبدأ",F88)))))))</f>
        <v/>
      </c>
      <c r="P88" s="26" t="str">
        <f aca="false">IF($A88="","",SUMIFS('سجل المراجعات'!$L$5:$L$1504,'سجل المراجعات'!$A$5:$A$1504,$A88))</f>
        <v/>
      </c>
      <c r="Q88" s="26" t="str">
        <f aca="false">IF($A88="","",SUMIFS('سجل المراجعات'!$M$5:$M$1504,'سجل المراجعات'!$A$5:$A$1504,$A88))</f>
        <v/>
      </c>
      <c r="R88" s="26" t="str">
        <f aca="false">IF(OR($A88="",NOT(ISNUMBER(E88))),"",MAX(0,NETWORKDAYS.INTL(E88,IF(J88&gt;0,J88,تاريخ_الاحتساب),رمز_العطلة,أيام_الأجازات)-1))</f>
        <v/>
      </c>
      <c r="S88" s="22"/>
    </row>
    <row r="89" customFormat="false" ht="15" hidden="false" customHeight="false" outlineLevel="0" collapsed="false">
      <c r="A89" s="20"/>
      <c r="B89" s="20"/>
      <c r="C89" s="30" t="str">
        <f aca="false">IF($A89="","",IFERROR(INDEX(بند_الاسم,MATCH($B89,قائمة_البنود,0)),"⚠ بند غير موجود"))</f>
        <v/>
      </c>
      <c r="D89" s="22"/>
      <c r="E89" s="31"/>
      <c r="F89" s="21"/>
      <c r="G89" s="32"/>
      <c r="H89" s="25" t="str">
        <f aca="false">IF($A89="","",IFERROR(INDEX(بند_سعر_الوحدة,MATCH($B89,قائمة_البنود,0)),0))</f>
        <v/>
      </c>
      <c r="I89" s="25" t="str">
        <f aca="false">IF($A89="","",H89*(1+نسبة_الضريبة))</f>
        <v/>
      </c>
      <c r="J89" s="33" t="str">
        <f aca="false">IF($A89="","",_xlfn.MINIFS('سجل المراجعات'!$E$5:$E$1504,'سجل المراجعات'!$A$5:$A$1504,$A89,'سجل المراجعات'!$D$5:$D$1504,"تسليم"))</f>
        <v/>
      </c>
      <c r="K89" s="33" t="str">
        <f aca="false">IF($A89="","",_xlfn.MAXIFS('سجل المراجعات'!$E$5:$E$1504,'سجل المراجعات'!$A$5:$A$1504,$A89,'سجل المراجعات'!$D$5:$D$1504,"تسليم"))</f>
        <v/>
      </c>
      <c r="L89" s="33" t="str">
        <f aca="false">IF($A89="","",_xlfn.MAXIFS('سجل المراجعات'!$E$5:$E$1504,'سجل المراجعات'!$A$5:$A$1504,$A89,'سجل المراجعات'!$D$5:$D$1504,"رد بملاحظات"))</f>
        <v/>
      </c>
      <c r="M89" s="33" t="str">
        <f aca="false">IF($A89="","",_xlfn.MAXIFS('سجل المراجعات'!$E$5:$E$1504,'سجل المراجعات'!$A$5:$A$1504,$A89,'سجل المراجعات'!$D$5:$D$1504,"قبول"))</f>
        <v/>
      </c>
      <c r="N89" s="26" t="str">
        <f aca="false">IF($A89="","",COUNTIFS('سجل المراجعات'!$A$5:$A$1504,$A89,'سجل المراجعات'!$D$5:$D$1504,"تسليم"))</f>
        <v/>
      </c>
      <c r="O89" s="34" t="str">
        <f aca="false">IF($A89="","",IF(M89&gt;0,"تم القبول",IF(F89="معلق","معلق",IF(AND(L89&gt;0,L89&gt;=K89),"مُعاد بملاحظات",IF(K89&gt;0,"في انتظار القبول",IF(AND(ISNUMBER(E89),E89&lt;تاريخ_الاحتساب),"متأخر",IF(F89="","لم يبدأ",F89)))))))</f>
        <v/>
      </c>
      <c r="P89" s="26" t="str">
        <f aca="false">IF($A89="","",SUMIFS('سجل المراجعات'!$L$5:$L$1504,'سجل المراجعات'!$A$5:$A$1504,$A89))</f>
        <v/>
      </c>
      <c r="Q89" s="26" t="str">
        <f aca="false">IF($A89="","",SUMIFS('سجل المراجعات'!$M$5:$M$1504,'سجل المراجعات'!$A$5:$A$1504,$A89))</f>
        <v/>
      </c>
      <c r="R89" s="26" t="str">
        <f aca="false">IF(OR($A89="",NOT(ISNUMBER(E89))),"",MAX(0,NETWORKDAYS.INTL(E89,IF(J89&gt;0,J89,تاريخ_الاحتساب),رمز_العطلة,أيام_الأجازات)-1))</f>
        <v/>
      </c>
      <c r="S89" s="22"/>
    </row>
    <row r="90" customFormat="false" ht="15" hidden="false" customHeight="false" outlineLevel="0" collapsed="false">
      <c r="A90" s="20"/>
      <c r="B90" s="20"/>
      <c r="C90" s="30" t="str">
        <f aca="false">IF($A90="","",IFERROR(INDEX(بند_الاسم,MATCH($B90,قائمة_البنود,0)),"⚠ بند غير موجود"))</f>
        <v/>
      </c>
      <c r="D90" s="22"/>
      <c r="E90" s="31"/>
      <c r="F90" s="21"/>
      <c r="G90" s="32"/>
      <c r="H90" s="25" t="str">
        <f aca="false">IF($A90="","",IFERROR(INDEX(بند_سعر_الوحدة,MATCH($B90,قائمة_البنود,0)),0))</f>
        <v/>
      </c>
      <c r="I90" s="25" t="str">
        <f aca="false">IF($A90="","",H90*(1+نسبة_الضريبة))</f>
        <v/>
      </c>
      <c r="J90" s="33" t="str">
        <f aca="false">IF($A90="","",_xlfn.MINIFS('سجل المراجعات'!$E$5:$E$1504,'سجل المراجعات'!$A$5:$A$1504,$A90,'سجل المراجعات'!$D$5:$D$1504,"تسليم"))</f>
        <v/>
      </c>
      <c r="K90" s="33" t="str">
        <f aca="false">IF($A90="","",_xlfn.MAXIFS('سجل المراجعات'!$E$5:$E$1504,'سجل المراجعات'!$A$5:$A$1504,$A90,'سجل المراجعات'!$D$5:$D$1504,"تسليم"))</f>
        <v/>
      </c>
      <c r="L90" s="33" t="str">
        <f aca="false">IF($A90="","",_xlfn.MAXIFS('سجل المراجعات'!$E$5:$E$1504,'سجل المراجعات'!$A$5:$A$1504,$A90,'سجل المراجعات'!$D$5:$D$1504,"رد بملاحظات"))</f>
        <v/>
      </c>
      <c r="M90" s="33" t="str">
        <f aca="false">IF($A90="","",_xlfn.MAXIFS('سجل المراجعات'!$E$5:$E$1504,'سجل المراجعات'!$A$5:$A$1504,$A90,'سجل المراجعات'!$D$5:$D$1504,"قبول"))</f>
        <v/>
      </c>
      <c r="N90" s="26" t="str">
        <f aca="false">IF($A90="","",COUNTIFS('سجل المراجعات'!$A$5:$A$1504,$A90,'سجل المراجعات'!$D$5:$D$1504,"تسليم"))</f>
        <v/>
      </c>
      <c r="O90" s="34" t="str">
        <f aca="false">IF($A90="","",IF(M90&gt;0,"تم القبول",IF(F90="معلق","معلق",IF(AND(L90&gt;0,L90&gt;=K90),"مُعاد بملاحظات",IF(K90&gt;0,"في انتظار القبول",IF(AND(ISNUMBER(E90),E90&lt;تاريخ_الاحتساب),"متأخر",IF(F90="","لم يبدأ",F90)))))))</f>
        <v/>
      </c>
      <c r="P90" s="26" t="str">
        <f aca="false">IF($A90="","",SUMIFS('سجل المراجعات'!$L$5:$L$1504,'سجل المراجعات'!$A$5:$A$1504,$A90))</f>
        <v/>
      </c>
      <c r="Q90" s="26" t="str">
        <f aca="false">IF($A90="","",SUMIFS('سجل المراجعات'!$M$5:$M$1504,'سجل المراجعات'!$A$5:$A$1504,$A90))</f>
        <v/>
      </c>
      <c r="R90" s="26" t="str">
        <f aca="false">IF(OR($A90="",NOT(ISNUMBER(E90))),"",MAX(0,NETWORKDAYS.INTL(E90,IF(J90&gt;0,J90,تاريخ_الاحتساب),رمز_العطلة,أيام_الأجازات)-1))</f>
        <v/>
      </c>
      <c r="S90" s="22"/>
    </row>
    <row r="91" customFormat="false" ht="15" hidden="false" customHeight="false" outlineLevel="0" collapsed="false">
      <c r="A91" s="20"/>
      <c r="B91" s="20"/>
      <c r="C91" s="30" t="str">
        <f aca="false">IF($A91="","",IFERROR(INDEX(بند_الاسم,MATCH($B91,قائمة_البنود,0)),"⚠ بند غير موجود"))</f>
        <v/>
      </c>
      <c r="D91" s="22"/>
      <c r="E91" s="31"/>
      <c r="F91" s="21"/>
      <c r="G91" s="32"/>
      <c r="H91" s="25" t="str">
        <f aca="false">IF($A91="","",IFERROR(INDEX(بند_سعر_الوحدة,MATCH($B91,قائمة_البنود,0)),0))</f>
        <v/>
      </c>
      <c r="I91" s="25" t="str">
        <f aca="false">IF($A91="","",H91*(1+نسبة_الضريبة))</f>
        <v/>
      </c>
      <c r="J91" s="33" t="str">
        <f aca="false">IF($A91="","",_xlfn.MINIFS('سجل المراجعات'!$E$5:$E$1504,'سجل المراجعات'!$A$5:$A$1504,$A91,'سجل المراجعات'!$D$5:$D$1504,"تسليم"))</f>
        <v/>
      </c>
      <c r="K91" s="33" t="str">
        <f aca="false">IF($A91="","",_xlfn.MAXIFS('سجل المراجعات'!$E$5:$E$1504,'سجل المراجعات'!$A$5:$A$1504,$A91,'سجل المراجعات'!$D$5:$D$1504,"تسليم"))</f>
        <v/>
      </c>
      <c r="L91" s="33" t="str">
        <f aca="false">IF($A91="","",_xlfn.MAXIFS('سجل المراجعات'!$E$5:$E$1504,'سجل المراجعات'!$A$5:$A$1504,$A91,'سجل المراجعات'!$D$5:$D$1504,"رد بملاحظات"))</f>
        <v/>
      </c>
      <c r="M91" s="33" t="str">
        <f aca="false">IF($A91="","",_xlfn.MAXIFS('سجل المراجعات'!$E$5:$E$1504,'سجل المراجعات'!$A$5:$A$1504,$A91,'سجل المراجعات'!$D$5:$D$1504,"قبول"))</f>
        <v/>
      </c>
      <c r="N91" s="26" t="str">
        <f aca="false">IF($A91="","",COUNTIFS('سجل المراجعات'!$A$5:$A$1504,$A91,'سجل المراجعات'!$D$5:$D$1504,"تسليم"))</f>
        <v/>
      </c>
      <c r="O91" s="34" t="str">
        <f aca="false">IF($A91="","",IF(M91&gt;0,"تم القبول",IF(F91="معلق","معلق",IF(AND(L91&gt;0,L91&gt;=K91),"مُعاد بملاحظات",IF(K91&gt;0,"في انتظار القبول",IF(AND(ISNUMBER(E91),E91&lt;تاريخ_الاحتساب),"متأخر",IF(F91="","لم يبدأ",F91)))))))</f>
        <v/>
      </c>
      <c r="P91" s="26" t="str">
        <f aca="false">IF($A91="","",SUMIFS('سجل المراجعات'!$L$5:$L$1504,'سجل المراجعات'!$A$5:$A$1504,$A91))</f>
        <v/>
      </c>
      <c r="Q91" s="26" t="str">
        <f aca="false">IF($A91="","",SUMIFS('سجل المراجعات'!$M$5:$M$1504,'سجل المراجعات'!$A$5:$A$1504,$A91))</f>
        <v/>
      </c>
      <c r="R91" s="26" t="str">
        <f aca="false">IF(OR($A91="",NOT(ISNUMBER(E91))),"",MAX(0,NETWORKDAYS.INTL(E91,IF(J91&gt;0,J91,تاريخ_الاحتساب),رمز_العطلة,أيام_الأجازات)-1))</f>
        <v/>
      </c>
      <c r="S91" s="22"/>
    </row>
    <row r="92" customFormat="false" ht="15" hidden="false" customHeight="false" outlineLevel="0" collapsed="false">
      <c r="A92" s="20"/>
      <c r="B92" s="20"/>
      <c r="C92" s="30" t="str">
        <f aca="false">IF($A92="","",IFERROR(INDEX(بند_الاسم,MATCH($B92,قائمة_البنود,0)),"⚠ بند غير موجود"))</f>
        <v/>
      </c>
      <c r="D92" s="22"/>
      <c r="E92" s="31"/>
      <c r="F92" s="21"/>
      <c r="G92" s="32"/>
      <c r="H92" s="25" t="str">
        <f aca="false">IF($A92="","",IFERROR(INDEX(بند_سعر_الوحدة,MATCH($B92,قائمة_البنود,0)),0))</f>
        <v/>
      </c>
      <c r="I92" s="25" t="str">
        <f aca="false">IF($A92="","",H92*(1+نسبة_الضريبة))</f>
        <v/>
      </c>
      <c r="J92" s="33" t="str">
        <f aca="false">IF($A92="","",_xlfn.MINIFS('سجل المراجعات'!$E$5:$E$1504,'سجل المراجعات'!$A$5:$A$1504,$A92,'سجل المراجعات'!$D$5:$D$1504,"تسليم"))</f>
        <v/>
      </c>
      <c r="K92" s="33" t="str">
        <f aca="false">IF($A92="","",_xlfn.MAXIFS('سجل المراجعات'!$E$5:$E$1504,'سجل المراجعات'!$A$5:$A$1504,$A92,'سجل المراجعات'!$D$5:$D$1504,"تسليم"))</f>
        <v/>
      </c>
      <c r="L92" s="33" t="str">
        <f aca="false">IF($A92="","",_xlfn.MAXIFS('سجل المراجعات'!$E$5:$E$1504,'سجل المراجعات'!$A$5:$A$1504,$A92,'سجل المراجعات'!$D$5:$D$1504,"رد بملاحظات"))</f>
        <v/>
      </c>
      <c r="M92" s="33" t="str">
        <f aca="false">IF($A92="","",_xlfn.MAXIFS('سجل المراجعات'!$E$5:$E$1504,'سجل المراجعات'!$A$5:$A$1504,$A92,'سجل المراجعات'!$D$5:$D$1504,"قبول"))</f>
        <v/>
      </c>
      <c r="N92" s="26" t="str">
        <f aca="false">IF($A92="","",COUNTIFS('سجل المراجعات'!$A$5:$A$1504,$A92,'سجل المراجعات'!$D$5:$D$1504,"تسليم"))</f>
        <v/>
      </c>
      <c r="O92" s="34" t="str">
        <f aca="false">IF($A92="","",IF(M92&gt;0,"تم القبول",IF(F92="معلق","معلق",IF(AND(L92&gt;0,L92&gt;=K92),"مُعاد بملاحظات",IF(K92&gt;0,"في انتظار القبول",IF(AND(ISNUMBER(E92),E92&lt;تاريخ_الاحتساب),"متأخر",IF(F92="","لم يبدأ",F92)))))))</f>
        <v/>
      </c>
      <c r="P92" s="26" t="str">
        <f aca="false">IF($A92="","",SUMIFS('سجل المراجعات'!$L$5:$L$1504,'سجل المراجعات'!$A$5:$A$1504,$A92))</f>
        <v/>
      </c>
      <c r="Q92" s="26" t="str">
        <f aca="false">IF($A92="","",SUMIFS('سجل المراجعات'!$M$5:$M$1504,'سجل المراجعات'!$A$5:$A$1504,$A92))</f>
        <v/>
      </c>
      <c r="R92" s="26" t="str">
        <f aca="false">IF(OR($A92="",NOT(ISNUMBER(E92))),"",MAX(0,NETWORKDAYS.INTL(E92,IF(J92&gt;0,J92,تاريخ_الاحتساب),رمز_العطلة,أيام_الأجازات)-1))</f>
        <v/>
      </c>
      <c r="S92" s="22"/>
    </row>
    <row r="93" customFormat="false" ht="15" hidden="false" customHeight="false" outlineLevel="0" collapsed="false">
      <c r="A93" s="20"/>
      <c r="B93" s="20"/>
      <c r="C93" s="30" t="str">
        <f aca="false">IF($A93="","",IFERROR(INDEX(بند_الاسم,MATCH($B93,قائمة_البنود,0)),"⚠ بند غير موجود"))</f>
        <v/>
      </c>
      <c r="D93" s="22"/>
      <c r="E93" s="31"/>
      <c r="F93" s="21"/>
      <c r="G93" s="32"/>
      <c r="H93" s="25" t="str">
        <f aca="false">IF($A93="","",IFERROR(INDEX(بند_سعر_الوحدة,MATCH($B93,قائمة_البنود,0)),0))</f>
        <v/>
      </c>
      <c r="I93" s="25" t="str">
        <f aca="false">IF($A93="","",H93*(1+نسبة_الضريبة))</f>
        <v/>
      </c>
      <c r="J93" s="33" t="str">
        <f aca="false">IF($A93="","",_xlfn.MINIFS('سجل المراجعات'!$E$5:$E$1504,'سجل المراجعات'!$A$5:$A$1504,$A93,'سجل المراجعات'!$D$5:$D$1504,"تسليم"))</f>
        <v/>
      </c>
      <c r="K93" s="33" t="str">
        <f aca="false">IF($A93="","",_xlfn.MAXIFS('سجل المراجعات'!$E$5:$E$1504,'سجل المراجعات'!$A$5:$A$1504,$A93,'سجل المراجعات'!$D$5:$D$1504,"تسليم"))</f>
        <v/>
      </c>
      <c r="L93" s="33" t="str">
        <f aca="false">IF($A93="","",_xlfn.MAXIFS('سجل المراجعات'!$E$5:$E$1504,'سجل المراجعات'!$A$5:$A$1504,$A93,'سجل المراجعات'!$D$5:$D$1504,"رد بملاحظات"))</f>
        <v/>
      </c>
      <c r="M93" s="33" t="str">
        <f aca="false">IF($A93="","",_xlfn.MAXIFS('سجل المراجعات'!$E$5:$E$1504,'سجل المراجعات'!$A$5:$A$1504,$A93,'سجل المراجعات'!$D$5:$D$1504,"قبول"))</f>
        <v/>
      </c>
      <c r="N93" s="26" t="str">
        <f aca="false">IF($A93="","",COUNTIFS('سجل المراجعات'!$A$5:$A$1504,$A93,'سجل المراجعات'!$D$5:$D$1504,"تسليم"))</f>
        <v/>
      </c>
      <c r="O93" s="34" t="str">
        <f aca="false">IF($A93="","",IF(M93&gt;0,"تم القبول",IF(F93="معلق","معلق",IF(AND(L93&gt;0,L93&gt;=K93),"مُعاد بملاحظات",IF(K93&gt;0,"في انتظار القبول",IF(AND(ISNUMBER(E93),E93&lt;تاريخ_الاحتساب),"متأخر",IF(F93="","لم يبدأ",F93)))))))</f>
        <v/>
      </c>
      <c r="P93" s="26" t="str">
        <f aca="false">IF($A93="","",SUMIFS('سجل المراجعات'!$L$5:$L$1504,'سجل المراجعات'!$A$5:$A$1504,$A93))</f>
        <v/>
      </c>
      <c r="Q93" s="26" t="str">
        <f aca="false">IF($A93="","",SUMIFS('سجل المراجعات'!$M$5:$M$1504,'سجل المراجعات'!$A$5:$A$1504,$A93))</f>
        <v/>
      </c>
      <c r="R93" s="26" t="str">
        <f aca="false">IF(OR($A93="",NOT(ISNUMBER(E93))),"",MAX(0,NETWORKDAYS.INTL(E93,IF(J93&gt;0,J93,تاريخ_الاحتساب),رمز_العطلة,أيام_الأجازات)-1))</f>
        <v/>
      </c>
      <c r="S93" s="22"/>
    </row>
    <row r="94" customFormat="false" ht="15" hidden="false" customHeight="false" outlineLevel="0" collapsed="false">
      <c r="A94" s="20"/>
      <c r="B94" s="20"/>
      <c r="C94" s="30" t="str">
        <f aca="false">IF($A94="","",IFERROR(INDEX(بند_الاسم,MATCH($B94,قائمة_البنود,0)),"⚠ بند غير موجود"))</f>
        <v/>
      </c>
      <c r="D94" s="22"/>
      <c r="E94" s="31"/>
      <c r="F94" s="21"/>
      <c r="G94" s="32"/>
      <c r="H94" s="25" t="str">
        <f aca="false">IF($A94="","",IFERROR(INDEX(بند_سعر_الوحدة,MATCH($B94,قائمة_البنود,0)),0))</f>
        <v/>
      </c>
      <c r="I94" s="25" t="str">
        <f aca="false">IF($A94="","",H94*(1+نسبة_الضريبة))</f>
        <v/>
      </c>
      <c r="J94" s="33" t="str">
        <f aca="false">IF($A94="","",_xlfn.MINIFS('سجل المراجعات'!$E$5:$E$1504,'سجل المراجعات'!$A$5:$A$1504,$A94,'سجل المراجعات'!$D$5:$D$1504,"تسليم"))</f>
        <v/>
      </c>
      <c r="K94" s="33" t="str">
        <f aca="false">IF($A94="","",_xlfn.MAXIFS('سجل المراجعات'!$E$5:$E$1504,'سجل المراجعات'!$A$5:$A$1504,$A94,'سجل المراجعات'!$D$5:$D$1504,"تسليم"))</f>
        <v/>
      </c>
      <c r="L94" s="33" t="str">
        <f aca="false">IF($A94="","",_xlfn.MAXIFS('سجل المراجعات'!$E$5:$E$1504,'سجل المراجعات'!$A$5:$A$1504,$A94,'سجل المراجعات'!$D$5:$D$1504,"رد بملاحظات"))</f>
        <v/>
      </c>
      <c r="M94" s="33" t="str">
        <f aca="false">IF($A94="","",_xlfn.MAXIFS('سجل المراجعات'!$E$5:$E$1504,'سجل المراجعات'!$A$5:$A$1504,$A94,'سجل المراجعات'!$D$5:$D$1504,"قبول"))</f>
        <v/>
      </c>
      <c r="N94" s="26" t="str">
        <f aca="false">IF($A94="","",COUNTIFS('سجل المراجعات'!$A$5:$A$1504,$A94,'سجل المراجعات'!$D$5:$D$1504,"تسليم"))</f>
        <v/>
      </c>
      <c r="O94" s="34" t="str">
        <f aca="false">IF($A94="","",IF(M94&gt;0,"تم القبول",IF(F94="معلق","معلق",IF(AND(L94&gt;0,L94&gt;=K94),"مُعاد بملاحظات",IF(K94&gt;0,"في انتظار القبول",IF(AND(ISNUMBER(E94),E94&lt;تاريخ_الاحتساب),"متأخر",IF(F94="","لم يبدأ",F94)))))))</f>
        <v/>
      </c>
      <c r="P94" s="26" t="str">
        <f aca="false">IF($A94="","",SUMIFS('سجل المراجعات'!$L$5:$L$1504,'سجل المراجعات'!$A$5:$A$1504,$A94))</f>
        <v/>
      </c>
      <c r="Q94" s="26" t="str">
        <f aca="false">IF($A94="","",SUMIFS('سجل المراجعات'!$M$5:$M$1504,'سجل المراجعات'!$A$5:$A$1504,$A94))</f>
        <v/>
      </c>
      <c r="R94" s="26" t="str">
        <f aca="false">IF(OR($A94="",NOT(ISNUMBER(E94))),"",MAX(0,NETWORKDAYS.INTL(E94,IF(J94&gt;0,J94,تاريخ_الاحتساب),رمز_العطلة,أيام_الأجازات)-1))</f>
        <v/>
      </c>
      <c r="S94" s="22"/>
    </row>
    <row r="95" customFormat="false" ht="15" hidden="false" customHeight="false" outlineLevel="0" collapsed="false">
      <c r="A95" s="20"/>
      <c r="B95" s="20"/>
      <c r="C95" s="30" t="str">
        <f aca="false">IF($A95="","",IFERROR(INDEX(بند_الاسم,MATCH($B95,قائمة_البنود,0)),"⚠ بند غير موجود"))</f>
        <v/>
      </c>
      <c r="D95" s="22"/>
      <c r="E95" s="31"/>
      <c r="F95" s="21"/>
      <c r="G95" s="32"/>
      <c r="H95" s="25" t="str">
        <f aca="false">IF($A95="","",IFERROR(INDEX(بند_سعر_الوحدة,MATCH($B95,قائمة_البنود,0)),0))</f>
        <v/>
      </c>
      <c r="I95" s="25" t="str">
        <f aca="false">IF($A95="","",H95*(1+نسبة_الضريبة))</f>
        <v/>
      </c>
      <c r="J95" s="33" t="str">
        <f aca="false">IF($A95="","",_xlfn.MINIFS('سجل المراجعات'!$E$5:$E$1504,'سجل المراجعات'!$A$5:$A$1504,$A95,'سجل المراجعات'!$D$5:$D$1504,"تسليم"))</f>
        <v/>
      </c>
      <c r="K95" s="33" t="str">
        <f aca="false">IF($A95="","",_xlfn.MAXIFS('سجل المراجعات'!$E$5:$E$1504,'سجل المراجعات'!$A$5:$A$1504,$A95,'سجل المراجعات'!$D$5:$D$1504,"تسليم"))</f>
        <v/>
      </c>
      <c r="L95" s="33" t="str">
        <f aca="false">IF($A95="","",_xlfn.MAXIFS('سجل المراجعات'!$E$5:$E$1504,'سجل المراجعات'!$A$5:$A$1504,$A95,'سجل المراجعات'!$D$5:$D$1504,"رد بملاحظات"))</f>
        <v/>
      </c>
      <c r="M95" s="33" t="str">
        <f aca="false">IF($A95="","",_xlfn.MAXIFS('سجل المراجعات'!$E$5:$E$1504,'سجل المراجعات'!$A$5:$A$1504,$A95,'سجل المراجعات'!$D$5:$D$1504,"قبول"))</f>
        <v/>
      </c>
      <c r="N95" s="26" t="str">
        <f aca="false">IF($A95="","",COUNTIFS('سجل المراجعات'!$A$5:$A$1504,$A95,'سجل المراجعات'!$D$5:$D$1504,"تسليم"))</f>
        <v/>
      </c>
      <c r="O95" s="34" t="str">
        <f aca="false">IF($A95="","",IF(M95&gt;0,"تم القبول",IF(F95="معلق","معلق",IF(AND(L95&gt;0,L95&gt;=K95),"مُعاد بملاحظات",IF(K95&gt;0,"في انتظار القبول",IF(AND(ISNUMBER(E95),E95&lt;تاريخ_الاحتساب),"متأخر",IF(F95="","لم يبدأ",F95)))))))</f>
        <v/>
      </c>
      <c r="P95" s="26" t="str">
        <f aca="false">IF($A95="","",SUMIFS('سجل المراجعات'!$L$5:$L$1504,'سجل المراجعات'!$A$5:$A$1504,$A95))</f>
        <v/>
      </c>
      <c r="Q95" s="26" t="str">
        <f aca="false">IF($A95="","",SUMIFS('سجل المراجعات'!$M$5:$M$1504,'سجل المراجعات'!$A$5:$A$1504,$A95))</f>
        <v/>
      </c>
      <c r="R95" s="26" t="str">
        <f aca="false">IF(OR($A95="",NOT(ISNUMBER(E95))),"",MAX(0,NETWORKDAYS.INTL(E95,IF(J95&gt;0,J95,تاريخ_الاحتساب),رمز_العطلة,أيام_الأجازات)-1))</f>
        <v/>
      </c>
      <c r="S95" s="22"/>
    </row>
    <row r="96" customFormat="false" ht="15" hidden="false" customHeight="false" outlineLevel="0" collapsed="false">
      <c r="A96" s="20"/>
      <c r="B96" s="20"/>
      <c r="C96" s="30" t="str">
        <f aca="false">IF($A96="","",IFERROR(INDEX(بند_الاسم,MATCH($B96,قائمة_البنود,0)),"⚠ بند غير موجود"))</f>
        <v/>
      </c>
      <c r="D96" s="22"/>
      <c r="E96" s="31"/>
      <c r="F96" s="21"/>
      <c r="G96" s="32"/>
      <c r="H96" s="25" t="str">
        <f aca="false">IF($A96="","",IFERROR(INDEX(بند_سعر_الوحدة,MATCH($B96,قائمة_البنود,0)),0))</f>
        <v/>
      </c>
      <c r="I96" s="25" t="str">
        <f aca="false">IF($A96="","",H96*(1+نسبة_الضريبة))</f>
        <v/>
      </c>
      <c r="J96" s="33" t="str">
        <f aca="false">IF($A96="","",_xlfn.MINIFS('سجل المراجعات'!$E$5:$E$1504,'سجل المراجعات'!$A$5:$A$1504,$A96,'سجل المراجعات'!$D$5:$D$1504,"تسليم"))</f>
        <v/>
      </c>
      <c r="K96" s="33" t="str">
        <f aca="false">IF($A96="","",_xlfn.MAXIFS('سجل المراجعات'!$E$5:$E$1504,'سجل المراجعات'!$A$5:$A$1504,$A96,'سجل المراجعات'!$D$5:$D$1504,"تسليم"))</f>
        <v/>
      </c>
      <c r="L96" s="33" t="str">
        <f aca="false">IF($A96="","",_xlfn.MAXIFS('سجل المراجعات'!$E$5:$E$1504,'سجل المراجعات'!$A$5:$A$1504,$A96,'سجل المراجعات'!$D$5:$D$1504,"رد بملاحظات"))</f>
        <v/>
      </c>
      <c r="M96" s="33" t="str">
        <f aca="false">IF($A96="","",_xlfn.MAXIFS('سجل المراجعات'!$E$5:$E$1504,'سجل المراجعات'!$A$5:$A$1504,$A96,'سجل المراجعات'!$D$5:$D$1504,"قبول"))</f>
        <v/>
      </c>
      <c r="N96" s="26" t="str">
        <f aca="false">IF($A96="","",COUNTIFS('سجل المراجعات'!$A$5:$A$1504,$A96,'سجل المراجعات'!$D$5:$D$1504,"تسليم"))</f>
        <v/>
      </c>
      <c r="O96" s="34" t="str">
        <f aca="false">IF($A96="","",IF(M96&gt;0,"تم القبول",IF(F96="معلق","معلق",IF(AND(L96&gt;0,L96&gt;=K96),"مُعاد بملاحظات",IF(K96&gt;0,"في انتظار القبول",IF(AND(ISNUMBER(E96),E96&lt;تاريخ_الاحتساب),"متأخر",IF(F96="","لم يبدأ",F96)))))))</f>
        <v/>
      </c>
      <c r="P96" s="26" t="str">
        <f aca="false">IF($A96="","",SUMIFS('سجل المراجعات'!$L$5:$L$1504,'سجل المراجعات'!$A$5:$A$1504,$A96))</f>
        <v/>
      </c>
      <c r="Q96" s="26" t="str">
        <f aca="false">IF($A96="","",SUMIFS('سجل المراجعات'!$M$5:$M$1504,'سجل المراجعات'!$A$5:$A$1504,$A96))</f>
        <v/>
      </c>
      <c r="R96" s="26" t="str">
        <f aca="false">IF(OR($A96="",NOT(ISNUMBER(E96))),"",MAX(0,NETWORKDAYS.INTL(E96,IF(J96&gt;0,J96,تاريخ_الاحتساب),رمز_العطلة,أيام_الأجازات)-1))</f>
        <v/>
      </c>
      <c r="S96" s="22"/>
    </row>
    <row r="97" customFormat="false" ht="15" hidden="false" customHeight="false" outlineLevel="0" collapsed="false">
      <c r="A97" s="20"/>
      <c r="B97" s="20"/>
      <c r="C97" s="30" t="str">
        <f aca="false">IF($A97="","",IFERROR(INDEX(بند_الاسم,MATCH($B97,قائمة_البنود,0)),"⚠ بند غير موجود"))</f>
        <v/>
      </c>
      <c r="D97" s="22"/>
      <c r="E97" s="31"/>
      <c r="F97" s="21"/>
      <c r="G97" s="32"/>
      <c r="H97" s="25" t="str">
        <f aca="false">IF($A97="","",IFERROR(INDEX(بند_سعر_الوحدة,MATCH($B97,قائمة_البنود,0)),0))</f>
        <v/>
      </c>
      <c r="I97" s="25" t="str">
        <f aca="false">IF($A97="","",H97*(1+نسبة_الضريبة))</f>
        <v/>
      </c>
      <c r="J97" s="33" t="str">
        <f aca="false">IF($A97="","",_xlfn.MINIFS('سجل المراجعات'!$E$5:$E$1504,'سجل المراجعات'!$A$5:$A$1504,$A97,'سجل المراجعات'!$D$5:$D$1504,"تسليم"))</f>
        <v/>
      </c>
      <c r="K97" s="33" t="str">
        <f aca="false">IF($A97="","",_xlfn.MAXIFS('سجل المراجعات'!$E$5:$E$1504,'سجل المراجعات'!$A$5:$A$1504,$A97,'سجل المراجعات'!$D$5:$D$1504,"تسليم"))</f>
        <v/>
      </c>
      <c r="L97" s="33" t="str">
        <f aca="false">IF($A97="","",_xlfn.MAXIFS('سجل المراجعات'!$E$5:$E$1504,'سجل المراجعات'!$A$5:$A$1504,$A97,'سجل المراجعات'!$D$5:$D$1504,"رد بملاحظات"))</f>
        <v/>
      </c>
      <c r="M97" s="33" t="str">
        <f aca="false">IF($A97="","",_xlfn.MAXIFS('سجل المراجعات'!$E$5:$E$1504,'سجل المراجعات'!$A$5:$A$1504,$A97,'سجل المراجعات'!$D$5:$D$1504,"قبول"))</f>
        <v/>
      </c>
      <c r="N97" s="26" t="str">
        <f aca="false">IF($A97="","",COUNTIFS('سجل المراجعات'!$A$5:$A$1504,$A97,'سجل المراجعات'!$D$5:$D$1504,"تسليم"))</f>
        <v/>
      </c>
      <c r="O97" s="34" t="str">
        <f aca="false">IF($A97="","",IF(M97&gt;0,"تم القبول",IF(F97="معلق","معلق",IF(AND(L97&gt;0,L97&gt;=K97),"مُعاد بملاحظات",IF(K97&gt;0,"في انتظار القبول",IF(AND(ISNUMBER(E97),E97&lt;تاريخ_الاحتساب),"متأخر",IF(F97="","لم يبدأ",F97)))))))</f>
        <v/>
      </c>
      <c r="P97" s="26" t="str">
        <f aca="false">IF($A97="","",SUMIFS('سجل المراجعات'!$L$5:$L$1504,'سجل المراجعات'!$A$5:$A$1504,$A97))</f>
        <v/>
      </c>
      <c r="Q97" s="26" t="str">
        <f aca="false">IF($A97="","",SUMIFS('سجل المراجعات'!$M$5:$M$1504,'سجل المراجعات'!$A$5:$A$1504,$A97))</f>
        <v/>
      </c>
      <c r="R97" s="26" t="str">
        <f aca="false">IF(OR($A97="",NOT(ISNUMBER(E97))),"",MAX(0,NETWORKDAYS.INTL(E97,IF(J97&gt;0,J97,تاريخ_الاحتساب),رمز_العطلة,أيام_الأجازات)-1))</f>
        <v/>
      </c>
      <c r="S97" s="22"/>
    </row>
    <row r="98" customFormat="false" ht="15" hidden="false" customHeight="false" outlineLevel="0" collapsed="false">
      <c r="A98" s="20"/>
      <c r="B98" s="20"/>
      <c r="C98" s="30" t="str">
        <f aca="false">IF($A98="","",IFERROR(INDEX(بند_الاسم,MATCH($B98,قائمة_البنود,0)),"⚠ بند غير موجود"))</f>
        <v/>
      </c>
      <c r="D98" s="22"/>
      <c r="E98" s="31"/>
      <c r="F98" s="21"/>
      <c r="G98" s="32"/>
      <c r="H98" s="25" t="str">
        <f aca="false">IF($A98="","",IFERROR(INDEX(بند_سعر_الوحدة,MATCH($B98,قائمة_البنود,0)),0))</f>
        <v/>
      </c>
      <c r="I98" s="25" t="str">
        <f aca="false">IF($A98="","",H98*(1+نسبة_الضريبة))</f>
        <v/>
      </c>
      <c r="J98" s="33" t="str">
        <f aca="false">IF($A98="","",_xlfn.MINIFS('سجل المراجعات'!$E$5:$E$1504,'سجل المراجعات'!$A$5:$A$1504,$A98,'سجل المراجعات'!$D$5:$D$1504,"تسليم"))</f>
        <v/>
      </c>
      <c r="K98" s="33" t="str">
        <f aca="false">IF($A98="","",_xlfn.MAXIFS('سجل المراجعات'!$E$5:$E$1504,'سجل المراجعات'!$A$5:$A$1504,$A98,'سجل المراجعات'!$D$5:$D$1504,"تسليم"))</f>
        <v/>
      </c>
      <c r="L98" s="33" t="str">
        <f aca="false">IF($A98="","",_xlfn.MAXIFS('سجل المراجعات'!$E$5:$E$1504,'سجل المراجعات'!$A$5:$A$1504,$A98,'سجل المراجعات'!$D$5:$D$1504,"رد بملاحظات"))</f>
        <v/>
      </c>
      <c r="M98" s="33" t="str">
        <f aca="false">IF($A98="","",_xlfn.MAXIFS('سجل المراجعات'!$E$5:$E$1504,'سجل المراجعات'!$A$5:$A$1504,$A98,'سجل المراجعات'!$D$5:$D$1504,"قبول"))</f>
        <v/>
      </c>
      <c r="N98" s="26" t="str">
        <f aca="false">IF($A98="","",COUNTIFS('سجل المراجعات'!$A$5:$A$1504,$A98,'سجل المراجعات'!$D$5:$D$1504,"تسليم"))</f>
        <v/>
      </c>
      <c r="O98" s="34" t="str">
        <f aca="false">IF($A98="","",IF(M98&gt;0,"تم القبول",IF(F98="معلق","معلق",IF(AND(L98&gt;0,L98&gt;=K98),"مُعاد بملاحظات",IF(K98&gt;0,"في انتظار القبول",IF(AND(ISNUMBER(E98),E98&lt;تاريخ_الاحتساب),"متأخر",IF(F98="","لم يبدأ",F98)))))))</f>
        <v/>
      </c>
      <c r="P98" s="26" t="str">
        <f aca="false">IF($A98="","",SUMIFS('سجل المراجعات'!$L$5:$L$1504,'سجل المراجعات'!$A$5:$A$1504,$A98))</f>
        <v/>
      </c>
      <c r="Q98" s="26" t="str">
        <f aca="false">IF($A98="","",SUMIFS('سجل المراجعات'!$M$5:$M$1504,'سجل المراجعات'!$A$5:$A$1504,$A98))</f>
        <v/>
      </c>
      <c r="R98" s="26" t="str">
        <f aca="false">IF(OR($A98="",NOT(ISNUMBER(E98))),"",MAX(0,NETWORKDAYS.INTL(E98,IF(J98&gt;0,J98,تاريخ_الاحتساب),رمز_العطلة,أيام_الأجازات)-1))</f>
        <v/>
      </c>
      <c r="S98" s="22"/>
    </row>
    <row r="99" customFormat="false" ht="15" hidden="false" customHeight="false" outlineLevel="0" collapsed="false">
      <c r="A99" s="20"/>
      <c r="B99" s="20"/>
      <c r="C99" s="30" t="str">
        <f aca="false">IF($A99="","",IFERROR(INDEX(بند_الاسم,MATCH($B99,قائمة_البنود,0)),"⚠ بند غير موجود"))</f>
        <v/>
      </c>
      <c r="D99" s="22"/>
      <c r="E99" s="31"/>
      <c r="F99" s="21"/>
      <c r="G99" s="32"/>
      <c r="H99" s="25" t="str">
        <f aca="false">IF($A99="","",IFERROR(INDEX(بند_سعر_الوحدة,MATCH($B99,قائمة_البنود,0)),0))</f>
        <v/>
      </c>
      <c r="I99" s="25" t="str">
        <f aca="false">IF($A99="","",H99*(1+نسبة_الضريبة))</f>
        <v/>
      </c>
      <c r="J99" s="33" t="str">
        <f aca="false">IF($A99="","",_xlfn.MINIFS('سجل المراجعات'!$E$5:$E$1504,'سجل المراجعات'!$A$5:$A$1504,$A99,'سجل المراجعات'!$D$5:$D$1504,"تسليم"))</f>
        <v/>
      </c>
      <c r="K99" s="33" t="str">
        <f aca="false">IF($A99="","",_xlfn.MAXIFS('سجل المراجعات'!$E$5:$E$1504,'سجل المراجعات'!$A$5:$A$1504,$A99,'سجل المراجعات'!$D$5:$D$1504,"تسليم"))</f>
        <v/>
      </c>
      <c r="L99" s="33" t="str">
        <f aca="false">IF($A99="","",_xlfn.MAXIFS('سجل المراجعات'!$E$5:$E$1504,'سجل المراجعات'!$A$5:$A$1504,$A99,'سجل المراجعات'!$D$5:$D$1504,"رد بملاحظات"))</f>
        <v/>
      </c>
      <c r="M99" s="33" t="str">
        <f aca="false">IF($A99="","",_xlfn.MAXIFS('سجل المراجعات'!$E$5:$E$1504,'سجل المراجعات'!$A$5:$A$1504,$A99,'سجل المراجعات'!$D$5:$D$1504,"قبول"))</f>
        <v/>
      </c>
      <c r="N99" s="26" t="str">
        <f aca="false">IF($A99="","",COUNTIFS('سجل المراجعات'!$A$5:$A$1504,$A99,'سجل المراجعات'!$D$5:$D$1504,"تسليم"))</f>
        <v/>
      </c>
      <c r="O99" s="34" t="str">
        <f aca="false">IF($A99="","",IF(M99&gt;0,"تم القبول",IF(F99="معلق","معلق",IF(AND(L99&gt;0,L99&gt;=K99),"مُعاد بملاحظات",IF(K99&gt;0,"في انتظار القبول",IF(AND(ISNUMBER(E99),E99&lt;تاريخ_الاحتساب),"متأخر",IF(F99="","لم يبدأ",F99)))))))</f>
        <v/>
      </c>
      <c r="P99" s="26" t="str">
        <f aca="false">IF($A99="","",SUMIFS('سجل المراجعات'!$L$5:$L$1504,'سجل المراجعات'!$A$5:$A$1504,$A99))</f>
        <v/>
      </c>
      <c r="Q99" s="26" t="str">
        <f aca="false">IF($A99="","",SUMIFS('سجل المراجعات'!$M$5:$M$1504,'سجل المراجعات'!$A$5:$A$1504,$A99))</f>
        <v/>
      </c>
      <c r="R99" s="26" t="str">
        <f aca="false">IF(OR($A99="",NOT(ISNUMBER(E99))),"",MAX(0,NETWORKDAYS.INTL(E99,IF(J99&gt;0,J99,تاريخ_الاحتساب),رمز_العطلة,أيام_الأجازات)-1))</f>
        <v/>
      </c>
      <c r="S99" s="22"/>
    </row>
    <row r="100" customFormat="false" ht="15" hidden="false" customHeight="false" outlineLevel="0" collapsed="false">
      <c r="A100" s="20"/>
      <c r="B100" s="20"/>
      <c r="C100" s="30" t="str">
        <f aca="false">IF($A100="","",IFERROR(INDEX(بند_الاسم,MATCH($B100,قائمة_البنود,0)),"⚠ بند غير موجود"))</f>
        <v/>
      </c>
      <c r="D100" s="22"/>
      <c r="E100" s="31"/>
      <c r="F100" s="21"/>
      <c r="G100" s="32"/>
      <c r="H100" s="25" t="str">
        <f aca="false">IF($A100="","",IFERROR(INDEX(بند_سعر_الوحدة,MATCH($B100,قائمة_البنود,0)),0))</f>
        <v/>
      </c>
      <c r="I100" s="25" t="str">
        <f aca="false">IF($A100="","",H100*(1+نسبة_الضريبة))</f>
        <v/>
      </c>
      <c r="J100" s="33" t="str">
        <f aca="false">IF($A100="","",_xlfn.MINIFS('سجل المراجعات'!$E$5:$E$1504,'سجل المراجعات'!$A$5:$A$1504,$A100,'سجل المراجعات'!$D$5:$D$1504,"تسليم"))</f>
        <v/>
      </c>
      <c r="K100" s="33" t="str">
        <f aca="false">IF($A100="","",_xlfn.MAXIFS('سجل المراجعات'!$E$5:$E$1504,'سجل المراجعات'!$A$5:$A$1504,$A100,'سجل المراجعات'!$D$5:$D$1504,"تسليم"))</f>
        <v/>
      </c>
      <c r="L100" s="33" t="str">
        <f aca="false">IF($A100="","",_xlfn.MAXIFS('سجل المراجعات'!$E$5:$E$1504,'سجل المراجعات'!$A$5:$A$1504,$A100,'سجل المراجعات'!$D$5:$D$1504,"رد بملاحظات"))</f>
        <v/>
      </c>
      <c r="M100" s="33" t="str">
        <f aca="false">IF($A100="","",_xlfn.MAXIFS('سجل المراجعات'!$E$5:$E$1504,'سجل المراجعات'!$A$5:$A$1504,$A100,'سجل المراجعات'!$D$5:$D$1504,"قبول"))</f>
        <v/>
      </c>
      <c r="N100" s="26" t="str">
        <f aca="false">IF($A100="","",COUNTIFS('سجل المراجعات'!$A$5:$A$1504,$A100,'سجل المراجعات'!$D$5:$D$1504,"تسليم"))</f>
        <v/>
      </c>
      <c r="O100" s="34" t="str">
        <f aca="false">IF($A100="","",IF(M100&gt;0,"تم القبول",IF(F100="معلق","معلق",IF(AND(L100&gt;0,L100&gt;=K100),"مُعاد بملاحظات",IF(K100&gt;0,"في انتظار القبول",IF(AND(ISNUMBER(E100),E100&lt;تاريخ_الاحتساب),"متأخر",IF(F100="","لم يبدأ",F100)))))))</f>
        <v/>
      </c>
      <c r="P100" s="26" t="str">
        <f aca="false">IF($A100="","",SUMIFS('سجل المراجعات'!$L$5:$L$1504,'سجل المراجعات'!$A$5:$A$1504,$A100))</f>
        <v/>
      </c>
      <c r="Q100" s="26" t="str">
        <f aca="false">IF($A100="","",SUMIFS('سجل المراجعات'!$M$5:$M$1504,'سجل المراجعات'!$A$5:$A$1504,$A100))</f>
        <v/>
      </c>
      <c r="R100" s="26" t="str">
        <f aca="false">IF(OR($A100="",NOT(ISNUMBER(E100))),"",MAX(0,NETWORKDAYS.INTL(E100,IF(J100&gt;0,J100,تاريخ_الاحتساب),رمز_العطلة,أيام_الأجازات)-1))</f>
        <v/>
      </c>
      <c r="S100" s="22"/>
    </row>
    <row r="101" customFormat="false" ht="15" hidden="false" customHeight="false" outlineLevel="0" collapsed="false">
      <c r="A101" s="20"/>
      <c r="B101" s="20"/>
      <c r="C101" s="30" t="str">
        <f aca="false">IF($A101="","",IFERROR(INDEX(بند_الاسم,MATCH($B101,قائمة_البنود,0)),"⚠ بند غير موجود"))</f>
        <v/>
      </c>
      <c r="D101" s="22"/>
      <c r="E101" s="31"/>
      <c r="F101" s="21"/>
      <c r="G101" s="32"/>
      <c r="H101" s="25" t="str">
        <f aca="false">IF($A101="","",IFERROR(INDEX(بند_سعر_الوحدة,MATCH($B101,قائمة_البنود,0)),0))</f>
        <v/>
      </c>
      <c r="I101" s="25" t="str">
        <f aca="false">IF($A101="","",H101*(1+نسبة_الضريبة))</f>
        <v/>
      </c>
      <c r="J101" s="33" t="str">
        <f aca="false">IF($A101="","",_xlfn.MINIFS('سجل المراجعات'!$E$5:$E$1504,'سجل المراجعات'!$A$5:$A$1504,$A101,'سجل المراجعات'!$D$5:$D$1504,"تسليم"))</f>
        <v/>
      </c>
      <c r="K101" s="33" t="str">
        <f aca="false">IF($A101="","",_xlfn.MAXIFS('سجل المراجعات'!$E$5:$E$1504,'سجل المراجعات'!$A$5:$A$1504,$A101,'سجل المراجعات'!$D$5:$D$1504,"تسليم"))</f>
        <v/>
      </c>
      <c r="L101" s="33" t="str">
        <f aca="false">IF($A101="","",_xlfn.MAXIFS('سجل المراجعات'!$E$5:$E$1504,'سجل المراجعات'!$A$5:$A$1504,$A101,'سجل المراجعات'!$D$5:$D$1504,"رد بملاحظات"))</f>
        <v/>
      </c>
      <c r="M101" s="33" t="str">
        <f aca="false">IF($A101="","",_xlfn.MAXIFS('سجل المراجعات'!$E$5:$E$1504,'سجل المراجعات'!$A$5:$A$1504,$A101,'سجل المراجعات'!$D$5:$D$1504,"قبول"))</f>
        <v/>
      </c>
      <c r="N101" s="26" t="str">
        <f aca="false">IF($A101="","",COUNTIFS('سجل المراجعات'!$A$5:$A$1504,$A101,'سجل المراجعات'!$D$5:$D$1504,"تسليم"))</f>
        <v/>
      </c>
      <c r="O101" s="34" t="str">
        <f aca="false">IF($A101="","",IF(M101&gt;0,"تم القبول",IF(F101="معلق","معلق",IF(AND(L101&gt;0,L101&gt;=K101),"مُعاد بملاحظات",IF(K101&gt;0,"في انتظار القبول",IF(AND(ISNUMBER(E101),E101&lt;تاريخ_الاحتساب),"متأخر",IF(F101="","لم يبدأ",F101)))))))</f>
        <v/>
      </c>
      <c r="P101" s="26" t="str">
        <f aca="false">IF($A101="","",SUMIFS('سجل المراجعات'!$L$5:$L$1504,'سجل المراجعات'!$A$5:$A$1504,$A101))</f>
        <v/>
      </c>
      <c r="Q101" s="26" t="str">
        <f aca="false">IF($A101="","",SUMIFS('سجل المراجعات'!$M$5:$M$1504,'سجل المراجعات'!$A$5:$A$1504,$A101))</f>
        <v/>
      </c>
      <c r="R101" s="26" t="str">
        <f aca="false">IF(OR($A101="",NOT(ISNUMBER(E101))),"",MAX(0,NETWORKDAYS.INTL(E101,IF(J101&gt;0,J101,تاريخ_الاحتساب),رمز_العطلة,أيام_الأجازات)-1))</f>
        <v/>
      </c>
      <c r="S101" s="22"/>
    </row>
    <row r="102" customFormat="false" ht="15" hidden="false" customHeight="false" outlineLevel="0" collapsed="false">
      <c r="A102" s="20"/>
      <c r="B102" s="20"/>
      <c r="C102" s="30" t="str">
        <f aca="false">IF($A102="","",IFERROR(INDEX(بند_الاسم,MATCH($B102,قائمة_البنود,0)),"⚠ بند غير موجود"))</f>
        <v/>
      </c>
      <c r="D102" s="22"/>
      <c r="E102" s="31"/>
      <c r="F102" s="21"/>
      <c r="G102" s="32"/>
      <c r="H102" s="25" t="str">
        <f aca="false">IF($A102="","",IFERROR(INDEX(بند_سعر_الوحدة,MATCH($B102,قائمة_البنود,0)),0))</f>
        <v/>
      </c>
      <c r="I102" s="25" t="str">
        <f aca="false">IF($A102="","",H102*(1+نسبة_الضريبة))</f>
        <v/>
      </c>
      <c r="J102" s="33" t="str">
        <f aca="false">IF($A102="","",_xlfn.MINIFS('سجل المراجعات'!$E$5:$E$1504,'سجل المراجعات'!$A$5:$A$1504,$A102,'سجل المراجعات'!$D$5:$D$1504,"تسليم"))</f>
        <v/>
      </c>
      <c r="K102" s="33" t="str">
        <f aca="false">IF($A102="","",_xlfn.MAXIFS('سجل المراجعات'!$E$5:$E$1504,'سجل المراجعات'!$A$5:$A$1504,$A102,'سجل المراجعات'!$D$5:$D$1504,"تسليم"))</f>
        <v/>
      </c>
      <c r="L102" s="33" t="str">
        <f aca="false">IF($A102="","",_xlfn.MAXIFS('سجل المراجعات'!$E$5:$E$1504,'سجل المراجعات'!$A$5:$A$1504,$A102,'سجل المراجعات'!$D$5:$D$1504,"رد بملاحظات"))</f>
        <v/>
      </c>
      <c r="M102" s="33" t="str">
        <f aca="false">IF($A102="","",_xlfn.MAXIFS('سجل المراجعات'!$E$5:$E$1504,'سجل المراجعات'!$A$5:$A$1504,$A102,'سجل المراجعات'!$D$5:$D$1504,"قبول"))</f>
        <v/>
      </c>
      <c r="N102" s="26" t="str">
        <f aca="false">IF($A102="","",COUNTIFS('سجل المراجعات'!$A$5:$A$1504,$A102,'سجل المراجعات'!$D$5:$D$1504,"تسليم"))</f>
        <v/>
      </c>
      <c r="O102" s="34" t="str">
        <f aca="false">IF($A102="","",IF(M102&gt;0,"تم القبول",IF(F102="معلق","معلق",IF(AND(L102&gt;0,L102&gt;=K102),"مُعاد بملاحظات",IF(K102&gt;0,"في انتظار القبول",IF(AND(ISNUMBER(E102),E102&lt;تاريخ_الاحتساب),"متأخر",IF(F102="","لم يبدأ",F102)))))))</f>
        <v/>
      </c>
      <c r="P102" s="26" t="str">
        <f aca="false">IF($A102="","",SUMIFS('سجل المراجعات'!$L$5:$L$1504,'سجل المراجعات'!$A$5:$A$1504,$A102))</f>
        <v/>
      </c>
      <c r="Q102" s="26" t="str">
        <f aca="false">IF($A102="","",SUMIFS('سجل المراجعات'!$M$5:$M$1504,'سجل المراجعات'!$A$5:$A$1504,$A102))</f>
        <v/>
      </c>
      <c r="R102" s="26" t="str">
        <f aca="false">IF(OR($A102="",NOT(ISNUMBER(E102))),"",MAX(0,NETWORKDAYS.INTL(E102,IF(J102&gt;0,J102,تاريخ_الاحتساب),رمز_العطلة,أيام_الأجازات)-1))</f>
        <v/>
      </c>
      <c r="S102" s="22"/>
    </row>
    <row r="103" customFormat="false" ht="15" hidden="false" customHeight="false" outlineLevel="0" collapsed="false">
      <c r="A103" s="20"/>
      <c r="B103" s="20"/>
      <c r="C103" s="30" t="str">
        <f aca="false">IF($A103="","",IFERROR(INDEX(بند_الاسم,MATCH($B103,قائمة_البنود,0)),"⚠ بند غير موجود"))</f>
        <v/>
      </c>
      <c r="D103" s="22"/>
      <c r="E103" s="31"/>
      <c r="F103" s="21"/>
      <c r="G103" s="32"/>
      <c r="H103" s="25" t="str">
        <f aca="false">IF($A103="","",IFERROR(INDEX(بند_سعر_الوحدة,MATCH($B103,قائمة_البنود,0)),0))</f>
        <v/>
      </c>
      <c r="I103" s="25" t="str">
        <f aca="false">IF($A103="","",H103*(1+نسبة_الضريبة))</f>
        <v/>
      </c>
      <c r="J103" s="33" t="str">
        <f aca="false">IF($A103="","",_xlfn.MINIFS('سجل المراجعات'!$E$5:$E$1504,'سجل المراجعات'!$A$5:$A$1504,$A103,'سجل المراجعات'!$D$5:$D$1504,"تسليم"))</f>
        <v/>
      </c>
      <c r="K103" s="33" t="str">
        <f aca="false">IF($A103="","",_xlfn.MAXIFS('سجل المراجعات'!$E$5:$E$1504,'سجل المراجعات'!$A$5:$A$1504,$A103,'سجل المراجعات'!$D$5:$D$1504,"تسليم"))</f>
        <v/>
      </c>
      <c r="L103" s="33" t="str">
        <f aca="false">IF($A103="","",_xlfn.MAXIFS('سجل المراجعات'!$E$5:$E$1504,'سجل المراجعات'!$A$5:$A$1504,$A103,'سجل المراجعات'!$D$5:$D$1504,"رد بملاحظات"))</f>
        <v/>
      </c>
      <c r="M103" s="33" t="str">
        <f aca="false">IF($A103="","",_xlfn.MAXIFS('سجل المراجعات'!$E$5:$E$1504,'سجل المراجعات'!$A$5:$A$1504,$A103,'سجل المراجعات'!$D$5:$D$1504,"قبول"))</f>
        <v/>
      </c>
      <c r="N103" s="26" t="str">
        <f aca="false">IF($A103="","",COUNTIFS('سجل المراجعات'!$A$5:$A$1504,$A103,'سجل المراجعات'!$D$5:$D$1504,"تسليم"))</f>
        <v/>
      </c>
      <c r="O103" s="34" t="str">
        <f aca="false">IF($A103="","",IF(M103&gt;0,"تم القبول",IF(F103="معلق","معلق",IF(AND(L103&gt;0,L103&gt;=K103),"مُعاد بملاحظات",IF(K103&gt;0,"في انتظار القبول",IF(AND(ISNUMBER(E103),E103&lt;تاريخ_الاحتساب),"متأخر",IF(F103="","لم يبدأ",F103)))))))</f>
        <v/>
      </c>
      <c r="P103" s="26" t="str">
        <f aca="false">IF($A103="","",SUMIFS('سجل المراجعات'!$L$5:$L$1504,'سجل المراجعات'!$A$5:$A$1504,$A103))</f>
        <v/>
      </c>
      <c r="Q103" s="26" t="str">
        <f aca="false">IF($A103="","",SUMIFS('سجل المراجعات'!$M$5:$M$1504,'سجل المراجعات'!$A$5:$A$1504,$A103))</f>
        <v/>
      </c>
      <c r="R103" s="26" t="str">
        <f aca="false">IF(OR($A103="",NOT(ISNUMBER(E103))),"",MAX(0,NETWORKDAYS.INTL(E103,IF(J103&gt;0,J103,تاريخ_الاحتساب),رمز_العطلة,أيام_الأجازات)-1))</f>
        <v/>
      </c>
      <c r="S103" s="22"/>
    </row>
    <row r="104" customFormat="false" ht="15" hidden="false" customHeight="false" outlineLevel="0" collapsed="false">
      <c r="A104" s="20"/>
      <c r="B104" s="20"/>
      <c r="C104" s="30" t="str">
        <f aca="false">IF($A104="","",IFERROR(INDEX(بند_الاسم,MATCH($B104,قائمة_البنود,0)),"⚠ بند غير موجود"))</f>
        <v/>
      </c>
      <c r="D104" s="22"/>
      <c r="E104" s="31"/>
      <c r="F104" s="21"/>
      <c r="G104" s="32"/>
      <c r="H104" s="25" t="str">
        <f aca="false">IF($A104="","",IFERROR(INDEX(بند_سعر_الوحدة,MATCH($B104,قائمة_البنود,0)),0))</f>
        <v/>
      </c>
      <c r="I104" s="25" t="str">
        <f aca="false">IF($A104="","",H104*(1+نسبة_الضريبة))</f>
        <v/>
      </c>
      <c r="J104" s="33" t="str">
        <f aca="false">IF($A104="","",_xlfn.MINIFS('سجل المراجعات'!$E$5:$E$1504,'سجل المراجعات'!$A$5:$A$1504,$A104,'سجل المراجعات'!$D$5:$D$1504,"تسليم"))</f>
        <v/>
      </c>
      <c r="K104" s="33" t="str">
        <f aca="false">IF($A104="","",_xlfn.MAXIFS('سجل المراجعات'!$E$5:$E$1504,'سجل المراجعات'!$A$5:$A$1504,$A104,'سجل المراجعات'!$D$5:$D$1504,"تسليم"))</f>
        <v/>
      </c>
      <c r="L104" s="33" t="str">
        <f aca="false">IF($A104="","",_xlfn.MAXIFS('سجل المراجعات'!$E$5:$E$1504,'سجل المراجعات'!$A$5:$A$1504,$A104,'سجل المراجعات'!$D$5:$D$1504,"رد بملاحظات"))</f>
        <v/>
      </c>
      <c r="M104" s="33" t="str">
        <f aca="false">IF($A104="","",_xlfn.MAXIFS('سجل المراجعات'!$E$5:$E$1504,'سجل المراجعات'!$A$5:$A$1504,$A104,'سجل المراجعات'!$D$5:$D$1504,"قبول"))</f>
        <v/>
      </c>
      <c r="N104" s="26" t="str">
        <f aca="false">IF($A104="","",COUNTIFS('سجل المراجعات'!$A$5:$A$1504,$A104,'سجل المراجعات'!$D$5:$D$1504,"تسليم"))</f>
        <v/>
      </c>
      <c r="O104" s="34" t="str">
        <f aca="false">IF($A104="","",IF(M104&gt;0,"تم القبول",IF(F104="معلق","معلق",IF(AND(L104&gt;0,L104&gt;=K104),"مُعاد بملاحظات",IF(K104&gt;0,"في انتظار القبول",IF(AND(ISNUMBER(E104),E104&lt;تاريخ_الاحتساب),"متأخر",IF(F104="","لم يبدأ",F104)))))))</f>
        <v/>
      </c>
      <c r="P104" s="26" t="str">
        <f aca="false">IF($A104="","",SUMIFS('سجل المراجعات'!$L$5:$L$1504,'سجل المراجعات'!$A$5:$A$1504,$A104))</f>
        <v/>
      </c>
      <c r="Q104" s="26" t="str">
        <f aca="false">IF($A104="","",SUMIFS('سجل المراجعات'!$M$5:$M$1504,'سجل المراجعات'!$A$5:$A$1504,$A104))</f>
        <v/>
      </c>
      <c r="R104" s="26" t="str">
        <f aca="false">IF(OR($A104="",NOT(ISNUMBER(E104))),"",MAX(0,NETWORKDAYS.INTL(E104,IF(J104&gt;0,J104,تاريخ_الاحتساب),رمز_العطلة,أيام_الأجازات)-1))</f>
        <v/>
      </c>
      <c r="S104" s="22"/>
    </row>
    <row r="105" customFormat="false" ht="15" hidden="false" customHeight="false" outlineLevel="0" collapsed="false">
      <c r="A105" s="20"/>
      <c r="B105" s="20"/>
      <c r="C105" s="30" t="str">
        <f aca="false">IF($A105="","",IFERROR(INDEX(بند_الاسم,MATCH($B105,قائمة_البنود,0)),"⚠ بند غير موجود"))</f>
        <v/>
      </c>
      <c r="D105" s="22"/>
      <c r="E105" s="31"/>
      <c r="F105" s="21"/>
      <c r="G105" s="32"/>
      <c r="H105" s="25" t="str">
        <f aca="false">IF($A105="","",IFERROR(INDEX(بند_سعر_الوحدة,MATCH($B105,قائمة_البنود,0)),0))</f>
        <v/>
      </c>
      <c r="I105" s="25" t="str">
        <f aca="false">IF($A105="","",H105*(1+نسبة_الضريبة))</f>
        <v/>
      </c>
      <c r="J105" s="33" t="str">
        <f aca="false">IF($A105="","",_xlfn.MINIFS('سجل المراجعات'!$E$5:$E$1504,'سجل المراجعات'!$A$5:$A$1504,$A105,'سجل المراجعات'!$D$5:$D$1504,"تسليم"))</f>
        <v/>
      </c>
      <c r="K105" s="33" t="str">
        <f aca="false">IF($A105="","",_xlfn.MAXIFS('سجل المراجعات'!$E$5:$E$1504,'سجل المراجعات'!$A$5:$A$1504,$A105,'سجل المراجعات'!$D$5:$D$1504,"تسليم"))</f>
        <v/>
      </c>
      <c r="L105" s="33" t="str">
        <f aca="false">IF($A105="","",_xlfn.MAXIFS('سجل المراجعات'!$E$5:$E$1504,'سجل المراجعات'!$A$5:$A$1504,$A105,'سجل المراجعات'!$D$5:$D$1504,"رد بملاحظات"))</f>
        <v/>
      </c>
      <c r="M105" s="33" t="str">
        <f aca="false">IF($A105="","",_xlfn.MAXIFS('سجل المراجعات'!$E$5:$E$1504,'سجل المراجعات'!$A$5:$A$1504,$A105,'سجل المراجعات'!$D$5:$D$1504,"قبول"))</f>
        <v/>
      </c>
      <c r="N105" s="26" t="str">
        <f aca="false">IF($A105="","",COUNTIFS('سجل المراجعات'!$A$5:$A$1504,$A105,'سجل المراجعات'!$D$5:$D$1504,"تسليم"))</f>
        <v/>
      </c>
      <c r="O105" s="34" t="str">
        <f aca="false">IF($A105="","",IF(M105&gt;0,"تم القبول",IF(F105="معلق","معلق",IF(AND(L105&gt;0,L105&gt;=K105),"مُعاد بملاحظات",IF(K105&gt;0,"في انتظار القبول",IF(AND(ISNUMBER(E105),E105&lt;تاريخ_الاحتساب),"متأخر",IF(F105="","لم يبدأ",F105)))))))</f>
        <v/>
      </c>
      <c r="P105" s="26" t="str">
        <f aca="false">IF($A105="","",SUMIFS('سجل المراجعات'!$L$5:$L$1504,'سجل المراجعات'!$A$5:$A$1504,$A105))</f>
        <v/>
      </c>
      <c r="Q105" s="26" t="str">
        <f aca="false">IF($A105="","",SUMIFS('سجل المراجعات'!$M$5:$M$1504,'سجل المراجعات'!$A$5:$A$1504,$A105))</f>
        <v/>
      </c>
      <c r="R105" s="26" t="str">
        <f aca="false">IF(OR($A105="",NOT(ISNUMBER(E105))),"",MAX(0,NETWORKDAYS.INTL(E105,IF(J105&gt;0,J105,تاريخ_الاحتساب),رمز_العطلة,أيام_الأجازات)-1))</f>
        <v/>
      </c>
      <c r="S105" s="22"/>
    </row>
    <row r="106" customFormat="false" ht="15" hidden="false" customHeight="false" outlineLevel="0" collapsed="false">
      <c r="A106" s="20"/>
      <c r="B106" s="20"/>
      <c r="C106" s="30" t="str">
        <f aca="false">IF($A106="","",IFERROR(INDEX(بند_الاسم,MATCH($B106,قائمة_البنود,0)),"⚠ بند غير موجود"))</f>
        <v/>
      </c>
      <c r="D106" s="22"/>
      <c r="E106" s="31"/>
      <c r="F106" s="21"/>
      <c r="G106" s="32"/>
      <c r="H106" s="25" t="str">
        <f aca="false">IF($A106="","",IFERROR(INDEX(بند_سعر_الوحدة,MATCH($B106,قائمة_البنود,0)),0))</f>
        <v/>
      </c>
      <c r="I106" s="25" t="str">
        <f aca="false">IF($A106="","",H106*(1+نسبة_الضريبة))</f>
        <v/>
      </c>
      <c r="J106" s="33" t="str">
        <f aca="false">IF($A106="","",_xlfn.MINIFS('سجل المراجعات'!$E$5:$E$1504,'سجل المراجعات'!$A$5:$A$1504,$A106,'سجل المراجعات'!$D$5:$D$1504,"تسليم"))</f>
        <v/>
      </c>
      <c r="K106" s="33" t="str">
        <f aca="false">IF($A106="","",_xlfn.MAXIFS('سجل المراجعات'!$E$5:$E$1504,'سجل المراجعات'!$A$5:$A$1504,$A106,'سجل المراجعات'!$D$5:$D$1504,"تسليم"))</f>
        <v/>
      </c>
      <c r="L106" s="33" t="str">
        <f aca="false">IF($A106="","",_xlfn.MAXIFS('سجل المراجعات'!$E$5:$E$1504,'سجل المراجعات'!$A$5:$A$1504,$A106,'سجل المراجعات'!$D$5:$D$1504,"رد بملاحظات"))</f>
        <v/>
      </c>
      <c r="M106" s="33" t="str">
        <f aca="false">IF($A106="","",_xlfn.MAXIFS('سجل المراجعات'!$E$5:$E$1504,'سجل المراجعات'!$A$5:$A$1504,$A106,'سجل المراجعات'!$D$5:$D$1504,"قبول"))</f>
        <v/>
      </c>
      <c r="N106" s="26" t="str">
        <f aca="false">IF($A106="","",COUNTIFS('سجل المراجعات'!$A$5:$A$1504,$A106,'سجل المراجعات'!$D$5:$D$1504,"تسليم"))</f>
        <v/>
      </c>
      <c r="O106" s="34" t="str">
        <f aca="false">IF($A106="","",IF(M106&gt;0,"تم القبول",IF(F106="معلق","معلق",IF(AND(L106&gt;0,L106&gt;=K106),"مُعاد بملاحظات",IF(K106&gt;0,"في انتظار القبول",IF(AND(ISNUMBER(E106),E106&lt;تاريخ_الاحتساب),"متأخر",IF(F106="","لم يبدأ",F106)))))))</f>
        <v/>
      </c>
      <c r="P106" s="26" t="str">
        <f aca="false">IF($A106="","",SUMIFS('سجل المراجعات'!$L$5:$L$1504,'سجل المراجعات'!$A$5:$A$1504,$A106))</f>
        <v/>
      </c>
      <c r="Q106" s="26" t="str">
        <f aca="false">IF($A106="","",SUMIFS('سجل المراجعات'!$M$5:$M$1504,'سجل المراجعات'!$A$5:$A$1504,$A106))</f>
        <v/>
      </c>
      <c r="R106" s="26" t="str">
        <f aca="false">IF(OR($A106="",NOT(ISNUMBER(E106))),"",MAX(0,NETWORKDAYS.INTL(E106,IF(J106&gt;0,J106,تاريخ_الاحتساب),رمز_العطلة,أيام_الأجازات)-1))</f>
        <v/>
      </c>
      <c r="S106" s="22"/>
    </row>
    <row r="107" customFormat="false" ht="15" hidden="false" customHeight="false" outlineLevel="0" collapsed="false">
      <c r="A107" s="20"/>
      <c r="B107" s="20"/>
      <c r="C107" s="30" t="str">
        <f aca="false">IF($A107="","",IFERROR(INDEX(بند_الاسم,MATCH($B107,قائمة_البنود,0)),"⚠ بند غير موجود"))</f>
        <v/>
      </c>
      <c r="D107" s="22"/>
      <c r="E107" s="31"/>
      <c r="F107" s="21"/>
      <c r="G107" s="32"/>
      <c r="H107" s="25" t="str">
        <f aca="false">IF($A107="","",IFERROR(INDEX(بند_سعر_الوحدة,MATCH($B107,قائمة_البنود,0)),0))</f>
        <v/>
      </c>
      <c r="I107" s="25" t="str">
        <f aca="false">IF($A107="","",H107*(1+نسبة_الضريبة))</f>
        <v/>
      </c>
      <c r="J107" s="33" t="str">
        <f aca="false">IF($A107="","",_xlfn.MINIFS('سجل المراجعات'!$E$5:$E$1504,'سجل المراجعات'!$A$5:$A$1504,$A107,'سجل المراجعات'!$D$5:$D$1504,"تسليم"))</f>
        <v/>
      </c>
      <c r="K107" s="33" t="str">
        <f aca="false">IF($A107="","",_xlfn.MAXIFS('سجل المراجعات'!$E$5:$E$1504,'سجل المراجعات'!$A$5:$A$1504,$A107,'سجل المراجعات'!$D$5:$D$1504,"تسليم"))</f>
        <v/>
      </c>
      <c r="L107" s="33" t="str">
        <f aca="false">IF($A107="","",_xlfn.MAXIFS('سجل المراجعات'!$E$5:$E$1504,'سجل المراجعات'!$A$5:$A$1504,$A107,'سجل المراجعات'!$D$5:$D$1504,"رد بملاحظات"))</f>
        <v/>
      </c>
      <c r="M107" s="33" t="str">
        <f aca="false">IF($A107="","",_xlfn.MAXIFS('سجل المراجعات'!$E$5:$E$1504,'سجل المراجعات'!$A$5:$A$1504,$A107,'سجل المراجعات'!$D$5:$D$1504,"قبول"))</f>
        <v/>
      </c>
      <c r="N107" s="26" t="str">
        <f aca="false">IF($A107="","",COUNTIFS('سجل المراجعات'!$A$5:$A$1504,$A107,'سجل المراجعات'!$D$5:$D$1504,"تسليم"))</f>
        <v/>
      </c>
      <c r="O107" s="34" t="str">
        <f aca="false">IF($A107="","",IF(M107&gt;0,"تم القبول",IF(F107="معلق","معلق",IF(AND(L107&gt;0,L107&gt;=K107),"مُعاد بملاحظات",IF(K107&gt;0,"في انتظار القبول",IF(AND(ISNUMBER(E107),E107&lt;تاريخ_الاحتساب),"متأخر",IF(F107="","لم يبدأ",F107)))))))</f>
        <v/>
      </c>
      <c r="P107" s="26" t="str">
        <f aca="false">IF($A107="","",SUMIFS('سجل المراجعات'!$L$5:$L$1504,'سجل المراجعات'!$A$5:$A$1504,$A107))</f>
        <v/>
      </c>
      <c r="Q107" s="26" t="str">
        <f aca="false">IF($A107="","",SUMIFS('سجل المراجعات'!$M$5:$M$1504,'سجل المراجعات'!$A$5:$A$1504,$A107))</f>
        <v/>
      </c>
      <c r="R107" s="26" t="str">
        <f aca="false">IF(OR($A107="",NOT(ISNUMBER(E107))),"",MAX(0,NETWORKDAYS.INTL(E107,IF(J107&gt;0,J107,تاريخ_الاحتساب),رمز_العطلة,أيام_الأجازات)-1))</f>
        <v/>
      </c>
      <c r="S107" s="22"/>
    </row>
    <row r="108" customFormat="false" ht="15" hidden="false" customHeight="false" outlineLevel="0" collapsed="false">
      <c r="A108" s="20"/>
      <c r="B108" s="20"/>
      <c r="C108" s="30" t="str">
        <f aca="false">IF($A108="","",IFERROR(INDEX(بند_الاسم,MATCH($B108,قائمة_البنود,0)),"⚠ بند غير موجود"))</f>
        <v/>
      </c>
      <c r="D108" s="22"/>
      <c r="E108" s="31"/>
      <c r="F108" s="21"/>
      <c r="G108" s="32"/>
      <c r="H108" s="25" t="str">
        <f aca="false">IF($A108="","",IFERROR(INDEX(بند_سعر_الوحدة,MATCH($B108,قائمة_البنود,0)),0))</f>
        <v/>
      </c>
      <c r="I108" s="25" t="str">
        <f aca="false">IF($A108="","",H108*(1+نسبة_الضريبة))</f>
        <v/>
      </c>
      <c r="J108" s="33" t="str">
        <f aca="false">IF($A108="","",_xlfn.MINIFS('سجل المراجعات'!$E$5:$E$1504,'سجل المراجعات'!$A$5:$A$1504,$A108,'سجل المراجعات'!$D$5:$D$1504,"تسليم"))</f>
        <v/>
      </c>
      <c r="K108" s="33" t="str">
        <f aca="false">IF($A108="","",_xlfn.MAXIFS('سجل المراجعات'!$E$5:$E$1504,'سجل المراجعات'!$A$5:$A$1504,$A108,'سجل المراجعات'!$D$5:$D$1504,"تسليم"))</f>
        <v/>
      </c>
      <c r="L108" s="33" t="str">
        <f aca="false">IF($A108="","",_xlfn.MAXIFS('سجل المراجعات'!$E$5:$E$1504,'سجل المراجعات'!$A$5:$A$1504,$A108,'سجل المراجعات'!$D$5:$D$1504,"رد بملاحظات"))</f>
        <v/>
      </c>
      <c r="M108" s="33" t="str">
        <f aca="false">IF($A108="","",_xlfn.MAXIFS('سجل المراجعات'!$E$5:$E$1504,'سجل المراجعات'!$A$5:$A$1504,$A108,'سجل المراجعات'!$D$5:$D$1504,"قبول"))</f>
        <v/>
      </c>
      <c r="N108" s="26" t="str">
        <f aca="false">IF($A108="","",COUNTIFS('سجل المراجعات'!$A$5:$A$1504,$A108,'سجل المراجعات'!$D$5:$D$1504,"تسليم"))</f>
        <v/>
      </c>
      <c r="O108" s="34" t="str">
        <f aca="false">IF($A108="","",IF(M108&gt;0,"تم القبول",IF(F108="معلق","معلق",IF(AND(L108&gt;0,L108&gt;=K108),"مُعاد بملاحظات",IF(K108&gt;0,"في انتظار القبول",IF(AND(ISNUMBER(E108),E108&lt;تاريخ_الاحتساب),"متأخر",IF(F108="","لم يبدأ",F108)))))))</f>
        <v/>
      </c>
      <c r="P108" s="26" t="str">
        <f aca="false">IF($A108="","",SUMIFS('سجل المراجعات'!$L$5:$L$1504,'سجل المراجعات'!$A$5:$A$1504,$A108))</f>
        <v/>
      </c>
      <c r="Q108" s="26" t="str">
        <f aca="false">IF($A108="","",SUMIFS('سجل المراجعات'!$M$5:$M$1504,'سجل المراجعات'!$A$5:$A$1504,$A108))</f>
        <v/>
      </c>
      <c r="R108" s="26" t="str">
        <f aca="false">IF(OR($A108="",NOT(ISNUMBER(E108))),"",MAX(0,NETWORKDAYS.INTL(E108,IF(J108&gt;0,J108,تاريخ_الاحتساب),رمز_العطلة,أيام_الأجازات)-1))</f>
        <v/>
      </c>
      <c r="S108" s="22"/>
    </row>
    <row r="109" customFormat="false" ht="15" hidden="false" customHeight="false" outlineLevel="0" collapsed="false">
      <c r="A109" s="20"/>
      <c r="B109" s="20"/>
      <c r="C109" s="30" t="str">
        <f aca="false">IF($A109="","",IFERROR(INDEX(بند_الاسم,MATCH($B109,قائمة_البنود,0)),"⚠ بند غير موجود"))</f>
        <v/>
      </c>
      <c r="D109" s="22"/>
      <c r="E109" s="31"/>
      <c r="F109" s="21"/>
      <c r="G109" s="32"/>
      <c r="H109" s="25" t="str">
        <f aca="false">IF($A109="","",IFERROR(INDEX(بند_سعر_الوحدة,MATCH($B109,قائمة_البنود,0)),0))</f>
        <v/>
      </c>
      <c r="I109" s="25" t="str">
        <f aca="false">IF($A109="","",H109*(1+نسبة_الضريبة))</f>
        <v/>
      </c>
      <c r="J109" s="33" t="str">
        <f aca="false">IF($A109="","",_xlfn.MINIFS('سجل المراجعات'!$E$5:$E$1504,'سجل المراجعات'!$A$5:$A$1504,$A109,'سجل المراجعات'!$D$5:$D$1504,"تسليم"))</f>
        <v/>
      </c>
      <c r="K109" s="33" t="str">
        <f aca="false">IF($A109="","",_xlfn.MAXIFS('سجل المراجعات'!$E$5:$E$1504,'سجل المراجعات'!$A$5:$A$1504,$A109,'سجل المراجعات'!$D$5:$D$1504,"تسليم"))</f>
        <v/>
      </c>
      <c r="L109" s="33" t="str">
        <f aca="false">IF($A109="","",_xlfn.MAXIFS('سجل المراجعات'!$E$5:$E$1504,'سجل المراجعات'!$A$5:$A$1504,$A109,'سجل المراجعات'!$D$5:$D$1504,"رد بملاحظات"))</f>
        <v/>
      </c>
      <c r="M109" s="33" t="str">
        <f aca="false">IF($A109="","",_xlfn.MAXIFS('سجل المراجعات'!$E$5:$E$1504,'سجل المراجعات'!$A$5:$A$1504,$A109,'سجل المراجعات'!$D$5:$D$1504,"قبول"))</f>
        <v/>
      </c>
      <c r="N109" s="26" t="str">
        <f aca="false">IF($A109="","",COUNTIFS('سجل المراجعات'!$A$5:$A$1504,$A109,'سجل المراجعات'!$D$5:$D$1504,"تسليم"))</f>
        <v/>
      </c>
      <c r="O109" s="34" t="str">
        <f aca="false">IF($A109="","",IF(M109&gt;0,"تم القبول",IF(F109="معلق","معلق",IF(AND(L109&gt;0,L109&gt;=K109),"مُعاد بملاحظات",IF(K109&gt;0,"في انتظار القبول",IF(AND(ISNUMBER(E109),E109&lt;تاريخ_الاحتساب),"متأخر",IF(F109="","لم يبدأ",F109)))))))</f>
        <v/>
      </c>
      <c r="P109" s="26" t="str">
        <f aca="false">IF($A109="","",SUMIFS('سجل المراجعات'!$L$5:$L$1504,'سجل المراجعات'!$A$5:$A$1504,$A109))</f>
        <v/>
      </c>
      <c r="Q109" s="26" t="str">
        <f aca="false">IF($A109="","",SUMIFS('سجل المراجعات'!$M$5:$M$1504,'سجل المراجعات'!$A$5:$A$1504,$A109))</f>
        <v/>
      </c>
      <c r="R109" s="26" t="str">
        <f aca="false">IF(OR($A109="",NOT(ISNUMBER(E109))),"",MAX(0,NETWORKDAYS.INTL(E109,IF(J109&gt;0,J109,تاريخ_الاحتساب),رمز_العطلة,أيام_الأجازات)-1))</f>
        <v/>
      </c>
      <c r="S109" s="22"/>
    </row>
    <row r="110" customFormat="false" ht="15" hidden="false" customHeight="false" outlineLevel="0" collapsed="false">
      <c r="A110" s="20"/>
      <c r="B110" s="20"/>
      <c r="C110" s="30" t="str">
        <f aca="false">IF($A110="","",IFERROR(INDEX(بند_الاسم,MATCH($B110,قائمة_البنود,0)),"⚠ بند غير موجود"))</f>
        <v/>
      </c>
      <c r="D110" s="22"/>
      <c r="E110" s="31"/>
      <c r="F110" s="21"/>
      <c r="G110" s="32"/>
      <c r="H110" s="25" t="str">
        <f aca="false">IF($A110="","",IFERROR(INDEX(بند_سعر_الوحدة,MATCH($B110,قائمة_البنود,0)),0))</f>
        <v/>
      </c>
      <c r="I110" s="25" t="str">
        <f aca="false">IF($A110="","",H110*(1+نسبة_الضريبة))</f>
        <v/>
      </c>
      <c r="J110" s="33" t="str">
        <f aca="false">IF($A110="","",_xlfn.MINIFS('سجل المراجعات'!$E$5:$E$1504,'سجل المراجعات'!$A$5:$A$1504,$A110,'سجل المراجعات'!$D$5:$D$1504,"تسليم"))</f>
        <v/>
      </c>
      <c r="K110" s="33" t="str">
        <f aca="false">IF($A110="","",_xlfn.MAXIFS('سجل المراجعات'!$E$5:$E$1504,'سجل المراجعات'!$A$5:$A$1504,$A110,'سجل المراجعات'!$D$5:$D$1504,"تسليم"))</f>
        <v/>
      </c>
      <c r="L110" s="33" t="str">
        <f aca="false">IF($A110="","",_xlfn.MAXIFS('سجل المراجعات'!$E$5:$E$1504,'سجل المراجعات'!$A$5:$A$1504,$A110,'سجل المراجعات'!$D$5:$D$1504,"رد بملاحظات"))</f>
        <v/>
      </c>
      <c r="M110" s="33" t="str">
        <f aca="false">IF($A110="","",_xlfn.MAXIFS('سجل المراجعات'!$E$5:$E$1504,'سجل المراجعات'!$A$5:$A$1504,$A110,'سجل المراجعات'!$D$5:$D$1504,"قبول"))</f>
        <v/>
      </c>
      <c r="N110" s="26" t="str">
        <f aca="false">IF($A110="","",COUNTIFS('سجل المراجعات'!$A$5:$A$1504,$A110,'سجل المراجعات'!$D$5:$D$1504,"تسليم"))</f>
        <v/>
      </c>
      <c r="O110" s="34" t="str">
        <f aca="false">IF($A110="","",IF(M110&gt;0,"تم القبول",IF(F110="معلق","معلق",IF(AND(L110&gt;0,L110&gt;=K110),"مُعاد بملاحظات",IF(K110&gt;0,"في انتظار القبول",IF(AND(ISNUMBER(E110),E110&lt;تاريخ_الاحتساب),"متأخر",IF(F110="","لم يبدأ",F110)))))))</f>
        <v/>
      </c>
      <c r="P110" s="26" t="str">
        <f aca="false">IF($A110="","",SUMIFS('سجل المراجعات'!$L$5:$L$1504,'سجل المراجعات'!$A$5:$A$1504,$A110))</f>
        <v/>
      </c>
      <c r="Q110" s="26" t="str">
        <f aca="false">IF($A110="","",SUMIFS('سجل المراجعات'!$M$5:$M$1504,'سجل المراجعات'!$A$5:$A$1504,$A110))</f>
        <v/>
      </c>
      <c r="R110" s="26" t="str">
        <f aca="false">IF(OR($A110="",NOT(ISNUMBER(E110))),"",MAX(0,NETWORKDAYS.INTL(E110,IF(J110&gt;0,J110,تاريخ_الاحتساب),رمز_العطلة,أيام_الأجازات)-1))</f>
        <v/>
      </c>
      <c r="S110" s="22"/>
    </row>
    <row r="111" customFormat="false" ht="15" hidden="false" customHeight="false" outlineLevel="0" collapsed="false">
      <c r="A111" s="20"/>
      <c r="B111" s="20"/>
      <c r="C111" s="30" t="str">
        <f aca="false">IF($A111="","",IFERROR(INDEX(بند_الاسم,MATCH($B111,قائمة_البنود,0)),"⚠ بند غير موجود"))</f>
        <v/>
      </c>
      <c r="D111" s="22"/>
      <c r="E111" s="31"/>
      <c r="F111" s="21"/>
      <c r="G111" s="32"/>
      <c r="H111" s="25" t="str">
        <f aca="false">IF($A111="","",IFERROR(INDEX(بند_سعر_الوحدة,MATCH($B111,قائمة_البنود,0)),0))</f>
        <v/>
      </c>
      <c r="I111" s="25" t="str">
        <f aca="false">IF($A111="","",H111*(1+نسبة_الضريبة))</f>
        <v/>
      </c>
      <c r="J111" s="33" t="str">
        <f aca="false">IF($A111="","",_xlfn.MINIFS('سجل المراجعات'!$E$5:$E$1504,'سجل المراجعات'!$A$5:$A$1504,$A111,'سجل المراجعات'!$D$5:$D$1504,"تسليم"))</f>
        <v/>
      </c>
      <c r="K111" s="33" t="str">
        <f aca="false">IF($A111="","",_xlfn.MAXIFS('سجل المراجعات'!$E$5:$E$1504,'سجل المراجعات'!$A$5:$A$1504,$A111,'سجل المراجعات'!$D$5:$D$1504,"تسليم"))</f>
        <v/>
      </c>
      <c r="L111" s="33" t="str">
        <f aca="false">IF($A111="","",_xlfn.MAXIFS('سجل المراجعات'!$E$5:$E$1504,'سجل المراجعات'!$A$5:$A$1504,$A111,'سجل المراجعات'!$D$5:$D$1504,"رد بملاحظات"))</f>
        <v/>
      </c>
      <c r="M111" s="33" t="str">
        <f aca="false">IF($A111="","",_xlfn.MAXIFS('سجل المراجعات'!$E$5:$E$1504,'سجل المراجعات'!$A$5:$A$1504,$A111,'سجل المراجعات'!$D$5:$D$1504,"قبول"))</f>
        <v/>
      </c>
      <c r="N111" s="26" t="str">
        <f aca="false">IF($A111="","",COUNTIFS('سجل المراجعات'!$A$5:$A$1504,$A111,'سجل المراجعات'!$D$5:$D$1504,"تسليم"))</f>
        <v/>
      </c>
      <c r="O111" s="34" t="str">
        <f aca="false">IF($A111="","",IF(M111&gt;0,"تم القبول",IF(F111="معلق","معلق",IF(AND(L111&gt;0,L111&gt;=K111),"مُعاد بملاحظات",IF(K111&gt;0,"في انتظار القبول",IF(AND(ISNUMBER(E111),E111&lt;تاريخ_الاحتساب),"متأخر",IF(F111="","لم يبدأ",F111)))))))</f>
        <v/>
      </c>
      <c r="P111" s="26" t="str">
        <f aca="false">IF($A111="","",SUMIFS('سجل المراجعات'!$L$5:$L$1504,'سجل المراجعات'!$A$5:$A$1504,$A111))</f>
        <v/>
      </c>
      <c r="Q111" s="26" t="str">
        <f aca="false">IF($A111="","",SUMIFS('سجل المراجعات'!$M$5:$M$1504,'سجل المراجعات'!$A$5:$A$1504,$A111))</f>
        <v/>
      </c>
      <c r="R111" s="26" t="str">
        <f aca="false">IF(OR($A111="",NOT(ISNUMBER(E111))),"",MAX(0,NETWORKDAYS.INTL(E111,IF(J111&gt;0,J111,تاريخ_الاحتساب),رمز_العطلة,أيام_الأجازات)-1))</f>
        <v/>
      </c>
      <c r="S111" s="22"/>
    </row>
    <row r="112" customFormat="false" ht="15" hidden="false" customHeight="false" outlineLevel="0" collapsed="false">
      <c r="A112" s="20"/>
      <c r="B112" s="20"/>
      <c r="C112" s="30" t="str">
        <f aca="false">IF($A112="","",IFERROR(INDEX(بند_الاسم,MATCH($B112,قائمة_البنود,0)),"⚠ بند غير موجود"))</f>
        <v/>
      </c>
      <c r="D112" s="22"/>
      <c r="E112" s="31"/>
      <c r="F112" s="21"/>
      <c r="G112" s="32"/>
      <c r="H112" s="25" t="str">
        <f aca="false">IF($A112="","",IFERROR(INDEX(بند_سعر_الوحدة,MATCH($B112,قائمة_البنود,0)),0))</f>
        <v/>
      </c>
      <c r="I112" s="25" t="str">
        <f aca="false">IF($A112="","",H112*(1+نسبة_الضريبة))</f>
        <v/>
      </c>
      <c r="J112" s="33" t="str">
        <f aca="false">IF($A112="","",_xlfn.MINIFS('سجل المراجعات'!$E$5:$E$1504,'سجل المراجعات'!$A$5:$A$1504,$A112,'سجل المراجعات'!$D$5:$D$1504,"تسليم"))</f>
        <v/>
      </c>
      <c r="K112" s="33" t="str">
        <f aca="false">IF($A112="","",_xlfn.MAXIFS('سجل المراجعات'!$E$5:$E$1504,'سجل المراجعات'!$A$5:$A$1504,$A112,'سجل المراجعات'!$D$5:$D$1504,"تسليم"))</f>
        <v/>
      </c>
      <c r="L112" s="33" t="str">
        <f aca="false">IF($A112="","",_xlfn.MAXIFS('سجل المراجعات'!$E$5:$E$1504,'سجل المراجعات'!$A$5:$A$1504,$A112,'سجل المراجعات'!$D$5:$D$1504,"رد بملاحظات"))</f>
        <v/>
      </c>
      <c r="M112" s="33" t="str">
        <f aca="false">IF($A112="","",_xlfn.MAXIFS('سجل المراجعات'!$E$5:$E$1504,'سجل المراجعات'!$A$5:$A$1504,$A112,'سجل المراجعات'!$D$5:$D$1504,"قبول"))</f>
        <v/>
      </c>
      <c r="N112" s="26" t="str">
        <f aca="false">IF($A112="","",COUNTIFS('سجل المراجعات'!$A$5:$A$1504,$A112,'سجل المراجعات'!$D$5:$D$1504,"تسليم"))</f>
        <v/>
      </c>
      <c r="O112" s="34" t="str">
        <f aca="false">IF($A112="","",IF(M112&gt;0,"تم القبول",IF(F112="معلق","معلق",IF(AND(L112&gt;0,L112&gt;=K112),"مُعاد بملاحظات",IF(K112&gt;0,"في انتظار القبول",IF(AND(ISNUMBER(E112),E112&lt;تاريخ_الاحتساب),"متأخر",IF(F112="","لم يبدأ",F112)))))))</f>
        <v/>
      </c>
      <c r="P112" s="26" t="str">
        <f aca="false">IF($A112="","",SUMIFS('سجل المراجعات'!$L$5:$L$1504,'سجل المراجعات'!$A$5:$A$1504,$A112))</f>
        <v/>
      </c>
      <c r="Q112" s="26" t="str">
        <f aca="false">IF($A112="","",SUMIFS('سجل المراجعات'!$M$5:$M$1504,'سجل المراجعات'!$A$5:$A$1504,$A112))</f>
        <v/>
      </c>
      <c r="R112" s="26" t="str">
        <f aca="false">IF(OR($A112="",NOT(ISNUMBER(E112))),"",MAX(0,NETWORKDAYS.INTL(E112,IF(J112&gt;0,J112,تاريخ_الاحتساب),رمز_العطلة,أيام_الأجازات)-1))</f>
        <v/>
      </c>
      <c r="S112" s="22"/>
    </row>
    <row r="113" customFormat="false" ht="15" hidden="false" customHeight="false" outlineLevel="0" collapsed="false">
      <c r="A113" s="20"/>
      <c r="B113" s="20"/>
      <c r="C113" s="30" t="str">
        <f aca="false">IF($A113="","",IFERROR(INDEX(بند_الاسم,MATCH($B113,قائمة_البنود,0)),"⚠ بند غير موجود"))</f>
        <v/>
      </c>
      <c r="D113" s="22"/>
      <c r="E113" s="31"/>
      <c r="F113" s="21"/>
      <c r="G113" s="32"/>
      <c r="H113" s="25" t="str">
        <f aca="false">IF($A113="","",IFERROR(INDEX(بند_سعر_الوحدة,MATCH($B113,قائمة_البنود,0)),0))</f>
        <v/>
      </c>
      <c r="I113" s="25" t="str">
        <f aca="false">IF($A113="","",H113*(1+نسبة_الضريبة))</f>
        <v/>
      </c>
      <c r="J113" s="33" t="str">
        <f aca="false">IF($A113="","",_xlfn.MINIFS('سجل المراجعات'!$E$5:$E$1504,'سجل المراجعات'!$A$5:$A$1504,$A113,'سجل المراجعات'!$D$5:$D$1504,"تسليم"))</f>
        <v/>
      </c>
      <c r="K113" s="33" t="str">
        <f aca="false">IF($A113="","",_xlfn.MAXIFS('سجل المراجعات'!$E$5:$E$1504,'سجل المراجعات'!$A$5:$A$1504,$A113,'سجل المراجعات'!$D$5:$D$1504,"تسليم"))</f>
        <v/>
      </c>
      <c r="L113" s="33" t="str">
        <f aca="false">IF($A113="","",_xlfn.MAXIFS('سجل المراجعات'!$E$5:$E$1504,'سجل المراجعات'!$A$5:$A$1504,$A113,'سجل المراجعات'!$D$5:$D$1504,"رد بملاحظات"))</f>
        <v/>
      </c>
      <c r="M113" s="33" t="str">
        <f aca="false">IF($A113="","",_xlfn.MAXIFS('سجل المراجعات'!$E$5:$E$1504,'سجل المراجعات'!$A$5:$A$1504,$A113,'سجل المراجعات'!$D$5:$D$1504,"قبول"))</f>
        <v/>
      </c>
      <c r="N113" s="26" t="str">
        <f aca="false">IF($A113="","",COUNTIFS('سجل المراجعات'!$A$5:$A$1504,$A113,'سجل المراجعات'!$D$5:$D$1504,"تسليم"))</f>
        <v/>
      </c>
      <c r="O113" s="34" t="str">
        <f aca="false">IF($A113="","",IF(M113&gt;0,"تم القبول",IF(F113="معلق","معلق",IF(AND(L113&gt;0,L113&gt;=K113),"مُعاد بملاحظات",IF(K113&gt;0,"في انتظار القبول",IF(AND(ISNUMBER(E113),E113&lt;تاريخ_الاحتساب),"متأخر",IF(F113="","لم يبدأ",F113)))))))</f>
        <v/>
      </c>
      <c r="P113" s="26" t="str">
        <f aca="false">IF($A113="","",SUMIFS('سجل المراجعات'!$L$5:$L$1504,'سجل المراجعات'!$A$5:$A$1504,$A113))</f>
        <v/>
      </c>
      <c r="Q113" s="26" t="str">
        <f aca="false">IF($A113="","",SUMIFS('سجل المراجعات'!$M$5:$M$1504,'سجل المراجعات'!$A$5:$A$1504,$A113))</f>
        <v/>
      </c>
      <c r="R113" s="26" t="str">
        <f aca="false">IF(OR($A113="",NOT(ISNUMBER(E113))),"",MAX(0,NETWORKDAYS.INTL(E113,IF(J113&gt;0,J113,تاريخ_الاحتساب),رمز_العطلة,أيام_الأجازات)-1))</f>
        <v/>
      </c>
      <c r="S113" s="22"/>
    </row>
    <row r="114" customFormat="false" ht="15" hidden="false" customHeight="false" outlineLevel="0" collapsed="false">
      <c r="A114" s="20"/>
      <c r="B114" s="20"/>
      <c r="C114" s="30" t="str">
        <f aca="false">IF($A114="","",IFERROR(INDEX(بند_الاسم,MATCH($B114,قائمة_البنود,0)),"⚠ بند غير موجود"))</f>
        <v/>
      </c>
      <c r="D114" s="22"/>
      <c r="E114" s="31"/>
      <c r="F114" s="21"/>
      <c r="G114" s="32"/>
      <c r="H114" s="25" t="str">
        <f aca="false">IF($A114="","",IFERROR(INDEX(بند_سعر_الوحدة,MATCH($B114,قائمة_البنود,0)),0))</f>
        <v/>
      </c>
      <c r="I114" s="25" t="str">
        <f aca="false">IF($A114="","",H114*(1+نسبة_الضريبة))</f>
        <v/>
      </c>
      <c r="J114" s="33" t="str">
        <f aca="false">IF($A114="","",_xlfn.MINIFS('سجل المراجعات'!$E$5:$E$1504,'سجل المراجعات'!$A$5:$A$1504,$A114,'سجل المراجعات'!$D$5:$D$1504,"تسليم"))</f>
        <v/>
      </c>
      <c r="K114" s="33" t="str">
        <f aca="false">IF($A114="","",_xlfn.MAXIFS('سجل المراجعات'!$E$5:$E$1504,'سجل المراجعات'!$A$5:$A$1504,$A114,'سجل المراجعات'!$D$5:$D$1504,"تسليم"))</f>
        <v/>
      </c>
      <c r="L114" s="33" t="str">
        <f aca="false">IF($A114="","",_xlfn.MAXIFS('سجل المراجعات'!$E$5:$E$1504,'سجل المراجعات'!$A$5:$A$1504,$A114,'سجل المراجعات'!$D$5:$D$1504,"رد بملاحظات"))</f>
        <v/>
      </c>
      <c r="M114" s="33" t="str">
        <f aca="false">IF($A114="","",_xlfn.MAXIFS('سجل المراجعات'!$E$5:$E$1504,'سجل المراجعات'!$A$5:$A$1504,$A114,'سجل المراجعات'!$D$5:$D$1504,"قبول"))</f>
        <v/>
      </c>
      <c r="N114" s="26" t="str">
        <f aca="false">IF($A114="","",COUNTIFS('سجل المراجعات'!$A$5:$A$1504,$A114,'سجل المراجعات'!$D$5:$D$1504,"تسليم"))</f>
        <v/>
      </c>
      <c r="O114" s="34" t="str">
        <f aca="false">IF($A114="","",IF(M114&gt;0,"تم القبول",IF(F114="معلق","معلق",IF(AND(L114&gt;0,L114&gt;=K114),"مُعاد بملاحظات",IF(K114&gt;0,"في انتظار القبول",IF(AND(ISNUMBER(E114),E114&lt;تاريخ_الاحتساب),"متأخر",IF(F114="","لم يبدأ",F114)))))))</f>
        <v/>
      </c>
      <c r="P114" s="26" t="str">
        <f aca="false">IF($A114="","",SUMIFS('سجل المراجعات'!$L$5:$L$1504,'سجل المراجعات'!$A$5:$A$1504,$A114))</f>
        <v/>
      </c>
      <c r="Q114" s="26" t="str">
        <f aca="false">IF($A114="","",SUMIFS('سجل المراجعات'!$M$5:$M$1504,'سجل المراجعات'!$A$5:$A$1504,$A114))</f>
        <v/>
      </c>
      <c r="R114" s="26" t="str">
        <f aca="false">IF(OR($A114="",NOT(ISNUMBER(E114))),"",MAX(0,NETWORKDAYS.INTL(E114,IF(J114&gt;0,J114,تاريخ_الاحتساب),رمز_العطلة,أيام_الأجازات)-1))</f>
        <v/>
      </c>
      <c r="S114" s="22"/>
    </row>
    <row r="115" customFormat="false" ht="15" hidden="false" customHeight="false" outlineLevel="0" collapsed="false">
      <c r="A115" s="20"/>
      <c r="B115" s="20"/>
      <c r="C115" s="30" t="str">
        <f aca="false">IF($A115="","",IFERROR(INDEX(بند_الاسم,MATCH($B115,قائمة_البنود,0)),"⚠ بند غير موجود"))</f>
        <v/>
      </c>
      <c r="D115" s="22"/>
      <c r="E115" s="31"/>
      <c r="F115" s="21"/>
      <c r="G115" s="32"/>
      <c r="H115" s="25" t="str">
        <f aca="false">IF($A115="","",IFERROR(INDEX(بند_سعر_الوحدة,MATCH($B115,قائمة_البنود,0)),0))</f>
        <v/>
      </c>
      <c r="I115" s="25" t="str">
        <f aca="false">IF($A115="","",H115*(1+نسبة_الضريبة))</f>
        <v/>
      </c>
      <c r="J115" s="33" t="str">
        <f aca="false">IF($A115="","",_xlfn.MINIFS('سجل المراجعات'!$E$5:$E$1504,'سجل المراجعات'!$A$5:$A$1504,$A115,'سجل المراجعات'!$D$5:$D$1504,"تسليم"))</f>
        <v/>
      </c>
      <c r="K115" s="33" t="str">
        <f aca="false">IF($A115="","",_xlfn.MAXIFS('سجل المراجعات'!$E$5:$E$1504,'سجل المراجعات'!$A$5:$A$1504,$A115,'سجل المراجعات'!$D$5:$D$1504,"تسليم"))</f>
        <v/>
      </c>
      <c r="L115" s="33" t="str">
        <f aca="false">IF($A115="","",_xlfn.MAXIFS('سجل المراجعات'!$E$5:$E$1504,'سجل المراجعات'!$A$5:$A$1504,$A115,'سجل المراجعات'!$D$5:$D$1504,"رد بملاحظات"))</f>
        <v/>
      </c>
      <c r="M115" s="33" t="str">
        <f aca="false">IF($A115="","",_xlfn.MAXIFS('سجل المراجعات'!$E$5:$E$1504,'سجل المراجعات'!$A$5:$A$1504,$A115,'سجل المراجعات'!$D$5:$D$1504,"قبول"))</f>
        <v/>
      </c>
      <c r="N115" s="26" t="str">
        <f aca="false">IF($A115="","",COUNTIFS('سجل المراجعات'!$A$5:$A$1504,$A115,'سجل المراجعات'!$D$5:$D$1504,"تسليم"))</f>
        <v/>
      </c>
      <c r="O115" s="34" t="str">
        <f aca="false">IF($A115="","",IF(M115&gt;0,"تم القبول",IF(F115="معلق","معلق",IF(AND(L115&gt;0,L115&gt;=K115),"مُعاد بملاحظات",IF(K115&gt;0,"في انتظار القبول",IF(AND(ISNUMBER(E115),E115&lt;تاريخ_الاحتساب),"متأخر",IF(F115="","لم يبدأ",F115)))))))</f>
        <v/>
      </c>
      <c r="P115" s="26" t="str">
        <f aca="false">IF($A115="","",SUMIFS('سجل المراجعات'!$L$5:$L$1504,'سجل المراجعات'!$A$5:$A$1504,$A115))</f>
        <v/>
      </c>
      <c r="Q115" s="26" t="str">
        <f aca="false">IF($A115="","",SUMIFS('سجل المراجعات'!$M$5:$M$1504,'سجل المراجعات'!$A$5:$A$1504,$A115))</f>
        <v/>
      </c>
      <c r="R115" s="26" t="str">
        <f aca="false">IF(OR($A115="",NOT(ISNUMBER(E115))),"",MAX(0,NETWORKDAYS.INTL(E115,IF(J115&gt;0,J115,تاريخ_الاحتساب),رمز_العطلة,أيام_الأجازات)-1))</f>
        <v/>
      </c>
      <c r="S115" s="22"/>
    </row>
    <row r="116" customFormat="false" ht="15" hidden="false" customHeight="false" outlineLevel="0" collapsed="false">
      <c r="A116" s="20"/>
      <c r="B116" s="20"/>
      <c r="C116" s="30" t="str">
        <f aca="false">IF($A116="","",IFERROR(INDEX(بند_الاسم,MATCH($B116,قائمة_البنود,0)),"⚠ بند غير موجود"))</f>
        <v/>
      </c>
      <c r="D116" s="22"/>
      <c r="E116" s="31"/>
      <c r="F116" s="21"/>
      <c r="G116" s="32"/>
      <c r="H116" s="25" t="str">
        <f aca="false">IF($A116="","",IFERROR(INDEX(بند_سعر_الوحدة,MATCH($B116,قائمة_البنود,0)),0))</f>
        <v/>
      </c>
      <c r="I116" s="25" t="str">
        <f aca="false">IF($A116="","",H116*(1+نسبة_الضريبة))</f>
        <v/>
      </c>
      <c r="J116" s="33" t="str">
        <f aca="false">IF($A116="","",_xlfn.MINIFS('سجل المراجعات'!$E$5:$E$1504,'سجل المراجعات'!$A$5:$A$1504,$A116,'سجل المراجعات'!$D$5:$D$1504,"تسليم"))</f>
        <v/>
      </c>
      <c r="K116" s="33" t="str">
        <f aca="false">IF($A116="","",_xlfn.MAXIFS('سجل المراجعات'!$E$5:$E$1504,'سجل المراجعات'!$A$5:$A$1504,$A116,'سجل المراجعات'!$D$5:$D$1504,"تسليم"))</f>
        <v/>
      </c>
      <c r="L116" s="33" t="str">
        <f aca="false">IF($A116="","",_xlfn.MAXIFS('سجل المراجعات'!$E$5:$E$1504,'سجل المراجعات'!$A$5:$A$1504,$A116,'سجل المراجعات'!$D$5:$D$1504,"رد بملاحظات"))</f>
        <v/>
      </c>
      <c r="M116" s="33" t="str">
        <f aca="false">IF($A116="","",_xlfn.MAXIFS('سجل المراجعات'!$E$5:$E$1504,'سجل المراجعات'!$A$5:$A$1504,$A116,'سجل المراجعات'!$D$5:$D$1504,"قبول"))</f>
        <v/>
      </c>
      <c r="N116" s="26" t="str">
        <f aca="false">IF($A116="","",COUNTIFS('سجل المراجعات'!$A$5:$A$1504,$A116,'سجل المراجعات'!$D$5:$D$1504,"تسليم"))</f>
        <v/>
      </c>
      <c r="O116" s="34" t="str">
        <f aca="false">IF($A116="","",IF(M116&gt;0,"تم القبول",IF(F116="معلق","معلق",IF(AND(L116&gt;0,L116&gt;=K116),"مُعاد بملاحظات",IF(K116&gt;0,"في انتظار القبول",IF(AND(ISNUMBER(E116),E116&lt;تاريخ_الاحتساب),"متأخر",IF(F116="","لم يبدأ",F116)))))))</f>
        <v/>
      </c>
      <c r="P116" s="26" t="str">
        <f aca="false">IF($A116="","",SUMIFS('سجل المراجعات'!$L$5:$L$1504,'سجل المراجعات'!$A$5:$A$1504,$A116))</f>
        <v/>
      </c>
      <c r="Q116" s="26" t="str">
        <f aca="false">IF($A116="","",SUMIFS('سجل المراجعات'!$M$5:$M$1504,'سجل المراجعات'!$A$5:$A$1504,$A116))</f>
        <v/>
      </c>
      <c r="R116" s="26" t="str">
        <f aca="false">IF(OR($A116="",NOT(ISNUMBER(E116))),"",MAX(0,NETWORKDAYS.INTL(E116,IF(J116&gt;0,J116,تاريخ_الاحتساب),رمز_العطلة,أيام_الأجازات)-1))</f>
        <v/>
      </c>
      <c r="S116" s="22"/>
    </row>
    <row r="117" customFormat="false" ht="15" hidden="false" customHeight="false" outlineLevel="0" collapsed="false">
      <c r="A117" s="20"/>
      <c r="B117" s="20"/>
      <c r="C117" s="30" t="str">
        <f aca="false">IF($A117="","",IFERROR(INDEX(بند_الاسم,MATCH($B117,قائمة_البنود,0)),"⚠ بند غير موجود"))</f>
        <v/>
      </c>
      <c r="D117" s="22"/>
      <c r="E117" s="31"/>
      <c r="F117" s="21"/>
      <c r="G117" s="32"/>
      <c r="H117" s="25" t="str">
        <f aca="false">IF($A117="","",IFERROR(INDEX(بند_سعر_الوحدة,MATCH($B117,قائمة_البنود,0)),0))</f>
        <v/>
      </c>
      <c r="I117" s="25" t="str">
        <f aca="false">IF($A117="","",H117*(1+نسبة_الضريبة))</f>
        <v/>
      </c>
      <c r="J117" s="33" t="str">
        <f aca="false">IF($A117="","",_xlfn.MINIFS('سجل المراجعات'!$E$5:$E$1504,'سجل المراجعات'!$A$5:$A$1504,$A117,'سجل المراجعات'!$D$5:$D$1504,"تسليم"))</f>
        <v/>
      </c>
      <c r="K117" s="33" t="str">
        <f aca="false">IF($A117="","",_xlfn.MAXIFS('سجل المراجعات'!$E$5:$E$1504,'سجل المراجعات'!$A$5:$A$1504,$A117,'سجل المراجعات'!$D$5:$D$1504,"تسليم"))</f>
        <v/>
      </c>
      <c r="L117" s="33" t="str">
        <f aca="false">IF($A117="","",_xlfn.MAXIFS('سجل المراجعات'!$E$5:$E$1504,'سجل المراجعات'!$A$5:$A$1504,$A117,'سجل المراجعات'!$D$5:$D$1504,"رد بملاحظات"))</f>
        <v/>
      </c>
      <c r="M117" s="33" t="str">
        <f aca="false">IF($A117="","",_xlfn.MAXIFS('سجل المراجعات'!$E$5:$E$1504,'سجل المراجعات'!$A$5:$A$1504,$A117,'سجل المراجعات'!$D$5:$D$1504,"قبول"))</f>
        <v/>
      </c>
      <c r="N117" s="26" t="str">
        <f aca="false">IF($A117="","",COUNTIFS('سجل المراجعات'!$A$5:$A$1504,$A117,'سجل المراجعات'!$D$5:$D$1504,"تسليم"))</f>
        <v/>
      </c>
      <c r="O117" s="34" t="str">
        <f aca="false">IF($A117="","",IF(M117&gt;0,"تم القبول",IF(F117="معلق","معلق",IF(AND(L117&gt;0,L117&gt;=K117),"مُعاد بملاحظات",IF(K117&gt;0,"في انتظار القبول",IF(AND(ISNUMBER(E117),E117&lt;تاريخ_الاحتساب),"متأخر",IF(F117="","لم يبدأ",F117)))))))</f>
        <v/>
      </c>
      <c r="P117" s="26" t="str">
        <f aca="false">IF($A117="","",SUMIFS('سجل المراجعات'!$L$5:$L$1504,'سجل المراجعات'!$A$5:$A$1504,$A117))</f>
        <v/>
      </c>
      <c r="Q117" s="26" t="str">
        <f aca="false">IF($A117="","",SUMIFS('سجل المراجعات'!$M$5:$M$1504,'سجل المراجعات'!$A$5:$A$1504,$A117))</f>
        <v/>
      </c>
      <c r="R117" s="26" t="str">
        <f aca="false">IF(OR($A117="",NOT(ISNUMBER(E117))),"",MAX(0,NETWORKDAYS.INTL(E117,IF(J117&gt;0,J117,تاريخ_الاحتساب),رمز_العطلة,أيام_الأجازات)-1))</f>
        <v/>
      </c>
      <c r="S117" s="22"/>
    </row>
    <row r="118" customFormat="false" ht="15" hidden="false" customHeight="false" outlineLevel="0" collapsed="false">
      <c r="A118" s="20"/>
      <c r="B118" s="20"/>
      <c r="C118" s="30" t="str">
        <f aca="false">IF($A118="","",IFERROR(INDEX(بند_الاسم,MATCH($B118,قائمة_البنود,0)),"⚠ بند غير موجود"))</f>
        <v/>
      </c>
      <c r="D118" s="22"/>
      <c r="E118" s="31"/>
      <c r="F118" s="21"/>
      <c r="G118" s="32"/>
      <c r="H118" s="25" t="str">
        <f aca="false">IF($A118="","",IFERROR(INDEX(بند_سعر_الوحدة,MATCH($B118,قائمة_البنود,0)),0))</f>
        <v/>
      </c>
      <c r="I118" s="25" t="str">
        <f aca="false">IF($A118="","",H118*(1+نسبة_الضريبة))</f>
        <v/>
      </c>
      <c r="J118" s="33" t="str">
        <f aca="false">IF($A118="","",_xlfn.MINIFS('سجل المراجعات'!$E$5:$E$1504,'سجل المراجعات'!$A$5:$A$1504,$A118,'سجل المراجعات'!$D$5:$D$1504,"تسليم"))</f>
        <v/>
      </c>
      <c r="K118" s="33" t="str">
        <f aca="false">IF($A118="","",_xlfn.MAXIFS('سجل المراجعات'!$E$5:$E$1504,'سجل المراجعات'!$A$5:$A$1504,$A118,'سجل المراجعات'!$D$5:$D$1504,"تسليم"))</f>
        <v/>
      </c>
      <c r="L118" s="33" t="str">
        <f aca="false">IF($A118="","",_xlfn.MAXIFS('سجل المراجعات'!$E$5:$E$1504,'سجل المراجعات'!$A$5:$A$1504,$A118,'سجل المراجعات'!$D$5:$D$1504,"رد بملاحظات"))</f>
        <v/>
      </c>
      <c r="M118" s="33" t="str">
        <f aca="false">IF($A118="","",_xlfn.MAXIFS('سجل المراجعات'!$E$5:$E$1504,'سجل المراجعات'!$A$5:$A$1504,$A118,'سجل المراجعات'!$D$5:$D$1504,"قبول"))</f>
        <v/>
      </c>
      <c r="N118" s="26" t="str">
        <f aca="false">IF($A118="","",COUNTIFS('سجل المراجعات'!$A$5:$A$1504,$A118,'سجل المراجعات'!$D$5:$D$1504,"تسليم"))</f>
        <v/>
      </c>
      <c r="O118" s="34" t="str">
        <f aca="false">IF($A118="","",IF(M118&gt;0,"تم القبول",IF(F118="معلق","معلق",IF(AND(L118&gt;0,L118&gt;=K118),"مُعاد بملاحظات",IF(K118&gt;0,"في انتظار القبول",IF(AND(ISNUMBER(E118),E118&lt;تاريخ_الاحتساب),"متأخر",IF(F118="","لم يبدأ",F118)))))))</f>
        <v/>
      </c>
      <c r="P118" s="26" t="str">
        <f aca="false">IF($A118="","",SUMIFS('سجل المراجعات'!$L$5:$L$1504,'سجل المراجعات'!$A$5:$A$1504,$A118))</f>
        <v/>
      </c>
      <c r="Q118" s="26" t="str">
        <f aca="false">IF($A118="","",SUMIFS('سجل المراجعات'!$M$5:$M$1504,'سجل المراجعات'!$A$5:$A$1504,$A118))</f>
        <v/>
      </c>
      <c r="R118" s="26" t="str">
        <f aca="false">IF(OR($A118="",NOT(ISNUMBER(E118))),"",MAX(0,NETWORKDAYS.INTL(E118,IF(J118&gt;0,J118,تاريخ_الاحتساب),رمز_العطلة,أيام_الأجازات)-1))</f>
        <v/>
      </c>
      <c r="S118" s="22"/>
    </row>
    <row r="119" customFormat="false" ht="15" hidden="false" customHeight="false" outlineLevel="0" collapsed="false">
      <c r="A119" s="20"/>
      <c r="B119" s="20"/>
      <c r="C119" s="30" t="str">
        <f aca="false">IF($A119="","",IFERROR(INDEX(بند_الاسم,MATCH($B119,قائمة_البنود,0)),"⚠ بند غير موجود"))</f>
        <v/>
      </c>
      <c r="D119" s="22"/>
      <c r="E119" s="31"/>
      <c r="F119" s="21"/>
      <c r="G119" s="32"/>
      <c r="H119" s="25" t="str">
        <f aca="false">IF($A119="","",IFERROR(INDEX(بند_سعر_الوحدة,MATCH($B119,قائمة_البنود,0)),0))</f>
        <v/>
      </c>
      <c r="I119" s="25" t="str">
        <f aca="false">IF($A119="","",H119*(1+نسبة_الضريبة))</f>
        <v/>
      </c>
      <c r="J119" s="33" t="str">
        <f aca="false">IF($A119="","",_xlfn.MINIFS('سجل المراجعات'!$E$5:$E$1504,'سجل المراجعات'!$A$5:$A$1504,$A119,'سجل المراجعات'!$D$5:$D$1504,"تسليم"))</f>
        <v/>
      </c>
      <c r="K119" s="33" t="str">
        <f aca="false">IF($A119="","",_xlfn.MAXIFS('سجل المراجعات'!$E$5:$E$1504,'سجل المراجعات'!$A$5:$A$1504,$A119,'سجل المراجعات'!$D$5:$D$1504,"تسليم"))</f>
        <v/>
      </c>
      <c r="L119" s="33" t="str">
        <f aca="false">IF($A119="","",_xlfn.MAXIFS('سجل المراجعات'!$E$5:$E$1504,'سجل المراجعات'!$A$5:$A$1504,$A119,'سجل المراجعات'!$D$5:$D$1504,"رد بملاحظات"))</f>
        <v/>
      </c>
      <c r="M119" s="33" t="str">
        <f aca="false">IF($A119="","",_xlfn.MAXIFS('سجل المراجعات'!$E$5:$E$1504,'سجل المراجعات'!$A$5:$A$1504,$A119,'سجل المراجعات'!$D$5:$D$1504,"قبول"))</f>
        <v/>
      </c>
      <c r="N119" s="26" t="str">
        <f aca="false">IF($A119="","",COUNTIFS('سجل المراجعات'!$A$5:$A$1504,$A119,'سجل المراجعات'!$D$5:$D$1504,"تسليم"))</f>
        <v/>
      </c>
      <c r="O119" s="34" t="str">
        <f aca="false">IF($A119="","",IF(M119&gt;0,"تم القبول",IF(F119="معلق","معلق",IF(AND(L119&gt;0,L119&gt;=K119),"مُعاد بملاحظات",IF(K119&gt;0,"في انتظار القبول",IF(AND(ISNUMBER(E119),E119&lt;تاريخ_الاحتساب),"متأخر",IF(F119="","لم يبدأ",F119)))))))</f>
        <v/>
      </c>
      <c r="P119" s="26" t="str">
        <f aca="false">IF($A119="","",SUMIFS('سجل المراجعات'!$L$5:$L$1504,'سجل المراجعات'!$A$5:$A$1504,$A119))</f>
        <v/>
      </c>
      <c r="Q119" s="26" t="str">
        <f aca="false">IF($A119="","",SUMIFS('سجل المراجعات'!$M$5:$M$1504,'سجل المراجعات'!$A$5:$A$1504,$A119))</f>
        <v/>
      </c>
      <c r="R119" s="26" t="str">
        <f aca="false">IF(OR($A119="",NOT(ISNUMBER(E119))),"",MAX(0,NETWORKDAYS.INTL(E119,IF(J119&gt;0,J119,تاريخ_الاحتساب),رمز_العطلة,أيام_الأجازات)-1))</f>
        <v/>
      </c>
      <c r="S119" s="22"/>
    </row>
    <row r="120" customFormat="false" ht="15" hidden="false" customHeight="false" outlineLevel="0" collapsed="false">
      <c r="A120" s="20"/>
      <c r="B120" s="20"/>
      <c r="C120" s="30" t="str">
        <f aca="false">IF($A120="","",IFERROR(INDEX(بند_الاسم,MATCH($B120,قائمة_البنود,0)),"⚠ بند غير موجود"))</f>
        <v/>
      </c>
      <c r="D120" s="22"/>
      <c r="E120" s="31"/>
      <c r="F120" s="21"/>
      <c r="G120" s="32"/>
      <c r="H120" s="25" t="str">
        <f aca="false">IF($A120="","",IFERROR(INDEX(بند_سعر_الوحدة,MATCH($B120,قائمة_البنود,0)),0))</f>
        <v/>
      </c>
      <c r="I120" s="25" t="str">
        <f aca="false">IF($A120="","",H120*(1+نسبة_الضريبة))</f>
        <v/>
      </c>
      <c r="J120" s="33" t="str">
        <f aca="false">IF($A120="","",_xlfn.MINIFS('سجل المراجعات'!$E$5:$E$1504,'سجل المراجعات'!$A$5:$A$1504,$A120,'سجل المراجعات'!$D$5:$D$1504,"تسليم"))</f>
        <v/>
      </c>
      <c r="K120" s="33" t="str">
        <f aca="false">IF($A120="","",_xlfn.MAXIFS('سجل المراجعات'!$E$5:$E$1504,'سجل المراجعات'!$A$5:$A$1504,$A120,'سجل المراجعات'!$D$5:$D$1504,"تسليم"))</f>
        <v/>
      </c>
      <c r="L120" s="33" t="str">
        <f aca="false">IF($A120="","",_xlfn.MAXIFS('سجل المراجعات'!$E$5:$E$1504,'سجل المراجعات'!$A$5:$A$1504,$A120,'سجل المراجعات'!$D$5:$D$1504,"رد بملاحظات"))</f>
        <v/>
      </c>
      <c r="M120" s="33" t="str">
        <f aca="false">IF($A120="","",_xlfn.MAXIFS('سجل المراجعات'!$E$5:$E$1504,'سجل المراجعات'!$A$5:$A$1504,$A120,'سجل المراجعات'!$D$5:$D$1504,"قبول"))</f>
        <v/>
      </c>
      <c r="N120" s="26" t="str">
        <f aca="false">IF($A120="","",COUNTIFS('سجل المراجعات'!$A$5:$A$1504,$A120,'سجل المراجعات'!$D$5:$D$1504,"تسليم"))</f>
        <v/>
      </c>
      <c r="O120" s="34" t="str">
        <f aca="false">IF($A120="","",IF(M120&gt;0,"تم القبول",IF(F120="معلق","معلق",IF(AND(L120&gt;0,L120&gt;=K120),"مُعاد بملاحظات",IF(K120&gt;0,"في انتظار القبول",IF(AND(ISNUMBER(E120),E120&lt;تاريخ_الاحتساب),"متأخر",IF(F120="","لم يبدأ",F120)))))))</f>
        <v/>
      </c>
      <c r="P120" s="26" t="str">
        <f aca="false">IF($A120="","",SUMIFS('سجل المراجعات'!$L$5:$L$1504,'سجل المراجعات'!$A$5:$A$1504,$A120))</f>
        <v/>
      </c>
      <c r="Q120" s="26" t="str">
        <f aca="false">IF($A120="","",SUMIFS('سجل المراجعات'!$M$5:$M$1504,'سجل المراجعات'!$A$5:$A$1504,$A120))</f>
        <v/>
      </c>
      <c r="R120" s="26" t="str">
        <f aca="false">IF(OR($A120="",NOT(ISNUMBER(E120))),"",MAX(0,NETWORKDAYS.INTL(E120,IF(J120&gt;0,J120,تاريخ_الاحتساب),رمز_العطلة,أيام_الأجازات)-1))</f>
        <v/>
      </c>
      <c r="S120" s="22"/>
    </row>
    <row r="121" customFormat="false" ht="15" hidden="false" customHeight="false" outlineLevel="0" collapsed="false">
      <c r="A121" s="20"/>
      <c r="B121" s="20"/>
      <c r="C121" s="30" t="str">
        <f aca="false">IF($A121="","",IFERROR(INDEX(بند_الاسم,MATCH($B121,قائمة_البنود,0)),"⚠ بند غير موجود"))</f>
        <v/>
      </c>
      <c r="D121" s="22"/>
      <c r="E121" s="31"/>
      <c r="F121" s="21"/>
      <c r="G121" s="32"/>
      <c r="H121" s="25" t="str">
        <f aca="false">IF($A121="","",IFERROR(INDEX(بند_سعر_الوحدة,MATCH($B121,قائمة_البنود,0)),0))</f>
        <v/>
      </c>
      <c r="I121" s="25" t="str">
        <f aca="false">IF($A121="","",H121*(1+نسبة_الضريبة))</f>
        <v/>
      </c>
      <c r="J121" s="33" t="str">
        <f aca="false">IF($A121="","",_xlfn.MINIFS('سجل المراجعات'!$E$5:$E$1504,'سجل المراجعات'!$A$5:$A$1504,$A121,'سجل المراجعات'!$D$5:$D$1504,"تسليم"))</f>
        <v/>
      </c>
      <c r="K121" s="33" t="str">
        <f aca="false">IF($A121="","",_xlfn.MAXIFS('سجل المراجعات'!$E$5:$E$1504,'سجل المراجعات'!$A$5:$A$1504,$A121,'سجل المراجعات'!$D$5:$D$1504,"تسليم"))</f>
        <v/>
      </c>
      <c r="L121" s="33" t="str">
        <f aca="false">IF($A121="","",_xlfn.MAXIFS('سجل المراجعات'!$E$5:$E$1504,'سجل المراجعات'!$A$5:$A$1504,$A121,'سجل المراجعات'!$D$5:$D$1504,"رد بملاحظات"))</f>
        <v/>
      </c>
      <c r="M121" s="33" t="str">
        <f aca="false">IF($A121="","",_xlfn.MAXIFS('سجل المراجعات'!$E$5:$E$1504,'سجل المراجعات'!$A$5:$A$1504,$A121,'سجل المراجعات'!$D$5:$D$1504,"قبول"))</f>
        <v/>
      </c>
      <c r="N121" s="26" t="str">
        <f aca="false">IF($A121="","",COUNTIFS('سجل المراجعات'!$A$5:$A$1504,$A121,'سجل المراجعات'!$D$5:$D$1504,"تسليم"))</f>
        <v/>
      </c>
      <c r="O121" s="34" t="str">
        <f aca="false">IF($A121="","",IF(M121&gt;0,"تم القبول",IF(F121="معلق","معلق",IF(AND(L121&gt;0,L121&gt;=K121),"مُعاد بملاحظات",IF(K121&gt;0,"في انتظار القبول",IF(AND(ISNUMBER(E121),E121&lt;تاريخ_الاحتساب),"متأخر",IF(F121="","لم يبدأ",F121)))))))</f>
        <v/>
      </c>
      <c r="P121" s="26" t="str">
        <f aca="false">IF($A121="","",SUMIFS('سجل المراجعات'!$L$5:$L$1504,'سجل المراجعات'!$A$5:$A$1504,$A121))</f>
        <v/>
      </c>
      <c r="Q121" s="26" t="str">
        <f aca="false">IF($A121="","",SUMIFS('سجل المراجعات'!$M$5:$M$1504,'سجل المراجعات'!$A$5:$A$1504,$A121))</f>
        <v/>
      </c>
      <c r="R121" s="26" t="str">
        <f aca="false">IF(OR($A121="",NOT(ISNUMBER(E121))),"",MAX(0,NETWORKDAYS.INTL(E121,IF(J121&gt;0,J121,تاريخ_الاحتساب),رمز_العطلة,أيام_الأجازات)-1))</f>
        <v/>
      </c>
      <c r="S121" s="22"/>
    </row>
    <row r="122" customFormat="false" ht="15" hidden="false" customHeight="false" outlineLevel="0" collapsed="false">
      <c r="A122" s="20"/>
      <c r="B122" s="20"/>
      <c r="C122" s="30" t="str">
        <f aca="false">IF($A122="","",IFERROR(INDEX(بند_الاسم,MATCH($B122,قائمة_البنود,0)),"⚠ بند غير موجود"))</f>
        <v/>
      </c>
      <c r="D122" s="22"/>
      <c r="E122" s="31"/>
      <c r="F122" s="21"/>
      <c r="G122" s="32"/>
      <c r="H122" s="25" t="str">
        <f aca="false">IF($A122="","",IFERROR(INDEX(بند_سعر_الوحدة,MATCH($B122,قائمة_البنود,0)),0))</f>
        <v/>
      </c>
      <c r="I122" s="25" t="str">
        <f aca="false">IF($A122="","",H122*(1+نسبة_الضريبة))</f>
        <v/>
      </c>
      <c r="J122" s="33" t="str">
        <f aca="false">IF($A122="","",_xlfn.MINIFS('سجل المراجعات'!$E$5:$E$1504,'سجل المراجعات'!$A$5:$A$1504,$A122,'سجل المراجعات'!$D$5:$D$1504,"تسليم"))</f>
        <v/>
      </c>
      <c r="K122" s="33" t="str">
        <f aca="false">IF($A122="","",_xlfn.MAXIFS('سجل المراجعات'!$E$5:$E$1504,'سجل المراجعات'!$A$5:$A$1504,$A122,'سجل المراجعات'!$D$5:$D$1504,"تسليم"))</f>
        <v/>
      </c>
      <c r="L122" s="33" t="str">
        <f aca="false">IF($A122="","",_xlfn.MAXIFS('سجل المراجعات'!$E$5:$E$1504,'سجل المراجعات'!$A$5:$A$1504,$A122,'سجل المراجعات'!$D$5:$D$1504,"رد بملاحظات"))</f>
        <v/>
      </c>
      <c r="M122" s="33" t="str">
        <f aca="false">IF($A122="","",_xlfn.MAXIFS('سجل المراجعات'!$E$5:$E$1504,'سجل المراجعات'!$A$5:$A$1504,$A122,'سجل المراجعات'!$D$5:$D$1504,"قبول"))</f>
        <v/>
      </c>
      <c r="N122" s="26" t="str">
        <f aca="false">IF($A122="","",COUNTIFS('سجل المراجعات'!$A$5:$A$1504,$A122,'سجل المراجعات'!$D$5:$D$1504,"تسليم"))</f>
        <v/>
      </c>
      <c r="O122" s="34" t="str">
        <f aca="false">IF($A122="","",IF(M122&gt;0,"تم القبول",IF(F122="معلق","معلق",IF(AND(L122&gt;0,L122&gt;=K122),"مُعاد بملاحظات",IF(K122&gt;0,"في انتظار القبول",IF(AND(ISNUMBER(E122),E122&lt;تاريخ_الاحتساب),"متأخر",IF(F122="","لم يبدأ",F122)))))))</f>
        <v/>
      </c>
      <c r="P122" s="26" t="str">
        <f aca="false">IF($A122="","",SUMIFS('سجل المراجعات'!$L$5:$L$1504,'سجل المراجعات'!$A$5:$A$1504,$A122))</f>
        <v/>
      </c>
      <c r="Q122" s="26" t="str">
        <f aca="false">IF($A122="","",SUMIFS('سجل المراجعات'!$M$5:$M$1504,'سجل المراجعات'!$A$5:$A$1504,$A122))</f>
        <v/>
      </c>
      <c r="R122" s="26" t="str">
        <f aca="false">IF(OR($A122="",NOT(ISNUMBER(E122))),"",MAX(0,NETWORKDAYS.INTL(E122,IF(J122&gt;0,J122,تاريخ_الاحتساب),رمز_العطلة,أيام_الأجازات)-1))</f>
        <v/>
      </c>
      <c r="S122" s="22"/>
    </row>
    <row r="123" customFormat="false" ht="15" hidden="false" customHeight="false" outlineLevel="0" collapsed="false">
      <c r="A123" s="20"/>
      <c r="B123" s="20"/>
      <c r="C123" s="30" t="str">
        <f aca="false">IF($A123="","",IFERROR(INDEX(بند_الاسم,MATCH($B123,قائمة_البنود,0)),"⚠ بند غير موجود"))</f>
        <v/>
      </c>
      <c r="D123" s="22"/>
      <c r="E123" s="31"/>
      <c r="F123" s="21"/>
      <c r="G123" s="32"/>
      <c r="H123" s="25" t="str">
        <f aca="false">IF($A123="","",IFERROR(INDEX(بند_سعر_الوحدة,MATCH($B123,قائمة_البنود,0)),0))</f>
        <v/>
      </c>
      <c r="I123" s="25" t="str">
        <f aca="false">IF($A123="","",H123*(1+نسبة_الضريبة))</f>
        <v/>
      </c>
      <c r="J123" s="33" t="str">
        <f aca="false">IF($A123="","",_xlfn.MINIFS('سجل المراجعات'!$E$5:$E$1504,'سجل المراجعات'!$A$5:$A$1504,$A123,'سجل المراجعات'!$D$5:$D$1504,"تسليم"))</f>
        <v/>
      </c>
      <c r="K123" s="33" t="str">
        <f aca="false">IF($A123="","",_xlfn.MAXIFS('سجل المراجعات'!$E$5:$E$1504,'سجل المراجعات'!$A$5:$A$1504,$A123,'سجل المراجعات'!$D$5:$D$1504,"تسليم"))</f>
        <v/>
      </c>
      <c r="L123" s="33" t="str">
        <f aca="false">IF($A123="","",_xlfn.MAXIFS('سجل المراجعات'!$E$5:$E$1504,'سجل المراجعات'!$A$5:$A$1504,$A123,'سجل المراجعات'!$D$5:$D$1504,"رد بملاحظات"))</f>
        <v/>
      </c>
      <c r="M123" s="33" t="str">
        <f aca="false">IF($A123="","",_xlfn.MAXIFS('سجل المراجعات'!$E$5:$E$1504,'سجل المراجعات'!$A$5:$A$1504,$A123,'سجل المراجعات'!$D$5:$D$1504,"قبول"))</f>
        <v/>
      </c>
      <c r="N123" s="26" t="str">
        <f aca="false">IF($A123="","",COUNTIFS('سجل المراجعات'!$A$5:$A$1504,$A123,'سجل المراجعات'!$D$5:$D$1504,"تسليم"))</f>
        <v/>
      </c>
      <c r="O123" s="34" t="str">
        <f aca="false">IF($A123="","",IF(M123&gt;0,"تم القبول",IF(F123="معلق","معلق",IF(AND(L123&gt;0,L123&gt;=K123),"مُعاد بملاحظات",IF(K123&gt;0,"في انتظار القبول",IF(AND(ISNUMBER(E123),E123&lt;تاريخ_الاحتساب),"متأخر",IF(F123="","لم يبدأ",F123)))))))</f>
        <v/>
      </c>
      <c r="P123" s="26" t="str">
        <f aca="false">IF($A123="","",SUMIFS('سجل المراجعات'!$L$5:$L$1504,'سجل المراجعات'!$A$5:$A$1504,$A123))</f>
        <v/>
      </c>
      <c r="Q123" s="26" t="str">
        <f aca="false">IF($A123="","",SUMIFS('سجل المراجعات'!$M$5:$M$1504,'سجل المراجعات'!$A$5:$A$1504,$A123))</f>
        <v/>
      </c>
      <c r="R123" s="26" t="str">
        <f aca="false">IF(OR($A123="",NOT(ISNUMBER(E123))),"",MAX(0,NETWORKDAYS.INTL(E123,IF(J123&gt;0,J123,تاريخ_الاحتساب),رمز_العطلة,أيام_الأجازات)-1))</f>
        <v/>
      </c>
      <c r="S123" s="22"/>
    </row>
    <row r="124" customFormat="false" ht="15" hidden="false" customHeight="false" outlineLevel="0" collapsed="false">
      <c r="A124" s="20"/>
      <c r="B124" s="20"/>
      <c r="C124" s="30" t="str">
        <f aca="false">IF($A124="","",IFERROR(INDEX(بند_الاسم,MATCH($B124,قائمة_البنود,0)),"⚠ بند غير موجود"))</f>
        <v/>
      </c>
      <c r="D124" s="22"/>
      <c r="E124" s="31"/>
      <c r="F124" s="21"/>
      <c r="G124" s="32"/>
      <c r="H124" s="25" t="str">
        <f aca="false">IF($A124="","",IFERROR(INDEX(بند_سعر_الوحدة,MATCH($B124,قائمة_البنود,0)),0))</f>
        <v/>
      </c>
      <c r="I124" s="25" t="str">
        <f aca="false">IF($A124="","",H124*(1+نسبة_الضريبة))</f>
        <v/>
      </c>
      <c r="J124" s="33" t="str">
        <f aca="false">IF($A124="","",_xlfn.MINIFS('سجل المراجعات'!$E$5:$E$1504,'سجل المراجعات'!$A$5:$A$1504,$A124,'سجل المراجعات'!$D$5:$D$1504,"تسليم"))</f>
        <v/>
      </c>
      <c r="K124" s="33" t="str">
        <f aca="false">IF($A124="","",_xlfn.MAXIFS('سجل المراجعات'!$E$5:$E$1504,'سجل المراجعات'!$A$5:$A$1504,$A124,'سجل المراجعات'!$D$5:$D$1504,"تسليم"))</f>
        <v/>
      </c>
      <c r="L124" s="33" t="str">
        <f aca="false">IF($A124="","",_xlfn.MAXIFS('سجل المراجعات'!$E$5:$E$1504,'سجل المراجعات'!$A$5:$A$1504,$A124,'سجل المراجعات'!$D$5:$D$1504,"رد بملاحظات"))</f>
        <v/>
      </c>
      <c r="M124" s="33" t="str">
        <f aca="false">IF($A124="","",_xlfn.MAXIFS('سجل المراجعات'!$E$5:$E$1504,'سجل المراجعات'!$A$5:$A$1504,$A124,'سجل المراجعات'!$D$5:$D$1504,"قبول"))</f>
        <v/>
      </c>
      <c r="N124" s="26" t="str">
        <f aca="false">IF($A124="","",COUNTIFS('سجل المراجعات'!$A$5:$A$1504,$A124,'سجل المراجعات'!$D$5:$D$1504,"تسليم"))</f>
        <v/>
      </c>
      <c r="O124" s="34" t="str">
        <f aca="false">IF($A124="","",IF(M124&gt;0,"تم القبول",IF(F124="معلق","معلق",IF(AND(L124&gt;0,L124&gt;=K124),"مُعاد بملاحظات",IF(K124&gt;0,"في انتظار القبول",IF(AND(ISNUMBER(E124),E124&lt;تاريخ_الاحتساب),"متأخر",IF(F124="","لم يبدأ",F124)))))))</f>
        <v/>
      </c>
      <c r="P124" s="26" t="str">
        <f aca="false">IF($A124="","",SUMIFS('سجل المراجعات'!$L$5:$L$1504,'سجل المراجعات'!$A$5:$A$1504,$A124))</f>
        <v/>
      </c>
      <c r="Q124" s="26" t="str">
        <f aca="false">IF($A124="","",SUMIFS('سجل المراجعات'!$M$5:$M$1504,'سجل المراجعات'!$A$5:$A$1504,$A124))</f>
        <v/>
      </c>
      <c r="R124" s="26" t="str">
        <f aca="false">IF(OR($A124="",NOT(ISNUMBER(E124))),"",MAX(0,NETWORKDAYS.INTL(E124,IF(J124&gt;0,J124,تاريخ_الاحتساب),رمز_العطلة,أيام_الأجازات)-1))</f>
        <v/>
      </c>
      <c r="S124" s="22"/>
    </row>
    <row r="125" customFormat="false" ht="15" hidden="false" customHeight="false" outlineLevel="0" collapsed="false">
      <c r="A125" s="20"/>
      <c r="B125" s="20"/>
      <c r="C125" s="30" t="str">
        <f aca="false">IF($A125="","",IFERROR(INDEX(بند_الاسم,MATCH($B125,قائمة_البنود,0)),"⚠ بند غير موجود"))</f>
        <v/>
      </c>
      <c r="D125" s="22"/>
      <c r="E125" s="31"/>
      <c r="F125" s="21"/>
      <c r="G125" s="32"/>
      <c r="H125" s="25" t="str">
        <f aca="false">IF($A125="","",IFERROR(INDEX(بند_سعر_الوحدة,MATCH($B125,قائمة_البنود,0)),0))</f>
        <v/>
      </c>
      <c r="I125" s="25" t="str">
        <f aca="false">IF($A125="","",H125*(1+نسبة_الضريبة))</f>
        <v/>
      </c>
      <c r="J125" s="33" t="str">
        <f aca="false">IF($A125="","",_xlfn.MINIFS('سجل المراجعات'!$E$5:$E$1504,'سجل المراجعات'!$A$5:$A$1504,$A125,'سجل المراجعات'!$D$5:$D$1504,"تسليم"))</f>
        <v/>
      </c>
      <c r="K125" s="33" t="str">
        <f aca="false">IF($A125="","",_xlfn.MAXIFS('سجل المراجعات'!$E$5:$E$1504,'سجل المراجعات'!$A$5:$A$1504,$A125,'سجل المراجعات'!$D$5:$D$1504,"تسليم"))</f>
        <v/>
      </c>
      <c r="L125" s="33" t="str">
        <f aca="false">IF($A125="","",_xlfn.MAXIFS('سجل المراجعات'!$E$5:$E$1504,'سجل المراجعات'!$A$5:$A$1504,$A125,'سجل المراجعات'!$D$5:$D$1504,"رد بملاحظات"))</f>
        <v/>
      </c>
      <c r="M125" s="33" t="str">
        <f aca="false">IF($A125="","",_xlfn.MAXIFS('سجل المراجعات'!$E$5:$E$1504,'سجل المراجعات'!$A$5:$A$1504,$A125,'سجل المراجعات'!$D$5:$D$1504,"قبول"))</f>
        <v/>
      </c>
      <c r="N125" s="26" t="str">
        <f aca="false">IF($A125="","",COUNTIFS('سجل المراجعات'!$A$5:$A$1504,$A125,'سجل المراجعات'!$D$5:$D$1504,"تسليم"))</f>
        <v/>
      </c>
      <c r="O125" s="34" t="str">
        <f aca="false">IF($A125="","",IF(M125&gt;0,"تم القبول",IF(F125="معلق","معلق",IF(AND(L125&gt;0,L125&gt;=K125),"مُعاد بملاحظات",IF(K125&gt;0,"في انتظار القبول",IF(AND(ISNUMBER(E125),E125&lt;تاريخ_الاحتساب),"متأخر",IF(F125="","لم يبدأ",F125)))))))</f>
        <v/>
      </c>
      <c r="P125" s="26" t="str">
        <f aca="false">IF($A125="","",SUMIFS('سجل المراجعات'!$L$5:$L$1504,'سجل المراجعات'!$A$5:$A$1504,$A125))</f>
        <v/>
      </c>
      <c r="Q125" s="26" t="str">
        <f aca="false">IF($A125="","",SUMIFS('سجل المراجعات'!$M$5:$M$1504,'سجل المراجعات'!$A$5:$A$1504,$A125))</f>
        <v/>
      </c>
      <c r="R125" s="26" t="str">
        <f aca="false">IF(OR($A125="",NOT(ISNUMBER(E125))),"",MAX(0,NETWORKDAYS.INTL(E125,IF(J125&gt;0,J125,تاريخ_الاحتساب),رمز_العطلة,أيام_الأجازات)-1))</f>
        <v/>
      </c>
      <c r="S125" s="22"/>
    </row>
    <row r="126" customFormat="false" ht="15" hidden="false" customHeight="false" outlineLevel="0" collapsed="false">
      <c r="A126" s="20"/>
      <c r="B126" s="20"/>
      <c r="C126" s="30" t="str">
        <f aca="false">IF($A126="","",IFERROR(INDEX(بند_الاسم,MATCH($B126,قائمة_البنود,0)),"⚠ بند غير موجود"))</f>
        <v/>
      </c>
      <c r="D126" s="22"/>
      <c r="E126" s="31"/>
      <c r="F126" s="21"/>
      <c r="G126" s="32"/>
      <c r="H126" s="25" t="str">
        <f aca="false">IF($A126="","",IFERROR(INDEX(بند_سعر_الوحدة,MATCH($B126,قائمة_البنود,0)),0))</f>
        <v/>
      </c>
      <c r="I126" s="25" t="str">
        <f aca="false">IF($A126="","",H126*(1+نسبة_الضريبة))</f>
        <v/>
      </c>
      <c r="J126" s="33" t="str">
        <f aca="false">IF($A126="","",_xlfn.MINIFS('سجل المراجعات'!$E$5:$E$1504,'سجل المراجعات'!$A$5:$A$1504,$A126,'سجل المراجعات'!$D$5:$D$1504,"تسليم"))</f>
        <v/>
      </c>
      <c r="K126" s="33" t="str">
        <f aca="false">IF($A126="","",_xlfn.MAXIFS('سجل المراجعات'!$E$5:$E$1504,'سجل المراجعات'!$A$5:$A$1504,$A126,'سجل المراجعات'!$D$5:$D$1504,"تسليم"))</f>
        <v/>
      </c>
      <c r="L126" s="33" t="str">
        <f aca="false">IF($A126="","",_xlfn.MAXIFS('سجل المراجعات'!$E$5:$E$1504,'سجل المراجعات'!$A$5:$A$1504,$A126,'سجل المراجعات'!$D$5:$D$1504,"رد بملاحظات"))</f>
        <v/>
      </c>
      <c r="M126" s="33" t="str">
        <f aca="false">IF($A126="","",_xlfn.MAXIFS('سجل المراجعات'!$E$5:$E$1504,'سجل المراجعات'!$A$5:$A$1504,$A126,'سجل المراجعات'!$D$5:$D$1504,"قبول"))</f>
        <v/>
      </c>
      <c r="N126" s="26" t="str">
        <f aca="false">IF($A126="","",COUNTIFS('سجل المراجعات'!$A$5:$A$1504,$A126,'سجل المراجعات'!$D$5:$D$1504,"تسليم"))</f>
        <v/>
      </c>
      <c r="O126" s="34" t="str">
        <f aca="false">IF($A126="","",IF(M126&gt;0,"تم القبول",IF(F126="معلق","معلق",IF(AND(L126&gt;0,L126&gt;=K126),"مُعاد بملاحظات",IF(K126&gt;0,"في انتظار القبول",IF(AND(ISNUMBER(E126),E126&lt;تاريخ_الاحتساب),"متأخر",IF(F126="","لم يبدأ",F126)))))))</f>
        <v/>
      </c>
      <c r="P126" s="26" t="str">
        <f aca="false">IF($A126="","",SUMIFS('سجل المراجعات'!$L$5:$L$1504,'سجل المراجعات'!$A$5:$A$1504,$A126))</f>
        <v/>
      </c>
      <c r="Q126" s="26" t="str">
        <f aca="false">IF($A126="","",SUMIFS('سجل المراجعات'!$M$5:$M$1504,'سجل المراجعات'!$A$5:$A$1504,$A126))</f>
        <v/>
      </c>
      <c r="R126" s="26" t="str">
        <f aca="false">IF(OR($A126="",NOT(ISNUMBER(E126))),"",MAX(0,NETWORKDAYS.INTL(E126,IF(J126&gt;0,J126,تاريخ_الاحتساب),رمز_العطلة,أيام_الأجازات)-1))</f>
        <v/>
      </c>
      <c r="S126" s="22"/>
    </row>
    <row r="127" customFormat="false" ht="15" hidden="false" customHeight="false" outlineLevel="0" collapsed="false">
      <c r="A127" s="20"/>
      <c r="B127" s="20"/>
      <c r="C127" s="30" t="str">
        <f aca="false">IF($A127="","",IFERROR(INDEX(بند_الاسم,MATCH($B127,قائمة_البنود,0)),"⚠ بند غير موجود"))</f>
        <v/>
      </c>
      <c r="D127" s="22"/>
      <c r="E127" s="31"/>
      <c r="F127" s="21"/>
      <c r="G127" s="32"/>
      <c r="H127" s="25" t="str">
        <f aca="false">IF($A127="","",IFERROR(INDEX(بند_سعر_الوحدة,MATCH($B127,قائمة_البنود,0)),0))</f>
        <v/>
      </c>
      <c r="I127" s="25" t="str">
        <f aca="false">IF($A127="","",H127*(1+نسبة_الضريبة))</f>
        <v/>
      </c>
      <c r="J127" s="33" t="str">
        <f aca="false">IF($A127="","",_xlfn.MINIFS('سجل المراجعات'!$E$5:$E$1504,'سجل المراجعات'!$A$5:$A$1504,$A127,'سجل المراجعات'!$D$5:$D$1504,"تسليم"))</f>
        <v/>
      </c>
      <c r="K127" s="33" t="str">
        <f aca="false">IF($A127="","",_xlfn.MAXIFS('سجل المراجعات'!$E$5:$E$1504,'سجل المراجعات'!$A$5:$A$1504,$A127,'سجل المراجعات'!$D$5:$D$1504,"تسليم"))</f>
        <v/>
      </c>
      <c r="L127" s="33" t="str">
        <f aca="false">IF($A127="","",_xlfn.MAXIFS('سجل المراجعات'!$E$5:$E$1504,'سجل المراجعات'!$A$5:$A$1504,$A127,'سجل المراجعات'!$D$5:$D$1504,"رد بملاحظات"))</f>
        <v/>
      </c>
      <c r="M127" s="33" t="str">
        <f aca="false">IF($A127="","",_xlfn.MAXIFS('سجل المراجعات'!$E$5:$E$1504,'سجل المراجعات'!$A$5:$A$1504,$A127,'سجل المراجعات'!$D$5:$D$1504,"قبول"))</f>
        <v/>
      </c>
      <c r="N127" s="26" t="str">
        <f aca="false">IF($A127="","",COUNTIFS('سجل المراجعات'!$A$5:$A$1504,$A127,'سجل المراجعات'!$D$5:$D$1504,"تسليم"))</f>
        <v/>
      </c>
      <c r="O127" s="34" t="str">
        <f aca="false">IF($A127="","",IF(M127&gt;0,"تم القبول",IF(F127="معلق","معلق",IF(AND(L127&gt;0,L127&gt;=K127),"مُعاد بملاحظات",IF(K127&gt;0,"في انتظار القبول",IF(AND(ISNUMBER(E127),E127&lt;تاريخ_الاحتساب),"متأخر",IF(F127="","لم يبدأ",F127)))))))</f>
        <v/>
      </c>
      <c r="P127" s="26" t="str">
        <f aca="false">IF($A127="","",SUMIFS('سجل المراجعات'!$L$5:$L$1504,'سجل المراجعات'!$A$5:$A$1504,$A127))</f>
        <v/>
      </c>
      <c r="Q127" s="26" t="str">
        <f aca="false">IF($A127="","",SUMIFS('سجل المراجعات'!$M$5:$M$1504,'سجل المراجعات'!$A$5:$A$1504,$A127))</f>
        <v/>
      </c>
      <c r="R127" s="26" t="str">
        <f aca="false">IF(OR($A127="",NOT(ISNUMBER(E127))),"",MAX(0,NETWORKDAYS.INTL(E127,IF(J127&gt;0,J127,تاريخ_الاحتساب),رمز_العطلة,أيام_الأجازات)-1))</f>
        <v/>
      </c>
      <c r="S127" s="22"/>
    </row>
    <row r="128" customFormat="false" ht="15" hidden="false" customHeight="false" outlineLevel="0" collapsed="false">
      <c r="A128" s="20"/>
      <c r="B128" s="20"/>
      <c r="C128" s="30" t="str">
        <f aca="false">IF($A128="","",IFERROR(INDEX(بند_الاسم,MATCH($B128,قائمة_البنود,0)),"⚠ بند غير موجود"))</f>
        <v/>
      </c>
      <c r="D128" s="22"/>
      <c r="E128" s="31"/>
      <c r="F128" s="21"/>
      <c r="G128" s="32"/>
      <c r="H128" s="25" t="str">
        <f aca="false">IF($A128="","",IFERROR(INDEX(بند_سعر_الوحدة,MATCH($B128,قائمة_البنود,0)),0))</f>
        <v/>
      </c>
      <c r="I128" s="25" t="str">
        <f aca="false">IF($A128="","",H128*(1+نسبة_الضريبة))</f>
        <v/>
      </c>
      <c r="J128" s="33" t="str">
        <f aca="false">IF($A128="","",_xlfn.MINIFS('سجل المراجعات'!$E$5:$E$1504,'سجل المراجعات'!$A$5:$A$1504,$A128,'سجل المراجعات'!$D$5:$D$1504,"تسليم"))</f>
        <v/>
      </c>
      <c r="K128" s="33" t="str">
        <f aca="false">IF($A128="","",_xlfn.MAXIFS('سجل المراجعات'!$E$5:$E$1504,'سجل المراجعات'!$A$5:$A$1504,$A128,'سجل المراجعات'!$D$5:$D$1504,"تسليم"))</f>
        <v/>
      </c>
      <c r="L128" s="33" t="str">
        <f aca="false">IF($A128="","",_xlfn.MAXIFS('سجل المراجعات'!$E$5:$E$1504,'سجل المراجعات'!$A$5:$A$1504,$A128,'سجل المراجعات'!$D$5:$D$1504,"رد بملاحظات"))</f>
        <v/>
      </c>
      <c r="M128" s="33" t="str">
        <f aca="false">IF($A128="","",_xlfn.MAXIFS('سجل المراجعات'!$E$5:$E$1504,'سجل المراجعات'!$A$5:$A$1504,$A128,'سجل المراجعات'!$D$5:$D$1504,"قبول"))</f>
        <v/>
      </c>
      <c r="N128" s="26" t="str">
        <f aca="false">IF($A128="","",COUNTIFS('سجل المراجعات'!$A$5:$A$1504,$A128,'سجل المراجعات'!$D$5:$D$1504,"تسليم"))</f>
        <v/>
      </c>
      <c r="O128" s="34" t="str">
        <f aca="false">IF($A128="","",IF(M128&gt;0,"تم القبول",IF(F128="معلق","معلق",IF(AND(L128&gt;0,L128&gt;=K128),"مُعاد بملاحظات",IF(K128&gt;0,"في انتظار القبول",IF(AND(ISNUMBER(E128),E128&lt;تاريخ_الاحتساب),"متأخر",IF(F128="","لم يبدأ",F128)))))))</f>
        <v/>
      </c>
      <c r="P128" s="26" t="str">
        <f aca="false">IF($A128="","",SUMIFS('سجل المراجعات'!$L$5:$L$1504,'سجل المراجعات'!$A$5:$A$1504,$A128))</f>
        <v/>
      </c>
      <c r="Q128" s="26" t="str">
        <f aca="false">IF($A128="","",SUMIFS('سجل المراجعات'!$M$5:$M$1504,'سجل المراجعات'!$A$5:$A$1504,$A128))</f>
        <v/>
      </c>
      <c r="R128" s="26" t="str">
        <f aca="false">IF(OR($A128="",NOT(ISNUMBER(E128))),"",MAX(0,NETWORKDAYS.INTL(E128,IF(J128&gt;0,J128,تاريخ_الاحتساب),رمز_العطلة,أيام_الأجازات)-1))</f>
        <v/>
      </c>
      <c r="S128" s="22"/>
    </row>
    <row r="129" customFormat="false" ht="15" hidden="false" customHeight="false" outlineLevel="0" collapsed="false">
      <c r="A129" s="20"/>
      <c r="B129" s="20"/>
      <c r="C129" s="30" t="str">
        <f aca="false">IF($A129="","",IFERROR(INDEX(بند_الاسم,MATCH($B129,قائمة_البنود,0)),"⚠ بند غير موجود"))</f>
        <v/>
      </c>
      <c r="D129" s="22"/>
      <c r="E129" s="31"/>
      <c r="F129" s="21"/>
      <c r="G129" s="32"/>
      <c r="H129" s="25" t="str">
        <f aca="false">IF($A129="","",IFERROR(INDEX(بند_سعر_الوحدة,MATCH($B129,قائمة_البنود,0)),0))</f>
        <v/>
      </c>
      <c r="I129" s="25" t="str">
        <f aca="false">IF($A129="","",H129*(1+نسبة_الضريبة))</f>
        <v/>
      </c>
      <c r="J129" s="33" t="str">
        <f aca="false">IF($A129="","",_xlfn.MINIFS('سجل المراجعات'!$E$5:$E$1504,'سجل المراجعات'!$A$5:$A$1504,$A129,'سجل المراجعات'!$D$5:$D$1504,"تسليم"))</f>
        <v/>
      </c>
      <c r="K129" s="33" t="str">
        <f aca="false">IF($A129="","",_xlfn.MAXIFS('سجل المراجعات'!$E$5:$E$1504,'سجل المراجعات'!$A$5:$A$1504,$A129,'سجل المراجعات'!$D$5:$D$1504,"تسليم"))</f>
        <v/>
      </c>
      <c r="L129" s="33" t="str">
        <f aca="false">IF($A129="","",_xlfn.MAXIFS('سجل المراجعات'!$E$5:$E$1504,'سجل المراجعات'!$A$5:$A$1504,$A129,'سجل المراجعات'!$D$5:$D$1504,"رد بملاحظات"))</f>
        <v/>
      </c>
      <c r="M129" s="33" t="str">
        <f aca="false">IF($A129="","",_xlfn.MAXIFS('سجل المراجعات'!$E$5:$E$1504,'سجل المراجعات'!$A$5:$A$1504,$A129,'سجل المراجعات'!$D$5:$D$1504,"قبول"))</f>
        <v/>
      </c>
      <c r="N129" s="26" t="str">
        <f aca="false">IF($A129="","",COUNTIFS('سجل المراجعات'!$A$5:$A$1504,$A129,'سجل المراجعات'!$D$5:$D$1504,"تسليم"))</f>
        <v/>
      </c>
      <c r="O129" s="34" t="str">
        <f aca="false">IF($A129="","",IF(M129&gt;0,"تم القبول",IF(F129="معلق","معلق",IF(AND(L129&gt;0,L129&gt;=K129),"مُعاد بملاحظات",IF(K129&gt;0,"في انتظار القبول",IF(AND(ISNUMBER(E129),E129&lt;تاريخ_الاحتساب),"متأخر",IF(F129="","لم يبدأ",F129)))))))</f>
        <v/>
      </c>
      <c r="P129" s="26" t="str">
        <f aca="false">IF($A129="","",SUMIFS('سجل المراجعات'!$L$5:$L$1504,'سجل المراجعات'!$A$5:$A$1504,$A129))</f>
        <v/>
      </c>
      <c r="Q129" s="26" t="str">
        <f aca="false">IF($A129="","",SUMIFS('سجل المراجعات'!$M$5:$M$1504,'سجل المراجعات'!$A$5:$A$1504,$A129))</f>
        <v/>
      </c>
      <c r="R129" s="26" t="str">
        <f aca="false">IF(OR($A129="",NOT(ISNUMBER(E129))),"",MAX(0,NETWORKDAYS.INTL(E129,IF(J129&gt;0,J129,تاريخ_الاحتساب),رمز_العطلة,أيام_الأجازات)-1))</f>
        <v/>
      </c>
      <c r="S129" s="22"/>
    </row>
    <row r="130" customFormat="false" ht="15" hidden="false" customHeight="false" outlineLevel="0" collapsed="false">
      <c r="A130" s="20"/>
      <c r="B130" s="20"/>
      <c r="C130" s="30" t="str">
        <f aca="false">IF($A130="","",IFERROR(INDEX(بند_الاسم,MATCH($B130,قائمة_البنود,0)),"⚠ بند غير موجود"))</f>
        <v/>
      </c>
      <c r="D130" s="22"/>
      <c r="E130" s="31"/>
      <c r="F130" s="21"/>
      <c r="G130" s="32"/>
      <c r="H130" s="25" t="str">
        <f aca="false">IF($A130="","",IFERROR(INDEX(بند_سعر_الوحدة,MATCH($B130,قائمة_البنود,0)),0))</f>
        <v/>
      </c>
      <c r="I130" s="25" t="str">
        <f aca="false">IF($A130="","",H130*(1+نسبة_الضريبة))</f>
        <v/>
      </c>
      <c r="J130" s="33" t="str">
        <f aca="false">IF($A130="","",_xlfn.MINIFS('سجل المراجعات'!$E$5:$E$1504,'سجل المراجعات'!$A$5:$A$1504,$A130,'سجل المراجعات'!$D$5:$D$1504,"تسليم"))</f>
        <v/>
      </c>
      <c r="K130" s="33" t="str">
        <f aca="false">IF($A130="","",_xlfn.MAXIFS('سجل المراجعات'!$E$5:$E$1504,'سجل المراجعات'!$A$5:$A$1504,$A130,'سجل المراجعات'!$D$5:$D$1504,"تسليم"))</f>
        <v/>
      </c>
      <c r="L130" s="33" t="str">
        <f aca="false">IF($A130="","",_xlfn.MAXIFS('سجل المراجعات'!$E$5:$E$1504,'سجل المراجعات'!$A$5:$A$1504,$A130,'سجل المراجعات'!$D$5:$D$1504,"رد بملاحظات"))</f>
        <v/>
      </c>
      <c r="M130" s="33" t="str">
        <f aca="false">IF($A130="","",_xlfn.MAXIFS('سجل المراجعات'!$E$5:$E$1504,'سجل المراجعات'!$A$5:$A$1504,$A130,'سجل المراجعات'!$D$5:$D$1504,"قبول"))</f>
        <v/>
      </c>
      <c r="N130" s="26" t="str">
        <f aca="false">IF($A130="","",COUNTIFS('سجل المراجعات'!$A$5:$A$1504,$A130,'سجل المراجعات'!$D$5:$D$1504,"تسليم"))</f>
        <v/>
      </c>
      <c r="O130" s="34" t="str">
        <f aca="false">IF($A130="","",IF(M130&gt;0,"تم القبول",IF(F130="معلق","معلق",IF(AND(L130&gt;0,L130&gt;=K130),"مُعاد بملاحظات",IF(K130&gt;0,"في انتظار القبول",IF(AND(ISNUMBER(E130),E130&lt;تاريخ_الاحتساب),"متأخر",IF(F130="","لم يبدأ",F130)))))))</f>
        <v/>
      </c>
      <c r="P130" s="26" t="str">
        <f aca="false">IF($A130="","",SUMIFS('سجل المراجعات'!$L$5:$L$1504,'سجل المراجعات'!$A$5:$A$1504,$A130))</f>
        <v/>
      </c>
      <c r="Q130" s="26" t="str">
        <f aca="false">IF($A130="","",SUMIFS('سجل المراجعات'!$M$5:$M$1504,'سجل المراجعات'!$A$5:$A$1504,$A130))</f>
        <v/>
      </c>
      <c r="R130" s="26" t="str">
        <f aca="false">IF(OR($A130="",NOT(ISNUMBER(E130))),"",MAX(0,NETWORKDAYS.INTL(E130,IF(J130&gt;0,J130,تاريخ_الاحتساب),رمز_العطلة,أيام_الأجازات)-1))</f>
        <v/>
      </c>
      <c r="S130" s="22"/>
    </row>
    <row r="131" customFormat="false" ht="15" hidden="false" customHeight="false" outlineLevel="0" collapsed="false">
      <c r="A131" s="20"/>
      <c r="B131" s="20"/>
      <c r="C131" s="30" t="str">
        <f aca="false">IF($A131="","",IFERROR(INDEX(بند_الاسم,MATCH($B131,قائمة_البنود,0)),"⚠ بند غير موجود"))</f>
        <v/>
      </c>
      <c r="D131" s="22"/>
      <c r="E131" s="31"/>
      <c r="F131" s="21"/>
      <c r="G131" s="32"/>
      <c r="H131" s="25" t="str">
        <f aca="false">IF($A131="","",IFERROR(INDEX(بند_سعر_الوحدة,MATCH($B131,قائمة_البنود,0)),0))</f>
        <v/>
      </c>
      <c r="I131" s="25" t="str">
        <f aca="false">IF($A131="","",H131*(1+نسبة_الضريبة))</f>
        <v/>
      </c>
      <c r="J131" s="33" t="str">
        <f aca="false">IF($A131="","",_xlfn.MINIFS('سجل المراجعات'!$E$5:$E$1504,'سجل المراجعات'!$A$5:$A$1504,$A131,'سجل المراجعات'!$D$5:$D$1504,"تسليم"))</f>
        <v/>
      </c>
      <c r="K131" s="33" t="str">
        <f aca="false">IF($A131="","",_xlfn.MAXIFS('سجل المراجعات'!$E$5:$E$1504,'سجل المراجعات'!$A$5:$A$1504,$A131,'سجل المراجعات'!$D$5:$D$1504,"تسليم"))</f>
        <v/>
      </c>
      <c r="L131" s="33" t="str">
        <f aca="false">IF($A131="","",_xlfn.MAXIFS('سجل المراجعات'!$E$5:$E$1504,'سجل المراجعات'!$A$5:$A$1504,$A131,'سجل المراجعات'!$D$5:$D$1504,"رد بملاحظات"))</f>
        <v/>
      </c>
      <c r="M131" s="33" t="str">
        <f aca="false">IF($A131="","",_xlfn.MAXIFS('سجل المراجعات'!$E$5:$E$1504,'سجل المراجعات'!$A$5:$A$1504,$A131,'سجل المراجعات'!$D$5:$D$1504,"قبول"))</f>
        <v/>
      </c>
      <c r="N131" s="26" t="str">
        <f aca="false">IF($A131="","",COUNTIFS('سجل المراجعات'!$A$5:$A$1504,$A131,'سجل المراجعات'!$D$5:$D$1504,"تسليم"))</f>
        <v/>
      </c>
      <c r="O131" s="34" t="str">
        <f aca="false">IF($A131="","",IF(M131&gt;0,"تم القبول",IF(F131="معلق","معلق",IF(AND(L131&gt;0,L131&gt;=K131),"مُعاد بملاحظات",IF(K131&gt;0,"في انتظار القبول",IF(AND(ISNUMBER(E131),E131&lt;تاريخ_الاحتساب),"متأخر",IF(F131="","لم يبدأ",F131)))))))</f>
        <v/>
      </c>
      <c r="P131" s="26" t="str">
        <f aca="false">IF($A131="","",SUMIFS('سجل المراجعات'!$L$5:$L$1504,'سجل المراجعات'!$A$5:$A$1504,$A131))</f>
        <v/>
      </c>
      <c r="Q131" s="26" t="str">
        <f aca="false">IF($A131="","",SUMIFS('سجل المراجعات'!$M$5:$M$1504,'سجل المراجعات'!$A$5:$A$1504,$A131))</f>
        <v/>
      </c>
      <c r="R131" s="26" t="str">
        <f aca="false">IF(OR($A131="",NOT(ISNUMBER(E131))),"",MAX(0,NETWORKDAYS.INTL(E131,IF(J131&gt;0,J131,تاريخ_الاحتساب),رمز_العطلة,أيام_الأجازات)-1))</f>
        <v/>
      </c>
      <c r="S131" s="22"/>
    </row>
    <row r="132" customFormat="false" ht="15" hidden="false" customHeight="false" outlineLevel="0" collapsed="false">
      <c r="A132" s="20"/>
      <c r="B132" s="20"/>
      <c r="C132" s="30" t="str">
        <f aca="false">IF($A132="","",IFERROR(INDEX(بند_الاسم,MATCH($B132,قائمة_البنود,0)),"⚠ بند غير موجود"))</f>
        <v/>
      </c>
      <c r="D132" s="22"/>
      <c r="E132" s="31"/>
      <c r="F132" s="21"/>
      <c r="G132" s="32"/>
      <c r="H132" s="25" t="str">
        <f aca="false">IF($A132="","",IFERROR(INDEX(بند_سعر_الوحدة,MATCH($B132,قائمة_البنود,0)),0))</f>
        <v/>
      </c>
      <c r="I132" s="25" t="str">
        <f aca="false">IF($A132="","",H132*(1+نسبة_الضريبة))</f>
        <v/>
      </c>
      <c r="J132" s="33" t="str">
        <f aca="false">IF($A132="","",_xlfn.MINIFS('سجل المراجعات'!$E$5:$E$1504,'سجل المراجعات'!$A$5:$A$1504,$A132,'سجل المراجعات'!$D$5:$D$1504,"تسليم"))</f>
        <v/>
      </c>
      <c r="K132" s="33" t="str">
        <f aca="false">IF($A132="","",_xlfn.MAXIFS('سجل المراجعات'!$E$5:$E$1504,'سجل المراجعات'!$A$5:$A$1504,$A132,'سجل المراجعات'!$D$5:$D$1504,"تسليم"))</f>
        <v/>
      </c>
      <c r="L132" s="33" t="str">
        <f aca="false">IF($A132="","",_xlfn.MAXIFS('سجل المراجعات'!$E$5:$E$1504,'سجل المراجعات'!$A$5:$A$1504,$A132,'سجل المراجعات'!$D$5:$D$1504,"رد بملاحظات"))</f>
        <v/>
      </c>
      <c r="M132" s="33" t="str">
        <f aca="false">IF($A132="","",_xlfn.MAXIFS('سجل المراجعات'!$E$5:$E$1504,'سجل المراجعات'!$A$5:$A$1504,$A132,'سجل المراجعات'!$D$5:$D$1504,"قبول"))</f>
        <v/>
      </c>
      <c r="N132" s="26" t="str">
        <f aca="false">IF($A132="","",COUNTIFS('سجل المراجعات'!$A$5:$A$1504,$A132,'سجل المراجعات'!$D$5:$D$1504,"تسليم"))</f>
        <v/>
      </c>
      <c r="O132" s="34" t="str">
        <f aca="false">IF($A132="","",IF(M132&gt;0,"تم القبول",IF(F132="معلق","معلق",IF(AND(L132&gt;0,L132&gt;=K132),"مُعاد بملاحظات",IF(K132&gt;0,"في انتظار القبول",IF(AND(ISNUMBER(E132),E132&lt;تاريخ_الاحتساب),"متأخر",IF(F132="","لم يبدأ",F132)))))))</f>
        <v/>
      </c>
      <c r="P132" s="26" t="str">
        <f aca="false">IF($A132="","",SUMIFS('سجل المراجعات'!$L$5:$L$1504,'سجل المراجعات'!$A$5:$A$1504,$A132))</f>
        <v/>
      </c>
      <c r="Q132" s="26" t="str">
        <f aca="false">IF($A132="","",SUMIFS('سجل المراجعات'!$M$5:$M$1504,'سجل المراجعات'!$A$5:$A$1504,$A132))</f>
        <v/>
      </c>
      <c r="R132" s="26" t="str">
        <f aca="false">IF(OR($A132="",NOT(ISNUMBER(E132))),"",MAX(0,NETWORKDAYS.INTL(E132,IF(J132&gt;0,J132,تاريخ_الاحتساب),رمز_العطلة,أيام_الأجازات)-1))</f>
        <v/>
      </c>
      <c r="S132" s="22"/>
    </row>
    <row r="133" customFormat="false" ht="15" hidden="false" customHeight="false" outlineLevel="0" collapsed="false">
      <c r="A133" s="20"/>
      <c r="B133" s="20"/>
      <c r="C133" s="30" t="str">
        <f aca="false">IF($A133="","",IFERROR(INDEX(بند_الاسم,MATCH($B133,قائمة_البنود,0)),"⚠ بند غير موجود"))</f>
        <v/>
      </c>
      <c r="D133" s="22"/>
      <c r="E133" s="31"/>
      <c r="F133" s="21"/>
      <c r="G133" s="32"/>
      <c r="H133" s="25" t="str">
        <f aca="false">IF($A133="","",IFERROR(INDEX(بند_سعر_الوحدة,MATCH($B133,قائمة_البنود,0)),0))</f>
        <v/>
      </c>
      <c r="I133" s="25" t="str">
        <f aca="false">IF($A133="","",H133*(1+نسبة_الضريبة))</f>
        <v/>
      </c>
      <c r="J133" s="33" t="str">
        <f aca="false">IF($A133="","",_xlfn.MINIFS('سجل المراجعات'!$E$5:$E$1504,'سجل المراجعات'!$A$5:$A$1504,$A133,'سجل المراجعات'!$D$5:$D$1504,"تسليم"))</f>
        <v/>
      </c>
      <c r="K133" s="33" t="str">
        <f aca="false">IF($A133="","",_xlfn.MAXIFS('سجل المراجعات'!$E$5:$E$1504,'سجل المراجعات'!$A$5:$A$1504,$A133,'سجل المراجعات'!$D$5:$D$1504,"تسليم"))</f>
        <v/>
      </c>
      <c r="L133" s="33" t="str">
        <f aca="false">IF($A133="","",_xlfn.MAXIFS('سجل المراجعات'!$E$5:$E$1504,'سجل المراجعات'!$A$5:$A$1504,$A133,'سجل المراجعات'!$D$5:$D$1504,"رد بملاحظات"))</f>
        <v/>
      </c>
      <c r="M133" s="33" t="str">
        <f aca="false">IF($A133="","",_xlfn.MAXIFS('سجل المراجعات'!$E$5:$E$1504,'سجل المراجعات'!$A$5:$A$1504,$A133,'سجل المراجعات'!$D$5:$D$1504,"قبول"))</f>
        <v/>
      </c>
      <c r="N133" s="26" t="str">
        <f aca="false">IF($A133="","",COUNTIFS('سجل المراجعات'!$A$5:$A$1504,$A133,'سجل المراجعات'!$D$5:$D$1504,"تسليم"))</f>
        <v/>
      </c>
      <c r="O133" s="34" t="str">
        <f aca="false">IF($A133="","",IF(M133&gt;0,"تم القبول",IF(F133="معلق","معلق",IF(AND(L133&gt;0,L133&gt;=K133),"مُعاد بملاحظات",IF(K133&gt;0,"في انتظار القبول",IF(AND(ISNUMBER(E133),E133&lt;تاريخ_الاحتساب),"متأخر",IF(F133="","لم يبدأ",F133)))))))</f>
        <v/>
      </c>
      <c r="P133" s="26" t="str">
        <f aca="false">IF($A133="","",SUMIFS('سجل المراجعات'!$L$5:$L$1504,'سجل المراجعات'!$A$5:$A$1504,$A133))</f>
        <v/>
      </c>
      <c r="Q133" s="26" t="str">
        <f aca="false">IF($A133="","",SUMIFS('سجل المراجعات'!$M$5:$M$1504,'سجل المراجعات'!$A$5:$A$1504,$A133))</f>
        <v/>
      </c>
      <c r="R133" s="26" t="str">
        <f aca="false">IF(OR($A133="",NOT(ISNUMBER(E133))),"",MAX(0,NETWORKDAYS.INTL(E133,IF(J133&gt;0,J133,تاريخ_الاحتساب),رمز_العطلة,أيام_الأجازات)-1))</f>
        <v/>
      </c>
      <c r="S133" s="22"/>
    </row>
    <row r="134" customFormat="false" ht="15" hidden="false" customHeight="false" outlineLevel="0" collapsed="false">
      <c r="A134" s="20"/>
      <c r="B134" s="20"/>
      <c r="C134" s="30" t="str">
        <f aca="false">IF($A134="","",IFERROR(INDEX(بند_الاسم,MATCH($B134,قائمة_البنود,0)),"⚠ بند غير موجود"))</f>
        <v/>
      </c>
      <c r="D134" s="22"/>
      <c r="E134" s="31"/>
      <c r="F134" s="21"/>
      <c r="G134" s="32"/>
      <c r="H134" s="25" t="str">
        <f aca="false">IF($A134="","",IFERROR(INDEX(بند_سعر_الوحدة,MATCH($B134,قائمة_البنود,0)),0))</f>
        <v/>
      </c>
      <c r="I134" s="25" t="str">
        <f aca="false">IF($A134="","",H134*(1+نسبة_الضريبة))</f>
        <v/>
      </c>
      <c r="J134" s="33" t="str">
        <f aca="false">IF($A134="","",_xlfn.MINIFS('سجل المراجعات'!$E$5:$E$1504,'سجل المراجعات'!$A$5:$A$1504,$A134,'سجل المراجعات'!$D$5:$D$1504,"تسليم"))</f>
        <v/>
      </c>
      <c r="K134" s="33" t="str">
        <f aca="false">IF($A134="","",_xlfn.MAXIFS('سجل المراجعات'!$E$5:$E$1504,'سجل المراجعات'!$A$5:$A$1504,$A134,'سجل المراجعات'!$D$5:$D$1504,"تسليم"))</f>
        <v/>
      </c>
      <c r="L134" s="33" t="str">
        <f aca="false">IF($A134="","",_xlfn.MAXIFS('سجل المراجعات'!$E$5:$E$1504,'سجل المراجعات'!$A$5:$A$1504,$A134,'سجل المراجعات'!$D$5:$D$1504,"رد بملاحظات"))</f>
        <v/>
      </c>
      <c r="M134" s="33" t="str">
        <f aca="false">IF($A134="","",_xlfn.MAXIFS('سجل المراجعات'!$E$5:$E$1504,'سجل المراجعات'!$A$5:$A$1504,$A134,'سجل المراجعات'!$D$5:$D$1504,"قبول"))</f>
        <v/>
      </c>
      <c r="N134" s="26" t="str">
        <f aca="false">IF($A134="","",COUNTIFS('سجل المراجعات'!$A$5:$A$1504,$A134,'سجل المراجعات'!$D$5:$D$1504,"تسليم"))</f>
        <v/>
      </c>
      <c r="O134" s="34" t="str">
        <f aca="false">IF($A134="","",IF(M134&gt;0,"تم القبول",IF(F134="معلق","معلق",IF(AND(L134&gt;0,L134&gt;=K134),"مُعاد بملاحظات",IF(K134&gt;0,"في انتظار القبول",IF(AND(ISNUMBER(E134),E134&lt;تاريخ_الاحتساب),"متأخر",IF(F134="","لم يبدأ",F134)))))))</f>
        <v/>
      </c>
      <c r="P134" s="26" t="str">
        <f aca="false">IF($A134="","",SUMIFS('سجل المراجعات'!$L$5:$L$1504,'سجل المراجعات'!$A$5:$A$1504,$A134))</f>
        <v/>
      </c>
      <c r="Q134" s="26" t="str">
        <f aca="false">IF($A134="","",SUMIFS('سجل المراجعات'!$M$5:$M$1504,'سجل المراجعات'!$A$5:$A$1504,$A134))</f>
        <v/>
      </c>
      <c r="R134" s="26" t="str">
        <f aca="false">IF(OR($A134="",NOT(ISNUMBER(E134))),"",MAX(0,NETWORKDAYS.INTL(E134,IF(J134&gt;0,J134,تاريخ_الاحتساب),رمز_العطلة,أيام_الأجازات)-1))</f>
        <v/>
      </c>
      <c r="S134" s="22"/>
    </row>
    <row r="135" customFormat="false" ht="15" hidden="false" customHeight="false" outlineLevel="0" collapsed="false">
      <c r="A135" s="20"/>
      <c r="B135" s="20"/>
      <c r="C135" s="30" t="str">
        <f aca="false">IF($A135="","",IFERROR(INDEX(بند_الاسم,MATCH($B135,قائمة_البنود,0)),"⚠ بند غير موجود"))</f>
        <v/>
      </c>
      <c r="D135" s="22"/>
      <c r="E135" s="31"/>
      <c r="F135" s="21"/>
      <c r="G135" s="32"/>
      <c r="H135" s="25" t="str">
        <f aca="false">IF($A135="","",IFERROR(INDEX(بند_سعر_الوحدة,MATCH($B135,قائمة_البنود,0)),0))</f>
        <v/>
      </c>
      <c r="I135" s="25" t="str">
        <f aca="false">IF($A135="","",H135*(1+نسبة_الضريبة))</f>
        <v/>
      </c>
      <c r="J135" s="33" t="str">
        <f aca="false">IF($A135="","",_xlfn.MINIFS('سجل المراجعات'!$E$5:$E$1504,'سجل المراجعات'!$A$5:$A$1504,$A135,'سجل المراجعات'!$D$5:$D$1504,"تسليم"))</f>
        <v/>
      </c>
      <c r="K135" s="33" t="str">
        <f aca="false">IF($A135="","",_xlfn.MAXIFS('سجل المراجعات'!$E$5:$E$1504,'سجل المراجعات'!$A$5:$A$1504,$A135,'سجل المراجعات'!$D$5:$D$1504,"تسليم"))</f>
        <v/>
      </c>
      <c r="L135" s="33" t="str">
        <f aca="false">IF($A135="","",_xlfn.MAXIFS('سجل المراجعات'!$E$5:$E$1504,'سجل المراجعات'!$A$5:$A$1504,$A135,'سجل المراجعات'!$D$5:$D$1504,"رد بملاحظات"))</f>
        <v/>
      </c>
      <c r="M135" s="33" t="str">
        <f aca="false">IF($A135="","",_xlfn.MAXIFS('سجل المراجعات'!$E$5:$E$1504,'سجل المراجعات'!$A$5:$A$1504,$A135,'سجل المراجعات'!$D$5:$D$1504,"قبول"))</f>
        <v/>
      </c>
      <c r="N135" s="26" t="str">
        <f aca="false">IF($A135="","",COUNTIFS('سجل المراجعات'!$A$5:$A$1504,$A135,'سجل المراجعات'!$D$5:$D$1504,"تسليم"))</f>
        <v/>
      </c>
      <c r="O135" s="34" t="str">
        <f aca="false">IF($A135="","",IF(M135&gt;0,"تم القبول",IF(F135="معلق","معلق",IF(AND(L135&gt;0,L135&gt;=K135),"مُعاد بملاحظات",IF(K135&gt;0,"في انتظار القبول",IF(AND(ISNUMBER(E135),E135&lt;تاريخ_الاحتساب),"متأخر",IF(F135="","لم يبدأ",F135)))))))</f>
        <v/>
      </c>
      <c r="P135" s="26" t="str">
        <f aca="false">IF($A135="","",SUMIFS('سجل المراجعات'!$L$5:$L$1504,'سجل المراجعات'!$A$5:$A$1504,$A135))</f>
        <v/>
      </c>
      <c r="Q135" s="26" t="str">
        <f aca="false">IF($A135="","",SUMIFS('سجل المراجعات'!$M$5:$M$1504,'سجل المراجعات'!$A$5:$A$1504,$A135))</f>
        <v/>
      </c>
      <c r="R135" s="26" t="str">
        <f aca="false">IF(OR($A135="",NOT(ISNUMBER(E135))),"",MAX(0,NETWORKDAYS.INTL(E135,IF(J135&gt;0,J135,تاريخ_الاحتساب),رمز_العطلة,أيام_الأجازات)-1))</f>
        <v/>
      </c>
      <c r="S135" s="22"/>
    </row>
    <row r="136" customFormat="false" ht="15" hidden="false" customHeight="false" outlineLevel="0" collapsed="false">
      <c r="A136" s="20"/>
      <c r="B136" s="20"/>
      <c r="C136" s="30" t="str">
        <f aca="false">IF($A136="","",IFERROR(INDEX(بند_الاسم,MATCH($B136,قائمة_البنود,0)),"⚠ بند غير موجود"))</f>
        <v/>
      </c>
      <c r="D136" s="22"/>
      <c r="E136" s="31"/>
      <c r="F136" s="21"/>
      <c r="G136" s="32"/>
      <c r="H136" s="25" t="str">
        <f aca="false">IF($A136="","",IFERROR(INDEX(بند_سعر_الوحدة,MATCH($B136,قائمة_البنود,0)),0))</f>
        <v/>
      </c>
      <c r="I136" s="25" t="str">
        <f aca="false">IF($A136="","",H136*(1+نسبة_الضريبة))</f>
        <v/>
      </c>
      <c r="J136" s="33" t="str">
        <f aca="false">IF($A136="","",_xlfn.MINIFS('سجل المراجعات'!$E$5:$E$1504,'سجل المراجعات'!$A$5:$A$1504,$A136,'سجل المراجعات'!$D$5:$D$1504,"تسليم"))</f>
        <v/>
      </c>
      <c r="K136" s="33" t="str">
        <f aca="false">IF($A136="","",_xlfn.MAXIFS('سجل المراجعات'!$E$5:$E$1504,'سجل المراجعات'!$A$5:$A$1504,$A136,'سجل المراجعات'!$D$5:$D$1504,"تسليم"))</f>
        <v/>
      </c>
      <c r="L136" s="33" t="str">
        <f aca="false">IF($A136="","",_xlfn.MAXIFS('سجل المراجعات'!$E$5:$E$1504,'سجل المراجعات'!$A$5:$A$1504,$A136,'سجل المراجعات'!$D$5:$D$1504,"رد بملاحظات"))</f>
        <v/>
      </c>
      <c r="M136" s="33" t="str">
        <f aca="false">IF($A136="","",_xlfn.MAXIFS('سجل المراجعات'!$E$5:$E$1504,'سجل المراجعات'!$A$5:$A$1504,$A136,'سجل المراجعات'!$D$5:$D$1504,"قبول"))</f>
        <v/>
      </c>
      <c r="N136" s="26" t="str">
        <f aca="false">IF($A136="","",COUNTIFS('سجل المراجعات'!$A$5:$A$1504,$A136,'سجل المراجعات'!$D$5:$D$1504,"تسليم"))</f>
        <v/>
      </c>
      <c r="O136" s="34" t="str">
        <f aca="false">IF($A136="","",IF(M136&gt;0,"تم القبول",IF(F136="معلق","معلق",IF(AND(L136&gt;0,L136&gt;=K136),"مُعاد بملاحظات",IF(K136&gt;0,"في انتظار القبول",IF(AND(ISNUMBER(E136),E136&lt;تاريخ_الاحتساب),"متأخر",IF(F136="","لم يبدأ",F136)))))))</f>
        <v/>
      </c>
      <c r="P136" s="26" t="str">
        <f aca="false">IF($A136="","",SUMIFS('سجل المراجعات'!$L$5:$L$1504,'سجل المراجعات'!$A$5:$A$1504,$A136))</f>
        <v/>
      </c>
      <c r="Q136" s="26" t="str">
        <f aca="false">IF($A136="","",SUMIFS('سجل المراجعات'!$M$5:$M$1504,'سجل المراجعات'!$A$5:$A$1504,$A136))</f>
        <v/>
      </c>
      <c r="R136" s="26" t="str">
        <f aca="false">IF(OR($A136="",NOT(ISNUMBER(E136))),"",MAX(0,NETWORKDAYS.INTL(E136,IF(J136&gt;0,J136,تاريخ_الاحتساب),رمز_العطلة,أيام_الأجازات)-1))</f>
        <v/>
      </c>
      <c r="S136" s="22"/>
    </row>
    <row r="137" customFormat="false" ht="15" hidden="false" customHeight="false" outlineLevel="0" collapsed="false">
      <c r="A137" s="20"/>
      <c r="B137" s="20"/>
      <c r="C137" s="30" t="str">
        <f aca="false">IF($A137="","",IFERROR(INDEX(بند_الاسم,MATCH($B137,قائمة_البنود,0)),"⚠ بند غير موجود"))</f>
        <v/>
      </c>
      <c r="D137" s="22"/>
      <c r="E137" s="31"/>
      <c r="F137" s="21"/>
      <c r="G137" s="32"/>
      <c r="H137" s="25" t="str">
        <f aca="false">IF($A137="","",IFERROR(INDEX(بند_سعر_الوحدة,MATCH($B137,قائمة_البنود,0)),0))</f>
        <v/>
      </c>
      <c r="I137" s="25" t="str">
        <f aca="false">IF($A137="","",H137*(1+نسبة_الضريبة))</f>
        <v/>
      </c>
      <c r="J137" s="33" t="str">
        <f aca="false">IF($A137="","",_xlfn.MINIFS('سجل المراجعات'!$E$5:$E$1504,'سجل المراجعات'!$A$5:$A$1504,$A137,'سجل المراجعات'!$D$5:$D$1504,"تسليم"))</f>
        <v/>
      </c>
      <c r="K137" s="33" t="str">
        <f aca="false">IF($A137="","",_xlfn.MAXIFS('سجل المراجعات'!$E$5:$E$1504,'سجل المراجعات'!$A$5:$A$1504,$A137,'سجل المراجعات'!$D$5:$D$1504,"تسليم"))</f>
        <v/>
      </c>
      <c r="L137" s="33" t="str">
        <f aca="false">IF($A137="","",_xlfn.MAXIFS('سجل المراجعات'!$E$5:$E$1504,'سجل المراجعات'!$A$5:$A$1504,$A137,'سجل المراجعات'!$D$5:$D$1504,"رد بملاحظات"))</f>
        <v/>
      </c>
      <c r="M137" s="33" t="str">
        <f aca="false">IF($A137="","",_xlfn.MAXIFS('سجل المراجعات'!$E$5:$E$1504,'سجل المراجعات'!$A$5:$A$1504,$A137,'سجل المراجعات'!$D$5:$D$1504,"قبول"))</f>
        <v/>
      </c>
      <c r="N137" s="26" t="str">
        <f aca="false">IF($A137="","",COUNTIFS('سجل المراجعات'!$A$5:$A$1504,$A137,'سجل المراجعات'!$D$5:$D$1504,"تسليم"))</f>
        <v/>
      </c>
      <c r="O137" s="34" t="str">
        <f aca="false">IF($A137="","",IF(M137&gt;0,"تم القبول",IF(F137="معلق","معلق",IF(AND(L137&gt;0,L137&gt;=K137),"مُعاد بملاحظات",IF(K137&gt;0,"في انتظار القبول",IF(AND(ISNUMBER(E137),E137&lt;تاريخ_الاحتساب),"متأخر",IF(F137="","لم يبدأ",F137)))))))</f>
        <v/>
      </c>
      <c r="P137" s="26" t="str">
        <f aca="false">IF($A137="","",SUMIFS('سجل المراجعات'!$L$5:$L$1504,'سجل المراجعات'!$A$5:$A$1504,$A137))</f>
        <v/>
      </c>
      <c r="Q137" s="26" t="str">
        <f aca="false">IF($A137="","",SUMIFS('سجل المراجعات'!$M$5:$M$1504,'سجل المراجعات'!$A$5:$A$1504,$A137))</f>
        <v/>
      </c>
      <c r="R137" s="26" t="str">
        <f aca="false">IF(OR($A137="",NOT(ISNUMBER(E137))),"",MAX(0,NETWORKDAYS.INTL(E137,IF(J137&gt;0,J137,تاريخ_الاحتساب),رمز_العطلة,أيام_الأجازات)-1))</f>
        <v/>
      </c>
      <c r="S137" s="22"/>
    </row>
    <row r="138" customFormat="false" ht="15" hidden="false" customHeight="false" outlineLevel="0" collapsed="false">
      <c r="A138" s="20"/>
      <c r="B138" s="20"/>
      <c r="C138" s="30" t="str">
        <f aca="false">IF($A138="","",IFERROR(INDEX(بند_الاسم,MATCH($B138,قائمة_البنود,0)),"⚠ بند غير موجود"))</f>
        <v/>
      </c>
      <c r="D138" s="22"/>
      <c r="E138" s="31"/>
      <c r="F138" s="21"/>
      <c r="G138" s="32"/>
      <c r="H138" s="25" t="str">
        <f aca="false">IF($A138="","",IFERROR(INDEX(بند_سعر_الوحدة,MATCH($B138,قائمة_البنود,0)),0))</f>
        <v/>
      </c>
      <c r="I138" s="25" t="str">
        <f aca="false">IF($A138="","",H138*(1+نسبة_الضريبة))</f>
        <v/>
      </c>
      <c r="J138" s="33" t="str">
        <f aca="false">IF($A138="","",_xlfn.MINIFS('سجل المراجعات'!$E$5:$E$1504,'سجل المراجعات'!$A$5:$A$1504,$A138,'سجل المراجعات'!$D$5:$D$1504,"تسليم"))</f>
        <v/>
      </c>
      <c r="K138" s="33" t="str">
        <f aca="false">IF($A138="","",_xlfn.MAXIFS('سجل المراجعات'!$E$5:$E$1504,'سجل المراجعات'!$A$5:$A$1504,$A138,'سجل المراجعات'!$D$5:$D$1504,"تسليم"))</f>
        <v/>
      </c>
      <c r="L138" s="33" t="str">
        <f aca="false">IF($A138="","",_xlfn.MAXIFS('سجل المراجعات'!$E$5:$E$1504,'سجل المراجعات'!$A$5:$A$1504,$A138,'سجل المراجعات'!$D$5:$D$1504,"رد بملاحظات"))</f>
        <v/>
      </c>
      <c r="M138" s="33" t="str">
        <f aca="false">IF($A138="","",_xlfn.MAXIFS('سجل المراجعات'!$E$5:$E$1504,'سجل المراجعات'!$A$5:$A$1504,$A138,'سجل المراجعات'!$D$5:$D$1504,"قبول"))</f>
        <v/>
      </c>
      <c r="N138" s="26" t="str">
        <f aca="false">IF($A138="","",COUNTIFS('سجل المراجعات'!$A$5:$A$1504,$A138,'سجل المراجعات'!$D$5:$D$1504,"تسليم"))</f>
        <v/>
      </c>
      <c r="O138" s="34" t="str">
        <f aca="false">IF($A138="","",IF(M138&gt;0,"تم القبول",IF(F138="معلق","معلق",IF(AND(L138&gt;0,L138&gt;=K138),"مُعاد بملاحظات",IF(K138&gt;0,"في انتظار القبول",IF(AND(ISNUMBER(E138),E138&lt;تاريخ_الاحتساب),"متأخر",IF(F138="","لم يبدأ",F138)))))))</f>
        <v/>
      </c>
      <c r="P138" s="26" t="str">
        <f aca="false">IF($A138="","",SUMIFS('سجل المراجعات'!$L$5:$L$1504,'سجل المراجعات'!$A$5:$A$1504,$A138))</f>
        <v/>
      </c>
      <c r="Q138" s="26" t="str">
        <f aca="false">IF($A138="","",SUMIFS('سجل المراجعات'!$M$5:$M$1504,'سجل المراجعات'!$A$5:$A$1504,$A138))</f>
        <v/>
      </c>
      <c r="R138" s="26" t="str">
        <f aca="false">IF(OR($A138="",NOT(ISNUMBER(E138))),"",MAX(0,NETWORKDAYS.INTL(E138,IF(J138&gt;0,J138,تاريخ_الاحتساب),رمز_العطلة,أيام_الأجازات)-1))</f>
        <v/>
      </c>
      <c r="S138" s="22"/>
    </row>
    <row r="139" customFormat="false" ht="15" hidden="false" customHeight="false" outlineLevel="0" collapsed="false">
      <c r="A139" s="20"/>
      <c r="B139" s="20"/>
      <c r="C139" s="30" t="str">
        <f aca="false">IF($A139="","",IFERROR(INDEX(بند_الاسم,MATCH($B139,قائمة_البنود,0)),"⚠ بند غير موجود"))</f>
        <v/>
      </c>
      <c r="D139" s="22"/>
      <c r="E139" s="31"/>
      <c r="F139" s="21"/>
      <c r="G139" s="32"/>
      <c r="H139" s="25" t="str">
        <f aca="false">IF($A139="","",IFERROR(INDEX(بند_سعر_الوحدة,MATCH($B139,قائمة_البنود,0)),0))</f>
        <v/>
      </c>
      <c r="I139" s="25" t="str">
        <f aca="false">IF($A139="","",H139*(1+نسبة_الضريبة))</f>
        <v/>
      </c>
      <c r="J139" s="33" t="str">
        <f aca="false">IF($A139="","",_xlfn.MINIFS('سجل المراجعات'!$E$5:$E$1504,'سجل المراجعات'!$A$5:$A$1504,$A139,'سجل المراجعات'!$D$5:$D$1504,"تسليم"))</f>
        <v/>
      </c>
      <c r="K139" s="33" t="str">
        <f aca="false">IF($A139="","",_xlfn.MAXIFS('سجل المراجعات'!$E$5:$E$1504,'سجل المراجعات'!$A$5:$A$1504,$A139,'سجل المراجعات'!$D$5:$D$1504,"تسليم"))</f>
        <v/>
      </c>
      <c r="L139" s="33" t="str">
        <f aca="false">IF($A139="","",_xlfn.MAXIFS('سجل المراجعات'!$E$5:$E$1504,'سجل المراجعات'!$A$5:$A$1504,$A139,'سجل المراجعات'!$D$5:$D$1504,"رد بملاحظات"))</f>
        <v/>
      </c>
      <c r="M139" s="33" t="str">
        <f aca="false">IF($A139="","",_xlfn.MAXIFS('سجل المراجعات'!$E$5:$E$1504,'سجل المراجعات'!$A$5:$A$1504,$A139,'سجل المراجعات'!$D$5:$D$1504,"قبول"))</f>
        <v/>
      </c>
      <c r="N139" s="26" t="str">
        <f aca="false">IF($A139="","",COUNTIFS('سجل المراجعات'!$A$5:$A$1504,$A139,'سجل المراجعات'!$D$5:$D$1504,"تسليم"))</f>
        <v/>
      </c>
      <c r="O139" s="34" t="str">
        <f aca="false">IF($A139="","",IF(M139&gt;0,"تم القبول",IF(F139="معلق","معلق",IF(AND(L139&gt;0,L139&gt;=K139),"مُعاد بملاحظات",IF(K139&gt;0,"في انتظار القبول",IF(AND(ISNUMBER(E139),E139&lt;تاريخ_الاحتساب),"متأخر",IF(F139="","لم يبدأ",F139)))))))</f>
        <v/>
      </c>
      <c r="P139" s="26" t="str">
        <f aca="false">IF($A139="","",SUMIFS('سجل المراجعات'!$L$5:$L$1504,'سجل المراجعات'!$A$5:$A$1504,$A139))</f>
        <v/>
      </c>
      <c r="Q139" s="26" t="str">
        <f aca="false">IF($A139="","",SUMIFS('سجل المراجعات'!$M$5:$M$1504,'سجل المراجعات'!$A$5:$A$1504,$A139))</f>
        <v/>
      </c>
      <c r="R139" s="26" t="str">
        <f aca="false">IF(OR($A139="",NOT(ISNUMBER(E139))),"",MAX(0,NETWORKDAYS.INTL(E139,IF(J139&gt;0,J139,تاريخ_الاحتساب),رمز_العطلة,أيام_الأجازات)-1))</f>
        <v/>
      </c>
      <c r="S139" s="22"/>
    </row>
    <row r="140" customFormat="false" ht="15" hidden="false" customHeight="false" outlineLevel="0" collapsed="false">
      <c r="A140" s="20"/>
      <c r="B140" s="20"/>
      <c r="C140" s="30" t="str">
        <f aca="false">IF($A140="","",IFERROR(INDEX(بند_الاسم,MATCH($B140,قائمة_البنود,0)),"⚠ بند غير موجود"))</f>
        <v/>
      </c>
      <c r="D140" s="22"/>
      <c r="E140" s="31"/>
      <c r="F140" s="21"/>
      <c r="G140" s="32"/>
      <c r="H140" s="25" t="str">
        <f aca="false">IF($A140="","",IFERROR(INDEX(بند_سعر_الوحدة,MATCH($B140,قائمة_البنود,0)),0))</f>
        <v/>
      </c>
      <c r="I140" s="25" t="str">
        <f aca="false">IF($A140="","",H140*(1+نسبة_الضريبة))</f>
        <v/>
      </c>
      <c r="J140" s="33" t="str">
        <f aca="false">IF($A140="","",_xlfn.MINIFS('سجل المراجعات'!$E$5:$E$1504,'سجل المراجعات'!$A$5:$A$1504,$A140,'سجل المراجعات'!$D$5:$D$1504,"تسليم"))</f>
        <v/>
      </c>
      <c r="K140" s="33" t="str">
        <f aca="false">IF($A140="","",_xlfn.MAXIFS('سجل المراجعات'!$E$5:$E$1504,'سجل المراجعات'!$A$5:$A$1504,$A140,'سجل المراجعات'!$D$5:$D$1504,"تسليم"))</f>
        <v/>
      </c>
      <c r="L140" s="33" t="str">
        <f aca="false">IF($A140="","",_xlfn.MAXIFS('سجل المراجعات'!$E$5:$E$1504,'سجل المراجعات'!$A$5:$A$1504,$A140,'سجل المراجعات'!$D$5:$D$1504,"رد بملاحظات"))</f>
        <v/>
      </c>
      <c r="M140" s="33" t="str">
        <f aca="false">IF($A140="","",_xlfn.MAXIFS('سجل المراجعات'!$E$5:$E$1504,'سجل المراجعات'!$A$5:$A$1504,$A140,'سجل المراجعات'!$D$5:$D$1504,"قبول"))</f>
        <v/>
      </c>
      <c r="N140" s="26" t="str">
        <f aca="false">IF($A140="","",COUNTIFS('سجل المراجعات'!$A$5:$A$1504,$A140,'سجل المراجعات'!$D$5:$D$1504,"تسليم"))</f>
        <v/>
      </c>
      <c r="O140" s="34" t="str">
        <f aca="false">IF($A140="","",IF(M140&gt;0,"تم القبول",IF(F140="معلق","معلق",IF(AND(L140&gt;0,L140&gt;=K140),"مُعاد بملاحظات",IF(K140&gt;0,"في انتظار القبول",IF(AND(ISNUMBER(E140),E140&lt;تاريخ_الاحتساب),"متأخر",IF(F140="","لم يبدأ",F140)))))))</f>
        <v/>
      </c>
      <c r="P140" s="26" t="str">
        <f aca="false">IF($A140="","",SUMIFS('سجل المراجعات'!$L$5:$L$1504,'سجل المراجعات'!$A$5:$A$1504,$A140))</f>
        <v/>
      </c>
      <c r="Q140" s="26" t="str">
        <f aca="false">IF($A140="","",SUMIFS('سجل المراجعات'!$M$5:$M$1504,'سجل المراجعات'!$A$5:$A$1504,$A140))</f>
        <v/>
      </c>
      <c r="R140" s="26" t="str">
        <f aca="false">IF(OR($A140="",NOT(ISNUMBER(E140))),"",MAX(0,NETWORKDAYS.INTL(E140,IF(J140&gt;0,J140,تاريخ_الاحتساب),رمز_العطلة,أيام_الأجازات)-1))</f>
        <v/>
      </c>
      <c r="S140" s="22"/>
    </row>
    <row r="141" customFormat="false" ht="15" hidden="false" customHeight="false" outlineLevel="0" collapsed="false">
      <c r="A141" s="20"/>
      <c r="B141" s="20"/>
      <c r="C141" s="30" t="str">
        <f aca="false">IF($A141="","",IFERROR(INDEX(بند_الاسم,MATCH($B141,قائمة_البنود,0)),"⚠ بند غير موجود"))</f>
        <v/>
      </c>
      <c r="D141" s="22"/>
      <c r="E141" s="31"/>
      <c r="F141" s="21"/>
      <c r="G141" s="32"/>
      <c r="H141" s="25" t="str">
        <f aca="false">IF($A141="","",IFERROR(INDEX(بند_سعر_الوحدة,MATCH($B141,قائمة_البنود,0)),0))</f>
        <v/>
      </c>
      <c r="I141" s="25" t="str">
        <f aca="false">IF($A141="","",H141*(1+نسبة_الضريبة))</f>
        <v/>
      </c>
      <c r="J141" s="33" t="str">
        <f aca="false">IF($A141="","",_xlfn.MINIFS('سجل المراجعات'!$E$5:$E$1504,'سجل المراجعات'!$A$5:$A$1504,$A141,'سجل المراجعات'!$D$5:$D$1504,"تسليم"))</f>
        <v/>
      </c>
      <c r="K141" s="33" t="str">
        <f aca="false">IF($A141="","",_xlfn.MAXIFS('سجل المراجعات'!$E$5:$E$1504,'سجل المراجعات'!$A$5:$A$1504,$A141,'سجل المراجعات'!$D$5:$D$1504,"تسليم"))</f>
        <v/>
      </c>
      <c r="L141" s="33" t="str">
        <f aca="false">IF($A141="","",_xlfn.MAXIFS('سجل المراجعات'!$E$5:$E$1504,'سجل المراجعات'!$A$5:$A$1504,$A141,'سجل المراجعات'!$D$5:$D$1504,"رد بملاحظات"))</f>
        <v/>
      </c>
      <c r="M141" s="33" t="str">
        <f aca="false">IF($A141="","",_xlfn.MAXIFS('سجل المراجعات'!$E$5:$E$1504,'سجل المراجعات'!$A$5:$A$1504,$A141,'سجل المراجعات'!$D$5:$D$1504,"قبول"))</f>
        <v/>
      </c>
      <c r="N141" s="26" t="str">
        <f aca="false">IF($A141="","",COUNTIFS('سجل المراجعات'!$A$5:$A$1504,$A141,'سجل المراجعات'!$D$5:$D$1504,"تسليم"))</f>
        <v/>
      </c>
      <c r="O141" s="34" t="str">
        <f aca="false">IF($A141="","",IF(M141&gt;0,"تم القبول",IF(F141="معلق","معلق",IF(AND(L141&gt;0,L141&gt;=K141),"مُعاد بملاحظات",IF(K141&gt;0,"في انتظار القبول",IF(AND(ISNUMBER(E141),E141&lt;تاريخ_الاحتساب),"متأخر",IF(F141="","لم يبدأ",F141)))))))</f>
        <v/>
      </c>
      <c r="P141" s="26" t="str">
        <f aca="false">IF($A141="","",SUMIFS('سجل المراجعات'!$L$5:$L$1504,'سجل المراجعات'!$A$5:$A$1504,$A141))</f>
        <v/>
      </c>
      <c r="Q141" s="26" t="str">
        <f aca="false">IF($A141="","",SUMIFS('سجل المراجعات'!$M$5:$M$1504,'سجل المراجعات'!$A$5:$A$1504,$A141))</f>
        <v/>
      </c>
      <c r="R141" s="26" t="str">
        <f aca="false">IF(OR($A141="",NOT(ISNUMBER(E141))),"",MAX(0,NETWORKDAYS.INTL(E141,IF(J141&gt;0,J141,تاريخ_الاحتساب),رمز_العطلة,أيام_الأجازات)-1))</f>
        <v/>
      </c>
      <c r="S141" s="22"/>
    </row>
    <row r="142" customFormat="false" ht="15" hidden="false" customHeight="false" outlineLevel="0" collapsed="false">
      <c r="A142" s="20"/>
      <c r="B142" s="20"/>
      <c r="C142" s="30" t="str">
        <f aca="false">IF($A142="","",IFERROR(INDEX(بند_الاسم,MATCH($B142,قائمة_البنود,0)),"⚠ بند غير موجود"))</f>
        <v/>
      </c>
      <c r="D142" s="22"/>
      <c r="E142" s="31"/>
      <c r="F142" s="21"/>
      <c r="G142" s="32"/>
      <c r="H142" s="25" t="str">
        <f aca="false">IF($A142="","",IFERROR(INDEX(بند_سعر_الوحدة,MATCH($B142,قائمة_البنود,0)),0))</f>
        <v/>
      </c>
      <c r="I142" s="25" t="str">
        <f aca="false">IF($A142="","",H142*(1+نسبة_الضريبة))</f>
        <v/>
      </c>
      <c r="J142" s="33" t="str">
        <f aca="false">IF($A142="","",_xlfn.MINIFS('سجل المراجعات'!$E$5:$E$1504,'سجل المراجعات'!$A$5:$A$1504,$A142,'سجل المراجعات'!$D$5:$D$1504,"تسليم"))</f>
        <v/>
      </c>
      <c r="K142" s="33" t="str">
        <f aca="false">IF($A142="","",_xlfn.MAXIFS('سجل المراجعات'!$E$5:$E$1504,'سجل المراجعات'!$A$5:$A$1504,$A142,'سجل المراجعات'!$D$5:$D$1504,"تسليم"))</f>
        <v/>
      </c>
      <c r="L142" s="33" t="str">
        <f aca="false">IF($A142="","",_xlfn.MAXIFS('سجل المراجعات'!$E$5:$E$1504,'سجل المراجعات'!$A$5:$A$1504,$A142,'سجل المراجعات'!$D$5:$D$1504,"رد بملاحظات"))</f>
        <v/>
      </c>
      <c r="M142" s="33" t="str">
        <f aca="false">IF($A142="","",_xlfn.MAXIFS('سجل المراجعات'!$E$5:$E$1504,'سجل المراجعات'!$A$5:$A$1504,$A142,'سجل المراجعات'!$D$5:$D$1504,"قبول"))</f>
        <v/>
      </c>
      <c r="N142" s="26" t="str">
        <f aca="false">IF($A142="","",COUNTIFS('سجل المراجعات'!$A$5:$A$1504,$A142,'سجل المراجعات'!$D$5:$D$1504,"تسليم"))</f>
        <v/>
      </c>
      <c r="O142" s="34" t="str">
        <f aca="false">IF($A142="","",IF(M142&gt;0,"تم القبول",IF(F142="معلق","معلق",IF(AND(L142&gt;0,L142&gt;=K142),"مُعاد بملاحظات",IF(K142&gt;0,"في انتظار القبول",IF(AND(ISNUMBER(E142),E142&lt;تاريخ_الاحتساب),"متأخر",IF(F142="","لم يبدأ",F142)))))))</f>
        <v/>
      </c>
      <c r="P142" s="26" t="str">
        <f aca="false">IF($A142="","",SUMIFS('سجل المراجعات'!$L$5:$L$1504,'سجل المراجعات'!$A$5:$A$1504,$A142))</f>
        <v/>
      </c>
      <c r="Q142" s="26" t="str">
        <f aca="false">IF($A142="","",SUMIFS('سجل المراجعات'!$M$5:$M$1504,'سجل المراجعات'!$A$5:$A$1504,$A142))</f>
        <v/>
      </c>
      <c r="R142" s="26" t="str">
        <f aca="false">IF(OR($A142="",NOT(ISNUMBER(E142))),"",MAX(0,NETWORKDAYS.INTL(E142,IF(J142&gt;0,J142,تاريخ_الاحتساب),رمز_العطلة,أيام_الأجازات)-1))</f>
        <v/>
      </c>
      <c r="S142" s="22"/>
    </row>
    <row r="143" customFormat="false" ht="15" hidden="false" customHeight="false" outlineLevel="0" collapsed="false">
      <c r="A143" s="20"/>
      <c r="B143" s="20"/>
      <c r="C143" s="30" t="str">
        <f aca="false">IF($A143="","",IFERROR(INDEX(بند_الاسم,MATCH($B143,قائمة_البنود,0)),"⚠ بند غير موجود"))</f>
        <v/>
      </c>
      <c r="D143" s="22"/>
      <c r="E143" s="31"/>
      <c r="F143" s="21"/>
      <c r="G143" s="32"/>
      <c r="H143" s="25" t="str">
        <f aca="false">IF($A143="","",IFERROR(INDEX(بند_سعر_الوحدة,MATCH($B143,قائمة_البنود,0)),0))</f>
        <v/>
      </c>
      <c r="I143" s="25" t="str">
        <f aca="false">IF($A143="","",H143*(1+نسبة_الضريبة))</f>
        <v/>
      </c>
      <c r="J143" s="33" t="str">
        <f aca="false">IF($A143="","",_xlfn.MINIFS('سجل المراجعات'!$E$5:$E$1504,'سجل المراجعات'!$A$5:$A$1504,$A143,'سجل المراجعات'!$D$5:$D$1504,"تسليم"))</f>
        <v/>
      </c>
      <c r="K143" s="33" t="str">
        <f aca="false">IF($A143="","",_xlfn.MAXIFS('سجل المراجعات'!$E$5:$E$1504,'سجل المراجعات'!$A$5:$A$1504,$A143,'سجل المراجعات'!$D$5:$D$1504,"تسليم"))</f>
        <v/>
      </c>
      <c r="L143" s="33" t="str">
        <f aca="false">IF($A143="","",_xlfn.MAXIFS('سجل المراجعات'!$E$5:$E$1504,'سجل المراجعات'!$A$5:$A$1504,$A143,'سجل المراجعات'!$D$5:$D$1504,"رد بملاحظات"))</f>
        <v/>
      </c>
      <c r="M143" s="33" t="str">
        <f aca="false">IF($A143="","",_xlfn.MAXIFS('سجل المراجعات'!$E$5:$E$1504,'سجل المراجعات'!$A$5:$A$1504,$A143,'سجل المراجعات'!$D$5:$D$1504,"قبول"))</f>
        <v/>
      </c>
      <c r="N143" s="26" t="str">
        <f aca="false">IF($A143="","",COUNTIFS('سجل المراجعات'!$A$5:$A$1504,$A143,'سجل المراجعات'!$D$5:$D$1504,"تسليم"))</f>
        <v/>
      </c>
      <c r="O143" s="34" t="str">
        <f aca="false">IF($A143="","",IF(M143&gt;0,"تم القبول",IF(F143="معلق","معلق",IF(AND(L143&gt;0,L143&gt;=K143),"مُعاد بملاحظات",IF(K143&gt;0,"في انتظار القبول",IF(AND(ISNUMBER(E143),E143&lt;تاريخ_الاحتساب),"متأخر",IF(F143="","لم يبدأ",F143)))))))</f>
        <v/>
      </c>
      <c r="P143" s="26" t="str">
        <f aca="false">IF($A143="","",SUMIFS('سجل المراجعات'!$L$5:$L$1504,'سجل المراجعات'!$A$5:$A$1504,$A143))</f>
        <v/>
      </c>
      <c r="Q143" s="26" t="str">
        <f aca="false">IF($A143="","",SUMIFS('سجل المراجعات'!$M$5:$M$1504,'سجل المراجعات'!$A$5:$A$1504,$A143))</f>
        <v/>
      </c>
      <c r="R143" s="26" t="str">
        <f aca="false">IF(OR($A143="",NOT(ISNUMBER(E143))),"",MAX(0,NETWORKDAYS.INTL(E143,IF(J143&gt;0,J143,تاريخ_الاحتساب),رمز_العطلة,أيام_الأجازات)-1))</f>
        <v/>
      </c>
      <c r="S143" s="22"/>
    </row>
    <row r="144" customFormat="false" ht="15" hidden="false" customHeight="false" outlineLevel="0" collapsed="false">
      <c r="A144" s="20"/>
      <c r="B144" s="20"/>
      <c r="C144" s="30" t="str">
        <f aca="false">IF($A144="","",IFERROR(INDEX(بند_الاسم,MATCH($B144,قائمة_البنود,0)),"⚠ بند غير موجود"))</f>
        <v/>
      </c>
      <c r="D144" s="22"/>
      <c r="E144" s="31"/>
      <c r="F144" s="21"/>
      <c r="G144" s="32"/>
      <c r="H144" s="25" t="str">
        <f aca="false">IF($A144="","",IFERROR(INDEX(بند_سعر_الوحدة,MATCH($B144,قائمة_البنود,0)),0))</f>
        <v/>
      </c>
      <c r="I144" s="25" t="str">
        <f aca="false">IF($A144="","",H144*(1+نسبة_الضريبة))</f>
        <v/>
      </c>
      <c r="J144" s="33" t="str">
        <f aca="false">IF($A144="","",_xlfn.MINIFS('سجل المراجعات'!$E$5:$E$1504,'سجل المراجعات'!$A$5:$A$1504,$A144,'سجل المراجعات'!$D$5:$D$1504,"تسليم"))</f>
        <v/>
      </c>
      <c r="K144" s="33" t="str">
        <f aca="false">IF($A144="","",_xlfn.MAXIFS('سجل المراجعات'!$E$5:$E$1504,'سجل المراجعات'!$A$5:$A$1504,$A144,'سجل المراجعات'!$D$5:$D$1504,"تسليم"))</f>
        <v/>
      </c>
      <c r="L144" s="33" t="str">
        <f aca="false">IF($A144="","",_xlfn.MAXIFS('سجل المراجعات'!$E$5:$E$1504,'سجل المراجعات'!$A$5:$A$1504,$A144,'سجل المراجعات'!$D$5:$D$1504,"رد بملاحظات"))</f>
        <v/>
      </c>
      <c r="M144" s="33" t="str">
        <f aca="false">IF($A144="","",_xlfn.MAXIFS('سجل المراجعات'!$E$5:$E$1504,'سجل المراجعات'!$A$5:$A$1504,$A144,'سجل المراجعات'!$D$5:$D$1504,"قبول"))</f>
        <v/>
      </c>
      <c r="N144" s="26" t="str">
        <f aca="false">IF($A144="","",COUNTIFS('سجل المراجعات'!$A$5:$A$1504,$A144,'سجل المراجعات'!$D$5:$D$1504,"تسليم"))</f>
        <v/>
      </c>
      <c r="O144" s="34" t="str">
        <f aca="false">IF($A144="","",IF(M144&gt;0,"تم القبول",IF(F144="معلق","معلق",IF(AND(L144&gt;0,L144&gt;=K144),"مُعاد بملاحظات",IF(K144&gt;0,"في انتظار القبول",IF(AND(ISNUMBER(E144),E144&lt;تاريخ_الاحتساب),"متأخر",IF(F144="","لم يبدأ",F144)))))))</f>
        <v/>
      </c>
      <c r="P144" s="26" t="str">
        <f aca="false">IF($A144="","",SUMIFS('سجل المراجعات'!$L$5:$L$1504,'سجل المراجعات'!$A$5:$A$1504,$A144))</f>
        <v/>
      </c>
      <c r="Q144" s="26" t="str">
        <f aca="false">IF($A144="","",SUMIFS('سجل المراجعات'!$M$5:$M$1504,'سجل المراجعات'!$A$5:$A$1504,$A144))</f>
        <v/>
      </c>
      <c r="R144" s="26" t="str">
        <f aca="false">IF(OR($A144="",NOT(ISNUMBER(E144))),"",MAX(0,NETWORKDAYS.INTL(E144,IF(J144&gt;0,J144,تاريخ_الاحتساب),رمز_العطلة,أيام_الأجازات)-1))</f>
        <v/>
      </c>
      <c r="S144" s="22"/>
    </row>
    <row r="145" customFormat="false" ht="15" hidden="false" customHeight="false" outlineLevel="0" collapsed="false">
      <c r="A145" s="20"/>
      <c r="B145" s="20"/>
      <c r="C145" s="30" t="str">
        <f aca="false">IF($A145="","",IFERROR(INDEX(بند_الاسم,MATCH($B145,قائمة_البنود,0)),"⚠ بند غير موجود"))</f>
        <v/>
      </c>
      <c r="D145" s="22"/>
      <c r="E145" s="31"/>
      <c r="F145" s="21"/>
      <c r="G145" s="32"/>
      <c r="H145" s="25" t="str">
        <f aca="false">IF($A145="","",IFERROR(INDEX(بند_سعر_الوحدة,MATCH($B145,قائمة_البنود,0)),0))</f>
        <v/>
      </c>
      <c r="I145" s="25" t="str">
        <f aca="false">IF($A145="","",H145*(1+نسبة_الضريبة))</f>
        <v/>
      </c>
      <c r="J145" s="33" t="str">
        <f aca="false">IF($A145="","",_xlfn.MINIFS('سجل المراجعات'!$E$5:$E$1504,'سجل المراجعات'!$A$5:$A$1504,$A145,'سجل المراجعات'!$D$5:$D$1504,"تسليم"))</f>
        <v/>
      </c>
      <c r="K145" s="33" t="str">
        <f aca="false">IF($A145="","",_xlfn.MAXIFS('سجل المراجعات'!$E$5:$E$1504,'سجل المراجعات'!$A$5:$A$1504,$A145,'سجل المراجعات'!$D$5:$D$1504,"تسليم"))</f>
        <v/>
      </c>
      <c r="L145" s="33" t="str">
        <f aca="false">IF($A145="","",_xlfn.MAXIFS('سجل المراجعات'!$E$5:$E$1504,'سجل المراجعات'!$A$5:$A$1504,$A145,'سجل المراجعات'!$D$5:$D$1504,"رد بملاحظات"))</f>
        <v/>
      </c>
      <c r="M145" s="33" t="str">
        <f aca="false">IF($A145="","",_xlfn.MAXIFS('سجل المراجعات'!$E$5:$E$1504,'سجل المراجعات'!$A$5:$A$1504,$A145,'سجل المراجعات'!$D$5:$D$1504,"قبول"))</f>
        <v/>
      </c>
      <c r="N145" s="26" t="str">
        <f aca="false">IF($A145="","",COUNTIFS('سجل المراجعات'!$A$5:$A$1504,$A145,'سجل المراجعات'!$D$5:$D$1504,"تسليم"))</f>
        <v/>
      </c>
      <c r="O145" s="34" t="str">
        <f aca="false">IF($A145="","",IF(M145&gt;0,"تم القبول",IF(F145="معلق","معلق",IF(AND(L145&gt;0,L145&gt;=K145),"مُعاد بملاحظات",IF(K145&gt;0,"في انتظار القبول",IF(AND(ISNUMBER(E145),E145&lt;تاريخ_الاحتساب),"متأخر",IF(F145="","لم يبدأ",F145)))))))</f>
        <v/>
      </c>
      <c r="P145" s="26" t="str">
        <f aca="false">IF($A145="","",SUMIFS('سجل المراجعات'!$L$5:$L$1504,'سجل المراجعات'!$A$5:$A$1504,$A145))</f>
        <v/>
      </c>
      <c r="Q145" s="26" t="str">
        <f aca="false">IF($A145="","",SUMIFS('سجل المراجعات'!$M$5:$M$1504,'سجل المراجعات'!$A$5:$A$1504,$A145))</f>
        <v/>
      </c>
      <c r="R145" s="26" t="str">
        <f aca="false">IF(OR($A145="",NOT(ISNUMBER(E145))),"",MAX(0,NETWORKDAYS.INTL(E145,IF(J145&gt;0,J145,تاريخ_الاحتساب),رمز_العطلة,أيام_الأجازات)-1))</f>
        <v/>
      </c>
      <c r="S145" s="22"/>
    </row>
    <row r="146" customFormat="false" ht="15" hidden="false" customHeight="false" outlineLevel="0" collapsed="false">
      <c r="A146" s="20"/>
      <c r="B146" s="20"/>
      <c r="C146" s="30" t="str">
        <f aca="false">IF($A146="","",IFERROR(INDEX(بند_الاسم,MATCH($B146,قائمة_البنود,0)),"⚠ بند غير موجود"))</f>
        <v/>
      </c>
      <c r="D146" s="22"/>
      <c r="E146" s="31"/>
      <c r="F146" s="21"/>
      <c r="G146" s="32"/>
      <c r="H146" s="25" t="str">
        <f aca="false">IF($A146="","",IFERROR(INDEX(بند_سعر_الوحدة,MATCH($B146,قائمة_البنود,0)),0))</f>
        <v/>
      </c>
      <c r="I146" s="25" t="str">
        <f aca="false">IF($A146="","",H146*(1+نسبة_الضريبة))</f>
        <v/>
      </c>
      <c r="J146" s="33" t="str">
        <f aca="false">IF($A146="","",_xlfn.MINIFS('سجل المراجعات'!$E$5:$E$1504,'سجل المراجعات'!$A$5:$A$1504,$A146,'سجل المراجعات'!$D$5:$D$1504,"تسليم"))</f>
        <v/>
      </c>
      <c r="K146" s="33" t="str">
        <f aca="false">IF($A146="","",_xlfn.MAXIFS('سجل المراجعات'!$E$5:$E$1504,'سجل المراجعات'!$A$5:$A$1504,$A146,'سجل المراجعات'!$D$5:$D$1504,"تسليم"))</f>
        <v/>
      </c>
      <c r="L146" s="33" t="str">
        <f aca="false">IF($A146="","",_xlfn.MAXIFS('سجل المراجعات'!$E$5:$E$1504,'سجل المراجعات'!$A$5:$A$1504,$A146,'سجل المراجعات'!$D$5:$D$1504,"رد بملاحظات"))</f>
        <v/>
      </c>
      <c r="M146" s="33" t="str">
        <f aca="false">IF($A146="","",_xlfn.MAXIFS('سجل المراجعات'!$E$5:$E$1504,'سجل المراجعات'!$A$5:$A$1504,$A146,'سجل المراجعات'!$D$5:$D$1504,"قبول"))</f>
        <v/>
      </c>
      <c r="N146" s="26" t="str">
        <f aca="false">IF($A146="","",COUNTIFS('سجل المراجعات'!$A$5:$A$1504,$A146,'سجل المراجعات'!$D$5:$D$1504,"تسليم"))</f>
        <v/>
      </c>
      <c r="O146" s="34" t="str">
        <f aca="false">IF($A146="","",IF(M146&gt;0,"تم القبول",IF(F146="معلق","معلق",IF(AND(L146&gt;0,L146&gt;=K146),"مُعاد بملاحظات",IF(K146&gt;0,"في انتظار القبول",IF(AND(ISNUMBER(E146),E146&lt;تاريخ_الاحتساب),"متأخر",IF(F146="","لم يبدأ",F146)))))))</f>
        <v/>
      </c>
      <c r="P146" s="26" t="str">
        <f aca="false">IF($A146="","",SUMIFS('سجل المراجعات'!$L$5:$L$1504,'سجل المراجعات'!$A$5:$A$1504,$A146))</f>
        <v/>
      </c>
      <c r="Q146" s="26" t="str">
        <f aca="false">IF($A146="","",SUMIFS('سجل المراجعات'!$M$5:$M$1504,'سجل المراجعات'!$A$5:$A$1504,$A146))</f>
        <v/>
      </c>
      <c r="R146" s="26" t="str">
        <f aca="false">IF(OR($A146="",NOT(ISNUMBER(E146))),"",MAX(0,NETWORKDAYS.INTL(E146,IF(J146&gt;0,J146,تاريخ_الاحتساب),رمز_العطلة,أيام_الأجازات)-1))</f>
        <v/>
      </c>
      <c r="S146" s="22"/>
    </row>
    <row r="147" customFormat="false" ht="15" hidden="false" customHeight="false" outlineLevel="0" collapsed="false">
      <c r="A147" s="20"/>
      <c r="B147" s="20"/>
      <c r="C147" s="30" t="str">
        <f aca="false">IF($A147="","",IFERROR(INDEX(بند_الاسم,MATCH($B147,قائمة_البنود,0)),"⚠ بند غير موجود"))</f>
        <v/>
      </c>
      <c r="D147" s="22"/>
      <c r="E147" s="31"/>
      <c r="F147" s="21"/>
      <c r="G147" s="32"/>
      <c r="H147" s="25" t="str">
        <f aca="false">IF($A147="","",IFERROR(INDEX(بند_سعر_الوحدة,MATCH($B147,قائمة_البنود,0)),0))</f>
        <v/>
      </c>
      <c r="I147" s="25" t="str">
        <f aca="false">IF($A147="","",H147*(1+نسبة_الضريبة))</f>
        <v/>
      </c>
      <c r="J147" s="33" t="str">
        <f aca="false">IF($A147="","",_xlfn.MINIFS('سجل المراجعات'!$E$5:$E$1504,'سجل المراجعات'!$A$5:$A$1504,$A147,'سجل المراجعات'!$D$5:$D$1504,"تسليم"))</f>
        <v/>
      </c>
      <c r="K147" s="33" t="str">
        <f aca="false">IF($A147="","",_xlfn.MAXIFS('سجل المراجعات'!$E$5:$E$1504,'سجل المراجعات'!$A$5:$A$1504,$A147,'سجل المراجعات'!$D$5:$D$1504,"تسليم"))</f>
        <v/>
      </c>
      <c r="L147" s="33" t="str">
        <f aca="false">IF($A147="","",_xlfn.MAXIFS('سجل المراجعات'!$E$5:$E$1504,'سجل المراجعات'!$A$5:$A$1504,$A147,'سجل المراجعات'!$D$5:$D$1504,"رد بملاحظات"))</f>
        <v/>
      </c>
      <c r="M147" s="33" t="str">
        <f aca="false">IF($A147="","",_xlfn.MAXIFS('سجل المراجعات'!$E$5:$E$1504,'سجل المراجعات'!$A$5:$A$1504,$A147,'سجل المراجعات'!$D$5:$D$1504,"قبول"))</f>
        <v/>
      </c>
      <c r="N147" s="26" t="str">
        <f aca="false">IF($A147="","",COUNTIFS('سجل المراجعات'!$A$5:$A$1504,$A147,'سجل المراجعات'!$D$5:$D$1504,"تسليم"))</f>
        <v/>
      </c>
      <c r="O147" s="34" t="str">
        <f aca="false">IF($A147="","",IF(M147&gt;0,"تم القبول",IF(F147="معلق","معلق",IF(AND(L147&gt;0,L147&gt;=K147),"مُعاد بملاحظات",IF(K147&gt;0,"في انتظار القبول",IF(AND(ISNUMBER(E147),E147&lt;تاريخ_الاحتساب),"متأخر",IF(F147="","لم يبدأ",F147)))))))</f>
        <v/>
      </c>
      <c r="P147" s="26" t="str">
        <f aca="false">IF($A147="","",SUMIFS('سجل المراجعات'!$L$5:$L$1504,'سجل المراجعات'!$A$5:$A$1504,$A147))</f>
        <v/>
      </c>
      <c r="Q147" s="26" t="str">
        <f aca="false">IF($A147="","",SUMIFS('سجل المراجعات'!$M$5:$M$1504,'سجل المراجعات'!$A$5:$A$1504,$A147))</f>
        <v/>
      </c>
      <c r="R147" s="26" t="str">
        <f aca="false">IF(OR($A147="",NOT(ISNUMBER(E147))),"",MAX(0,NETWORKDAYS.INTL(E147,IF(J147&gt;0,J147,تاريخ_الاحتساب),رمز_العطلة,أيام_الأجازات)-1))</f>
        <v/>
      </c>
      <c r="S147" s="22"/>
    </row>
    <row r="148" customFormat="false" ht="15" hidden="false" customHeight="false" outlineLevel="0" collapsed="false">
      <c r="A148" s="20"/>
      <c r="B148" s="20"/>
      <c r="C148" s="30" t="str">
        <f aca="false">IF($A148="","",IFERROR(INDEX(بند_الاسم,MATCH($B148,قائمة_البنود,0)),"⚠ بند غير موجود"))</f>
        <v/>
      </c>
      <c r="D148" s="22"/>
      <c r="E148" s="31"/>
      <c r="F148" s="21"/>
      <c r="G148" s="32"/>
      <c r="H148" s="25" t="str">
        <f aca="false">IF($A148="","",IFERROR(INDEX(بند_سعر_الوحدة,MATCH($B148,قائمة_البنود,0)),0))</f>
        <v/>
      </c>
      <c r="I148" s="25" t="str">
        <f aca="false">IF($A148="","",H148*(1+نسبة_الضريبة))</f>
        <v/>
      </c>
      <c r="J148" s="33" t="str">
        <f aca="false">IF($A148="","",_xlfn.MINIFS('سجل المراجعات'!$E$5:$E$1504,'سجل المراجعات'!$A$5:$A$1504,$A148,'سجل المراجعات'!$D$5:$D$1504,"تسليم"))</f>
        <v/>
      </c>
      <c r="K148" s="33" t="str">
        <f aca="false">IF($A148="","",_xlfn.MAXIFS('سجل المراجعات'!$E$5:$E$1504,'سجل المراجعات'!$A$5:$A$1504,$A148,'سجل المراجعات'!$D$5:$D$1504,"تسليم"))</f>
        <v/>
      </c>
      <c r="L148" s="33" t="str">
        <f aca="false">IF($A148="","",_xlfn.MAXIFS('سجل المراجعات'!$E$5:$E$1504,'سجل المراجعات'!$A$5:$A$1504,$A148,'سجل المراجعات'!$D$5:$D$1504,"رد بملاحظات"))</f>
        <v/>
      </c>
      <c r="M148" s="33" t="str">
        <f aca="false">IF($A148="","",_xlfn.MAXIFS('سجل المراجعات'!$E$5:$E$1504,'سجل المراجعات'!$A$5:$A$1504,$A148,'سجل المراجعات'!$D$5:$D$1504,"قبول"))</f>
        <v/>
      </c>
      <c r="N148" s="26" t="str">
        <f aca="false">IF($A148="","",COUNTIFS('سجل المراجعات'!$A$5:$A$1504,$A148,'سجل المراجعات'!$D$5:$D$1504,"تسليم"))</f>
        <v/>
      </c>
      <c r="O148" s="34" t="str">
        <f aca="false">IF($A148="","",IF(M148&gt;0,"تم القبول",IF(F148="معلق","معلق",IF(AND(L148&gt;0,L148&gt;=K148),"مُعاد بملاحظات",IF(K148&gt;0,"في انتظار القبول",IF(AND(ISNUMBER(E148),E148&lt;تاريخ_الاحتساب),"متأخر",IF(F148="","لم يبدأ",F148)))))))</f>
        <v/>
      </c>
      <c r="P148" s="26" t="str">
        <f aca="false">IF($A148="","",SUMIFS('سجل المراجعات'!$L$5:$L$1504,'سجل المراجعات'!$A$5:$A$1504,$A148))</f>
        <v/>
      </c>
      <c r="Q148" s="26" t="str">
        <f aca="false">IF($A148="","",SUMIFS('سجل المراجعات'!$M$5:$M$1504,'سجل المراجعات'!$A$5:$A$1504,$A148))</f>
        <v/>
      </c>
      <c r="R148" s="26" t="str">
        <f aca="false">IF(OR($A148="",NOT(ISNUMBER(E148))),"",MAX(0,NETWORKDAYS.INTL(E148,IF(J148&gt;0,J148,تاريخ_الاحتساب),رمز_العطلة,أيام_الأجازات)-1))</f>
        <v/>
      </c>
      <c r="S148" s="22"/>
    </row>
    <row r="149" customFormat="false" ht="15" hidden="false" customHeight="false" outlineLevel="0" collapsed="false">
      <c r="A149" s="20"/>
      <c r="B149" s="20"/>
      <c r="C149" s="30" t="str">
        <f aca="false">IF($A149="","",IFERROR(INDEX(بند_الاسم,MATCH($B149,قائمة_البنود,0)),"⚠ بند غير موجود"))</f>
        <v/>
      </c>
      <c r="D149" s="22"/>
      <c r="E149" s="31"/>
      <c r="F149" s="21"/>
      <c r="G149" s="32"/>
      <c r="H149" s="25" t="str">
        <f aca="false">IF($A149="","",IFERROR(INDEX(بند_سعر_الوحدة,MATCH($B149,قائمة_البنود,0)),0))</f>
        <v/>
      </c>
      <c r="I149" s="25" t="str">
        <f aca="false">IF($A149="","",H149*(1+نسبة_الضريبة))</f>
        <v/>
      </c>
      <c r="J149" s="33" t="str">
        <f aca="false">IF($A149="","",_xlfn.MINIFS('سجل المراجعات'!$E$5:$E$1504,'سجل المراجعات'!$A$5:$A$1504,$A149,'سجل المراجعات'!$D$5:$D$1504,"تسليم"))</f>
        <v/>
      </c>
      <c r="K149" s="33" t="str">
        <f aca="false">IF($A149="","",_xlfn.MAXIFS('سجل المراجعات'!$E$5:$E$1504,'سجل المراجعات'!$A$5:$A$1504,$A149,'سجل المراجعات'!$D$5:$D$1504,"تسليم"))</f>
        <v/>
      </c>
      <c r="L149" s="33" t="str">
        <f aca="false">IF($A149="","",_xlfn.MAXIFS('سجل المراجعات'!$E$5:$E$1504,'سجل المراجعات'!$A$5:$A$1504,$A149,'سجل المراجعات'!$D$5:$D$1504,"رد بملاحظات"))</f>
        <v/>
      </c>
      <c r="M149" s="33" t="str">
        <f aca="false">IF($A149="","",_xlfn.MAXIFS('سجل المراجعات'!$E$5:$E$1504,'سجل المراجعات'!$A$5:$A$1504,$A149,'سجل المراجعات'!$D$5:$D$1504,"قبول"))</f>
        <v/>
      </c>
      <c r="N149" s="26" t="str">
        <f aca="false">IF($A149="","",COUNTIFS('سجل المراجعات'!$A$5:$A$1504,$A149,'سجل المراجعات'!$D$5:$D$1504,"تسليم"))</f>
        <v/>
      </c>
      <c r="O149" s="34" t="str">
        <f aca="false">IF($A149="","",IF(M149&gt;0,"تم القبول",IF(F149="معلق","معلق",IF(AND(L149&gt;0,L149&gt;=K149),"مُعاد بملاحظات",IF(K149&gt;0,"في انتظار القبول",IF(AND(ISNUMBER(E149),E149&lt;تاريخ_الاحتساب),"متأخر",IF(F149="","لم يبدأ",F149)))))))</f>
        <v/>
      </c>
      <c r="P149" s="26" t="str">
        <f aca="false">IF($A149="","",SUMIFS('سجل المراجعات'!$L$5:$L$1504,'سجل المراجعات'!$A$5:$A$1504,$A149))</f>
        <v/>
      </c>
      <c r="Q149" s="26" t="str">
        <f aca="false">IF($A149="","",SUMIFS('سجل المراجعات'!$M$5:$M$1504,'سجل المراجعات'!$A$5:$A$1504,$A149))</f>
        <v/>
      </c>
      <c r="R149" s="26" t="str">
        <f aca="false">IF(OR($A149="",NOT(ISNUMBER(E149))),"",MAX(0,NETWORKDAYS.INTL(E149,IF(J149&gt;0,J149,تاريخ_الاحتساب),رمز_العطلة,أيام_الأجازات)-1))</f>
        <v/>
      </c>
      <c r="S149" s="22"/>
    </row>
    <row r="150" customFormat="false" ht="15" hidden="false" customHeight="false" outlineLevel="0" collapsed="false">
      <c r="A150" s="20"/>
      <c r="B150" s="20"/>
      <c r="C150" s="30" t="str">
        <f aca="false">IF($A150="","",IFERROR(INDEX(بند_الاسم,MATCH($B150,قائمة_البنود,0)),"⚠ بند غير موجود"))</f>
        <v/>
      </c>
      <c r="D150" s="22"/>
      <c r="E150" s="31"/>
      <c r="F150" s="21"/>
      <c r="G150" s="32"/>
      <c r="H150" s="25" t="str">
        <f aca="false">IF($A150="","",IFERROR(INDEX(بند_سعر_الوحدة,MATCH($B150,قائمة_البنود,0)),0))</f>
        <v/>
      </c>
      <c r="I150" s="25" t="str">
        <f aca="false">IF($A150="","",H150*(1+نسبة_الضريبة))</f>
        <v/>
      </c>
      <c r="J150" s="33" t="str">
        <f aca="false">IF($A150="","",_xlfn.MINIFS('سجل المراجعات'!$E$5:$E$1504,'سجل المراجعات'!$A$5:$A$1504,$A150,'سجل المراجعات'!$D$5:$D$1504,"تسليم"))</f>
        <v/>
      </c>
      <c r="K150" s="33" t="str">
        <f aca="false">IF($A150="","",_xlfn.MAXIFS('سجل المراجعات'!$E$5:$E$1504,'سجل المراجعات'!$A$5:$A$1504,$A150,'سجل المراجعات'!$D$5:$D$1504,"تسليم"))</f>
        <v/>
      </c>
      <c r="L150" s="33" t="str">
        <f aca="false">IF($A150="","",_xlfn.MAXIFS('سجل المراجعات'!$E$5:$E$1504,'سجل المراجعات'!$A$5:$A$1504,$A150,'سجل المراجعات'!$D$5:$D$1504,"رد بملاحظات"))</f>
        <v/>
      </c>
      <c r="M150" s="33" t="str">
        <f aca="false">IF($A150="","",_xlfn.MAXIFS('سجل المراجعات'!$E$5:$E$1504,'سجل المراجعات'!$A$5:$A$1504,$A150,'سجل المراجعات'!$D$5:$D$1504,"قبول"))</f>
        <v/>
      </c>
      <c r="N150" s="26" t="str">
        <f aca="false">IF($A150="","",COUNTIFS('سجل المراجعات'!$A$5:$A$1504,$A150,'سجل المراجعات'!$D$5:$D$1504,"تسليم"))</f>
        <v/>
      </c>
      <c r="O150" s="34" t="str">
        <f aca="false">IF($A150="","",IF(M150&gt;0,"تم القبول",IF(F150="معلق","معلق",IF(AND(L150&gt;0,L150&gt;=K150),"مُعاد بملاحظات",IF(K150&gt;0,"في انتظار القبول",IF(AND(ISNUMBER(E150),E150&lt;تاريخ_الاحتساب),"متأخر",IF(F150="","لم يبدأ",F150)))))))</f>
        <v/>
      </c>
      <c r="P150" s="26" t="str">
        <f aca="false">IF($A150="","",SUMIFS('سجل المراجعات'!$L$5:$L$1504,'سجل المراجعات'!$A$5:$A$1504,$A150))</f>
        <v/>
      </c>
      <c r="Q150" s="26" t="str">
        <f aca="false">IF($A150="","",SUMIFS('سجل المراجعات'!$M$5:$M$1504,'سجل المراجعات'!$A$5:$A$1504,$A150))</f>
        <v/>
      </c>
      <c r="R150" s="26" t="str">
        <f aca="false">IF(OR($A150="",NOT(ISNUMBER(E150))),"",MAX(0,NETWORKDAYS.INTL(E150,IF(J150&gt;0,J150,تاريخ_الاحتساب),رمز_العطلة,أيام_الأجازات)-1))</f>
        <v/>
      </c>
      <c r="S150" s="22"/>
    </row>
    <row r="151" customFormat="false" ht="15" hidden="false" customHeight="false" outlineLevel="0" collapsed="false">
      <c r="A151" s="20"/>
      <c r="B151" s="20"/>
      <c r="C151" s="30" t="str">
        <f aca="false">IF($A151="","",IFERROR(INDEX(بند_الاسم,MATCH($B151,قائمة_البنود,0)),"⚠ بند غير موجود"))</f>
        <v/>
      </c>
      <c r="D151" s="22"/>
      <c r="E151" s="31"/>
      <c r="F151" s="21"/>
      <c r="G151" s="32"/>
      <c r="H151" s="25" t="str">
        <f aca="false">IF($A151="","",IFERROR(INDEX(بند_سعر_الوحدة,MATCH($B151,قائمة_البنود,0)),0))</f>
        <v/>
      </c>
      <c r="I151" s="25" t="str">
        <f aca="false">IF($A151="","",H151*(1+نسبة_الضريبة))</f>
        <v/>
      </c>
      <c r="J151" s="33" t="str">
        <f aca="false">IF($A151="","",_xlfn.MINIFS('سجل المراجعات'!$E$5:$E$1504,'سجل المراجعات'!$A$5:$A$1504,$A151,'سجل المراجعات'!$D$5:$D$1504,"تسليم"))</f>
        <v/>
      </c>
      <c r="K151" s="33" t="str">
        <f aca="false">IF($A151="","",_xlfn.MAXIFS('سجل المراجعات'!$E$5:$E$1504,'سجل المراجعات'!$A$5:$A$1504,$A151,'سجل المراجعات'!$D$5:$D$1504,"تسليم"))</f>
        <v/>
      </c>
      <c r="L151" s="33" t="str">
        <f aca="false">IF($A151="","",_xlfn.MAXIFS('سجل المراجعات'!$E$5:$E$1504,'سجل المراجعات'!$A$5:$A$1504,$A151,'سجل المراجعات'!$D$5:$D$1504,"رد بملاحظات"))</f>
        <v/>
      </c>
      <c r="M151" s="33" t="str">
        <f aca="false">IF($A151="","",_xlfn.MAXIFS('سجل المراجعات'!$E$5:$E$1504,'سجل المراجعات'!$A$5:$A$1504,$A151,'سجل المراجعات'!$D$5:$D$1504,"قبول"))</f>
        <v/>
      </c>
      <c r="N151" s="26" t="str">
        <f aca="false">IF($A151="","",COUNTIFS('سجل المراجعات'!$A$5:$A$1504,$A151,'سجل المراجعات'!$D$5:$D$1504,"تسليم"))</f>
        <v/>
      </c>
      <c r="O151" s="34" t="str">
        <f aca="false">IF($A151="","",IF(M151&gt;0,"تم القبول",IF(F151="معلق","معلق",IF(AND(L151&gt;0,L151&gt;=K151),"مُعاد بملاحظات",IF(K151&gt;0,"في انتظار القبول",IF(AND(ISNUMBER(E151),E151&lt;تاريخ_الاحتساب),"متأخر",IF(F151="","لم يبدأ",F151)))))))</f>
        <v/>
      </c>
      <c r="P151" s="26" t="str">
        <f aca="false">IF($A151="","",SUMIFS('سجل المراجعات'!$L$5:$L$1504,'سجل المراجعات'!$A$5:$A$1504,$A151))</f>
        <v/>
      </c>
      <c r="Q151" s="26" t="str">
        <f aca="false">IF($A151="","",SUMIFS('سجل المراجعات'!$M$5:$M$1504,'سجل المراجعات'!$A$5:$A$1504,$A151))</f>
        <v/>
      </c>
      <c r="R151" s="26" t="str">
        <f aca="false">IF(OR($A151="",NOT(ISNUMBER(E151))),"",MAX(0,NETWORKDAYS.INTL(E151,IF(J151&gt;0,J151,تاريخ_الاحتساب),رمز_العطلة,أيام_الأجازات)-1))</f>
        <v/>
      </c>
      <c r="S151" s="22"/>
    </row>
    <row r="152" customFormat="false" ht="15" hidden="false" customHeight="false" outlineLevel="0" collapsed="false">
      <c r="A152" s="20"/>
      <c r="B152" s="20"/>
      <c r="C152" s="30" t="str">
        <f aca="false">IF($A152="","",IFERROR(INDEX(بند_الاسم,MATCH($B152,قائمة_البنود,0)),"⚠ بند غير موجود"))</f>
        <v/>
      </c>
      <c r="D152" s="22"/>
      <c r="E152" s="31"/>
      <c r="F152" s="21"/>
      <c r="G152" s="32"/>
      <c r="H152" s="25" t="str">
        <f aca="false">IF($A152="","",IFERROR(INDEX(بند_سعر_الوحدة,MATCH($B152,قائمة_البنود,0)),0))</f>
        <v/>
      </c>
      <c r="I152" s="25" t="str">
        <f aca="false">IF($A152="","",H152*(1+نسبة_الضريبة))</f>
        <v/>
      </c>
      <c r="J152" s="33" t="str">
        <f aca="false">IF($A152="","",_xlfn.MINIFS('سجل المراجعات'!$E$5:$E$1504,'سجل المراجعات'!$A$5:$A$1504,$A152,'سجل المراجعات'!$D$5:$D$1504,"تسليم"))</f>
        <v/>
      </c>
      <c r="K152" s="33" t="str">
        <f aca="false">IF($A152="","",_xlfn.MAXIFS('سجل المراجعات'!$E$5:$E$1504,'سجل المراجعات'!$A$5:$A$1504,$A152,'سجل المراجعات'!$D$5:$D$1504,"تسليم"))</f>
        <v/>
      </c>
      <c r="L152" s="33" t="str">
        <f aca="false">IF($A152="","",_xlfn.MAXIFS('سجل المراجعات'!$E$5:$E$1504,'سجل المراجعات'!$A$5:$A$1504,$A152,'سجل المراجعات'!$D$5:$D$1504,"رد بملاحظات"))</f>
        <v/>
      </c>
      <c r="M152" s="33" t="str">
        <f aca="false">IF($A152="","",_xlfn.MAXIFS('سجل المراجعات'!$E$5:$E$1504,'سجل المراجعات'!$A$5:$A$1504,$A152,'سجل المراجعات'!$D$5:$D$1504,"قبول"))</f>
        <v/>
      </c>
      <c r="N152" s="26" t="str">
        <f aca="false">IF($A152="","",COUNTIFS('سجل المراجعات'!$A$5:$A$1504,$A152,'سجل المراجعات'!$D$5:$D$1504,"تسليم"))</f>
        <v/>
      </c>
      <c r="O152" s="34" t="str">
        <f aca="false">IF($A152="","",IF(M152&gt;0,"تم القبول",IF(F152="معلق","معلق",IF(AND(L152&gt;0,L152&gt;=K152),"مُعاد بملاحظات",IF(K152&gt;0,"في انتظار القبول",IF(AND(ISNUMBER(E152),E152&lt;تاريخ_الاحتساب),"متأخر",IF(F152="","لم يبدأ",F152)))))))</f>
        <v/>
      </c>
      <c r="P152" s="26" t="str">
        <f aca="false">IF($A152="","",SUMIFS('سجل المراجعات'!$L$5:$L$1504,'سجل المراجعات'!$A$5:$A$1504,$A152))</f>
        <v/>
      </c>
      <c r="Q152" s="26" t="str">
        <f aca="false">IF($A152="","",SUMIFS('سجل المراجعات'!$M$5:$M$1504,'سجل المراجعات'!$A$5:$A$1504,$A152))</f>
        <v/>
      </c>
      <c r="R152" s="26" t="str">
        <f aca="false">IF(OR($A152="",NOT(ISNUMBER(E152))),"",MAX(0,NETWORKDAYS.INTL(E152,IF(J152&gt;0,J152,تاريخ_الاحتساب),رمز_العطلة,أيام_الأجازات)-1))</f>
        <v/>
      </c>
      <c r="S152" s="22"/>
    </row>
    <row r="153" customFormat="false" ht="15" hidden="false" customHeight="false" outlineLevel="0" collapsed="false">
      <c r="A153" s="20"/>
      <c r="B153" s="20"/>
      <c r="C153" s="30" t="str">
        <f aca="false">IF($A153="","",IFERROR(INDEX(بند_الاسم,MATCH($B153,قائمة_البنود,0)),"⚠ بند غير موجود"))</f>
        <v/>
      </c>
      <c r="D153" s="22"/>
      <c r="E153" s="31"/>
      <c r="F153" s="21"/>
      <c r="G153" s="32"/>
      <c r="H153" s="25" t="str">
        <f aca="false">IF($A153="","",IFERROR(INDEX(بند_سعر_الوحدة,MATCH($B153,قائمة_البنود,0)),0))</f>
        <v/>
      </c>
      <c r="I153" s="25" t="str">
        <f aca="false">IF($A153="","",H153*(1+نسبة_الضريبة))</f>
        <v/>
      </c>
      <c r="J153" s="33" t="str">
        <f aca="false">IF($A153="","",_xlfn.MINIFS('سجل المراجعات'!$E$5:$E$1504,'سجل المراجعات'!$A$5:$A$1504,$A153,'سجل المراجعات'!$D$5:$D$1504,"تسليم"))</f>
        <v/>
      </c>
      <c r="K153" s="33" t="str">
        <f aca="false">IF($A153="","",_xlfn.MAXIFS('سجل المراجعات'!$E$5:$E$1504,'سجل المراجعات'!$A$5:$A$1504,$A153,'سجل المراجعات'!$D$5:$D$1504,"تسليم"))</f>
        <v/>
      </c>
      <c r="L153" s="33" t="str">
        <f aca="false">IF($A153="","",_xlfn.MAXIFS('سجل المراجعات'!$E$5:$E$1504,'سجل المراجعات'!$A$5:$A$1504,$A153,'سجل المراجعات'!$D$5:$D$1504,"رد بملاحظات"))</f>
        <v/>
      </c>
      <c r="M153" s="33" t="str">
        <f aca="false">IF($A153="","",_xlfn.MAXIFS('سجل المراجعات'!$E$5:$E$1504,'سجل المراجعات'!$A$5:$A$1504,$A153,'سجل المراجعات'!$D$5:$D$1504,"قبول"))</f>
        <v/>
      </c>
      <c r="N153" s="26" t="str">
        <f aca="false">IF($A153="","",COUNTIFS('سجل المراجعات'!$A$5:$A$1504,$A153,'سجل المراجعات'!$D$5:$D$1504,"تسليم"))</f>
        <v/>
      </c>
      <c r="O153" s="34" t="str">
        <f aca="false">IF($A153="","",IF(M153&gt;0,"تم القبول",IF(F153="معلق","معلق",IF(AND(L153&gt;0,L153&gt;=K153),"مُعاد بملاحظات",IF(K153&gt;0,"في انتظار القبول",IF(AND(ISNUMBER(E153),E153&lt;تاريخ_الاحتساب),"متأخر",IF(F153="","لم يبدأ",F153)))))))</f>
        <v/>
      </c>
      <c r="P153" s="26" t="str">
        <f aca="false">IF($A153="","",SUMIFS('سجل المراجعات'!$L$5:$L$1504,'سجل المراجعات'!$A$5:$A$1504,$A153))</f>
        <v/>
      </c>
      <c r="Q153" s="26" t="str">
        <f aca="false">IF($A153="","",SUMIFS('سجل المراجعات'!$M$5:$M$1504,'سجل المراجعات'!$A$5:$A$1504,$A153))</f>
        <v/>
      </c>
      <c r="R153" s="26" t="str">
        <f aca="false">IF(OR($A153="",NOT(ISNUMBER(E153))),"",MAX(0,NETWORKDAYS.INTL(E153,IF(J153&gt;0,J153,تاريخ_الاحتساب),رمز_العطلة,أيام_الأجازات)-1))</f>
        <v/>
      </c>
      <c r="S153" s="22"/>
    </row>
    <row r="154" customFormat="false" ht="15" hidden="false" customHeight="false" outlineLevel="0" collapsed="false">
      <c r="A154" s="20"/>
      <c r="B154" s="20"/>
      <c r="C154" s="30" t="str">
        <f aca="false">IF($A154="","",IFERROR(INDEX(بند_الاسم,MATCH($B154,قائمة_البنود,0)),"⚠ بند غير موجود"))</f>
        <v/>
      </c>
      <c r="D154" s="22"/>
      <c r="E154" s="31"/>
      <c r="F154" s="21"/>
      <c r="G154" s="32"/>
      <c r="H154" s="25" t="str">
        <f aca="false">IF($A154="","",IFERROR(INDEX(بند_سعر_الوحدة,MATCH($B154,قائمة_البنود,0)),0))</f>
        <v/>
      </c>
      <c r="I154" s="25" t="str">
        <f aca="false">IF($A154="","",H154*(1+نسبة_الضريبة))</f>
        <v/>
      </c>
      <c r="J154" s="33" t="str">
        <f aca="false">IF($A154="","",_xlfn.MINIFS('سجل المراجعات'!$E$5:$E$1504,'سجل المراجعات'!$A$5:$A$1504,$A154,'سجل المراجعات'!$D$5:$D$1504,"تسليم"))</f>
        <v/>
      </c>
      <c r="K154" s="33" t="str">
        <f aca="false">IF($A154="","",_xlfn.MAXIFS('سجل المراجعات'!$E$5:$E$1504,'سجل المراجعات'!$A$5:$A$1504,$A154,'سجل المراجعات'!$D$5:$D$1504,"تسليم"))</f>
        <v/>
      </c>
      <c r="L154" s="33" t="str">
        <f aca="false">IF($A154="","",_xlfn.MAXIFS('سجل المراجعات'!$E$5:$E$1504,'سجل المراجعات'!$A$5:$A$1504,$A154,'سجل المراجعات'!$D$5:$D$1504,"رد بملاحظات"))</f>
        <v/>
      </c>
      <c r="M154" s="33" t="str">
        <f aca="false">IF($A154="","",_xlfn.MAXIFS('سجل المراجعات'!$E$5:$E$1504,'سجل المراجعات'!$A$5:$A$1504,$A154,'سجل المراجعات'!$D$5:$D$1504,"قبول"))</f>
        <v/>
      </c>
      <c r="N154" s="26" t="str">
        <f aca="false">IF($A154="","",COUNTIFS('سجل المراجعات'!$A$5:$A$1504,$A154,'سجل المراجعات'!$D$5:$D$1504,"تسليم"))</f>
        <v/>
      </c>
      <c r="O154" s="34" t="str">
        <f aca="false">IF($A154="","",IF(M154&gt;0,"تم القبول",IF(F154="معلق","معلق",IF(AND(L154&gt;0,L154&gt;=K154),"مُعاد بملاحظات",IF(K154&gt;0,"في انتظار القبول",IF(AND(ISNUMBER(E154),E154&lt;تاريخ_الاحتساب),"متأخر",IF(F154="","لم يبدأ",F154)))))))</f>
        <v/>
      </c>
      <c r="P154" s="26" t="str">
        <f aca="false">IF($A154="","",SUMIFS('سجل المراجعات'!$L$5:$L$1504,'سجل المراجعات'!$A$5:$A$1504,$A154))</f>
        <v/>
      </c>
      <c r="Q154" s="26" t="str">
        <f aca="false">IF($A154="","",SUMIFS('سجل المراجعات'!$M$5:$M$1504,'سجل المراجعات'!$A$5:$A$1504,$A154))</f>
        <v/>
      </c>
      <c r="R154" s="26" t="str">
        <f aca="false">IF(OR($A154="",NOT(ISNUMBER(E154))),"",MAX(0,NETWORKDAYS.INTL(E154,IF(J154&gt;0,J154,تاريخ_الاحتساب),رمز_العطلة,أيام_الأجازات)-1))</f>
        <v/>
      </c>
      <c r="S154" s="22"/>
    </row>
    <row r="155" customFormat="false" ht="15" hidden="false" customHeight="false" outlineLevel="0" collapsed="false">
      <c r="A155" s="20"/>
      <c r="B155" s="20"/>
      <c r="C155" s="30" t="str">
        <f aca="false">IF($A155="","",IFERROR(INDEX(بند_الاسم,MATCH($B155,قائمة_البنود,0)),"⚠ بند غير موجود"))</f>
        <v/>
      </c>
      <c r="D155" s="22"/>
      <c r="E155" s="31"/>
      <c r="F155" s="21"/>
      <c r="G155" s="32"/>
      <c r="H155" s="25" t="str">
        <f aca="false">IF($A155="","",IFERROR(INDEX(بند_سعر_الوحدة,MATCH($B155,قائمة_البنود,0)),0))</f>
        <v/>
      </c>
      <c r="I155" s="25" t="str">
        <f aca="false">IF($A155="","",H155*(1+نسبة_الضريبة))</f>
        <v/>
      </c>
      <c r="J155" s="33" t="str">
        <f aca="false">IF($A155="","",_xlfn.MINIFS('سجل المراجعات'!$E$5:$E$1504,'سجل المراجعات'!$A$5:$A$1504,$A155,'سجل المراجعات'!$D$5:$D$1504,"تسليم"))</f>
        <v/>
      </c>
      <c r="K155" s="33" t="str">
        <f aca="false">IF($A155="","",_xlfn.MAXIFS('سجل المراجعات'!$E$5:$E$1504,'سجل المراجعات'!$A$5:$A$1504,$A155,'سجل المراجعات'!$D$5:$D$1504,"تسليم"))</f>
        <v/>
      </c>
      <c r="L155" s="33" t="str">
        <f aca="false">IF($A155="","",_xlfn.MAXIFS('سجل المراجعات'!$E$5:$E$1504,'سجل المراجعات'!$A$5:$A$1504,$A155,'سجل المراجعات'!$D$5:$D$1504,"رد بملاحظات"))</f>
        <v/>
      </c>
      <c r="M155" s="33" t="str">
        <f aca="false">IF($A155="","",_xlfn.MAXIFS('سجل المراجعات'!$E$5:$E$1504,'سجل المراجعات'!$A$5:$A$1504,$A155,'سجل المراجعات'!$D$5:$D$1504,"قبول"))</f>
        <v/>
      </c>
      <c r="N155" s="26" t="str">
        <f aca="false">IF($A155="","",COUNTIFS('سجل المراجعات'!$A$5:$A$1504,$A155,'سجل المراجعات'!$D$5:$D$1504,"تسليم"))</f>
        <v/>
      </c>
      <c r="O155" s="34" t="str">
        <f aca="false">IF($A155="","",IF(M155&gt;0,"تم القبول",IF(F155="معلق","معلق",IF(AND(L155&gt;0,L155&gt;=K155),"مُعاد بملاحظات",IF(K155&gt;0,"في انتظار القبول",IF(AND(ISNUMBER(E155),E155&lt;تاريخ_الاحتساب),"متأخر",IF(F155="","لم يبدأ",F155)))))))</f>
        <v/>
      </c>
      <c r="P155" s="26" t="str">
        <f aca="false">IF($A155="","",SUMIFS('سجل المراجعات'!$L$5:$L$1504,'سجل المراجعات'!$A$5:$A$1504,$A155))</f>
        <v/>
      </c>
      <c r="Q155" s="26" t="str">
        <f aca="false">IF($A155="","",SUMIFS('سجل المراجعات'!$M$5:$M$1504,'سجل المراجعات'!$A$5:$A$1504,$A155))</f>
        <v/>
      </c>
      <c r="R155" s="26" t="str">
        <f aca="false">IF(OR($A155="",NOT(ISNUMBER(E155))),"",MAX(0,NETWORKDAYS.INTL(E155,IF(J155&gt;0,J155,تاريخ_الاحتساب),رمز_العطلة,أيام_الأجازات)-1))</f>
        <v/>
      </c>
      <c r="S155" s="22"/>
    </row>
    <row r="156" customFormat="false" ht="15" hidden="false" customHeight="false" outlineLevel="0" collapsed="false">
      <c r="A156" s="20"/>
      <c r="B156" s="20"/>
      <c r="C156" s="30" t="str">
        <f aca="false">IF($A156="","",IFERROR(INDEX(بند_الاسم,MATCH($B156,قائمة_البنود,0)),"⚠ بند غير موجود"))</f>
        <v/>
      </c>
      <c r="D156" s="22"/>
      <c r="E156" s="31"/>
      <c r="F156" s="21"/>
      <c r="G156" s="32"/>
      <c r="H156" s="25" t="str">
        <f aca="false">IF($A156="","",IFERROR(INDEX(بند_سعر_الوحدة,MATCH($B156,قائمة_البنود,0)),0))</f>
        <v/>
      </c>
      <c r="I156" s="25" t="str">
        <f aca="false">IF($A156="","",H156*(1+نسبة_الضريبة))</f>
        <v/>
      </c>
      <c r="J156" s="33" t="str">
        <f aca="false">IF($A156="","",_xlfn.MINIFS('سجل المراجعات'!$E$5:$E$1504,'سجل المراجعات'!$A$5:$A$1504,$A156,'سجل المراجعات'!$D$5:$D$1504,"تسليم"))</f>
        <v/>
      </c>
      <c r="K156" s="33" t="str">
        <f aca="false">IF($A156="","",_xlfn.MAXIFS('سجل المراجعات'!$E$5:$E$1504,'سجل المراجعات'!$A$5:$A$1504,$A156,'سجل المراجعات'!$D$5:$D$1504,"تسليم"))</f>
        <v/>
      </c>
      <c r="L156" s="33" t="str">
        <f aca="false">IF($A156="","",_xlfn.MAXIFS('سجل المراجعات'!$E$5:$E$1504,'سجل المراجعات'!$A$5:$A$1504,$A156,'سجل المراجعات'!$D$5:$D$1504,"رد بملاحظات"))</f>
        <v/>
      </c>
      <c r="M156" s="33" t="str">
        <f aca="false">IF($A156="","",_xlfn.MAXIFS('سجل المراجعات'!$E$5:$E$1504,'سجل المراجعات'!$A$5:$A$1504,$A156,'سجل المراجعات'!$D$5:$D$1504,"قبول"))</f>
        <v/>
      </c>
      <c r="N156" s="26" t="str">
        <f aca="false">IF($A156="","",COUNTIFS('سجل المراجعات'!$A$5:$A$1504,$A156,'سجل المراجعات'!$D$5:$D$1504,"تسليم"))</f>
        <v/>
      </c>
      <c r="O156" s="34" t="str">
        <f aca="false">IF($A156="","",IF(M156&gt;0,"تم القبول",IF(F156="معلق","معلق",IF(AND(L156&gt;0,L156&gt;=K156),"مُعاد بملاحظات",IF(K156&gt;0,"في انتظار القبول",IF(AND(ISNUMBER(E156),E156&lt;تاريخ_الاحتساب),"متأخر",IF(F156="","لم يبدأ",F156)))))))</f>
        <v/>
      </c>
      <c r="P156" s="26" t="str">
        <f aca="false">IF($A156="","",SUMIFS('سجل المراجعات'!$L$5:$L$1504,'سجل المراجعات'!$A$5:$A$1504,$A156))</f>
        <v/>
      </c>
      <c r="Q156" s="26" t="str">
        <f aca="false">IF($A156="","",SUMIFS('سجل المراجعات'!$M$5:$M$1504,'سجل المراجعات'!$A$5:$A$1504,$A156))</f>
        <v/>
      </c>
      <c r="R156" s="26" t="str">
        <f aca="false">IF(OR($A156="",NOT(ISNUMBER(E156))),"",MAX(0,NETWORKDAYS.INTL(E156,IF(J156&gt;0,J156,تاريخ_الاحتساب),رمز_العطلة,أيام_الأجازات)-1))</f>
        <v/>
      </c>
      <c r="S156" s="22"/>
    </row>
    <row r="157" customFormat="false" ht="15" hidden="false" customHeight="false" outlineLevel="0" collapsed="false">
      <c r="A157" s="20"/>
      <c r="B157" s="20"/>
      <c r="C157" s="30" t="str">
        <f aca="false">IF($A157="","",IFERROR(INDEX(بند_الاسم,MATCH($B157,قائمة_البنود,0)),"⚠ بند غير موجود"))</f>
        <v/>
      </c>
      <c r="D157" s="22"/>
      <c r="E157" s="31"/>
      <c r="F157" s="21"/>
      <c r="G157" s="32"/>
      <c r="H157" s="25" t="str">
        <f aca="false">IF($A157="","",IFERROR(INDEX(بند_سعر_الوحدة,MATCH($B157,قائمة_البنود,0)),0))</f>
        <v/>
      </c>
      <c r="I157" s="25" t="str">
        <f aca="false">IF($A157="","",H157*(1+نسبة_الضريبة))</f>
        <v/>
      </c>
      <c r="J157" s="33" t="str">
        <f aca="false">IF($A157="","",_xlfn.MINIFS('سجل المراجعات'!$E$5:$E$1504,'سجل المراجعات'!$A$5:$A$1504,$A157,'سجل المراجعات'!$D$5:$D$1504,"تسليم"))</f>
        <v/>
      </c>
      <c r="K157" s="33" t="str">
        <f aca="false">IF($A157="","",_xlfn.MAXIFS('سجل المراجعات'!$E$5:$E$1504,'سجل المراجعات'!$A$5:$A$1504,$A157,'سجل المراجعات'!$D$5:$D$1504,"تسليم"))</f>
        <v/>
      </c>
      <c r="L157" s="33" t="str">
        <f aca="false">IF($A157="","",_xlfn.MAXIFS('سجل المراجعات'!$E$5:$E$1504,'سجل المراجعات'!$A$5:$A$1504,$A157,'سجل المراجعات'!$D$5:$D$1504,"رد بملاحظات"))</f>
        <v/>
      </c>
      <c r="M157" s="33" t="str">
        <f aca="false">IF($A157="","",_xlfn.MAXIFS('سجل المراجعات'!$E$5:$E$1504,'سجل المراجعات'!$A$5:$A$1504,$A157,'سجل المراجعات'!$D$5:$D$1504,"قبول"))</f>
        <v/>
      </c>
      <c r="N157" s="26" t="str">
        <f aca="false">IF($A157="","",COUNTIFS('سجل المراجعات'!$A$5:$A$1504,$A157,'سجل المراجعات'!$D$5:$D$1504,"تسليم"))</f>
        <v/>
      </c>
      <c r="O157" s="34" t="str">
        <f aca="false">IF($A157="","",IF(M157&gt;0,"تم القبول",IF(F157="معلق","معلق",IF(AND(L157&gt;0,L157&gt;=K157),"مُعاد بملاحظات",IF(K157&gt;0,"في انتظار القبول",IF(AND(ISNUMBER(E157),E157&lt;تاريخ_الاحتساب),"متأخر",IF(F157="","لم يبدأ",F157)))))))</f>
        <v/>
      </c>
      <c r="P157" s="26" t="str">
        <f aca="false">IF($A157="","",SUMIFS('سجل المراجعات'!$L$5:$L$1504,'سجل المراجعات'!$A$5:$A$1504,$A157))</f>
        <v/>
      </c>
      <c r="Q157" s="26" t="str">
        <f aca="false">IF($A157="","",SUMIFS('سجل المراجعات'!$M$5:$M$1504,'سجل المراجعات'!$A$5:$A$1504,$A157))</f>
        <v/>
      </c>
      <c r="R157" s="26" t="str">
        <f aca="false">IF(OR($A157="",NOT(ISNUMBER(E157))),"",MAX(0,NETWORKDAYS.INTL(E157,IF(J157&gt;0,J157,تاريخ_الاحتساب),رمز_العطلة,أيام_الأجازات)-1))</f>
        <v/>
      </c>
      <c r="S157" s="22"/>
    </row>
    <row r="158" customFormat="false" ht="15" hidden="false" customHeight="false" outlineLevel="0" collapsed="false">
      <c r="A158" s="20"/>
      <c r="B158" s="20"/>
      <c r="C158" s="30" t="str">
        <f aca="false">IF($A158="","",IFERROR(INDEX(بند_الاسم,MATCH($B158,قائمة_البنود,0)),"⚠ بند غير موجود"))</f>
        <v/>
      </c>
      <c r="D158" s="22"/>
      <c r="E158" s="31"/>
      <c r="F158" s="21"/>
      <c r="G158" s="32"/>
      <c r="H158" s="25" t="str">
        <f aca="false">IF($A158="","",IFERROR(INDEX(بند_سعر_الوحدة,MATCH($B158,قائمة_البنود,0)),0))</f>
        <v/>
      </c>
      <c r="I158" s="25" t="str">
        <f aca="false">IF($A158="","",H158*(1+نسبة_الضريبة))</f>
        <v/>
      </c>
      <c r="J158" s="33" t="str">
        <f aca="false">IF($A158="","",_xlfn.MINIFS('سجل المراجعات'!$E$5:$E$1504,'سجل المراجعات'!$A$5:$A$1504,$A158,'سجل المراجعات'!$D$5:$D$1504,"تسليم"))</f>
        <v/>
      </c>
      <c r="K158" s="33" t="str">
        <f aca="false">IF($A158="","",_xlfn.MAXIFS('سجل المراجعات'!$E$5:$E$1504,'سجل المراجعات'!$A$5:$A$1504,$A158,'سجل المراجعات'!$D$5:$D$1504,"تسليم"))</f>
        <v/>
      </c>
      <c r="L158" s="33" t="str">
        <f aca="false">IF($A158="","",_xlfn.MAXIFS('سجل المراجعات'!$E$5:$E$1504,'سجل المراجعات'!$A$5:$A$1504,$A158,'سجل المراجعات'!$D$5:$D$1504,"رد بملاحظات"))</f>
        <v/>
      </c>
      <c r="M158" s="33" t="str">
        <f aca="false">IF($A158="","",_xlfn.MAXIFS('سجل المراجعات'!$E$5:$E$1504,'سجل المراجعات'!$A$5:$A$1504,$A158,'سجل المراجعات'!$D$5:$D$1504,"قبول"))</f>
        <v/>
      </c>
      <c r="N158" s="26" t="str">
        <f aca="false">IF($A158="","",COUNTIFS('سجل المراجعات'!$A$5:$A$1504,$A158,'سجل المراجعات'!$D$5:$D$1504,"تسليم"))</f>
        <v/>
      </c>
      <c r="O158" s="34" t="str">
        <f aca="false">IF($A158="","",IF(M158&gt;0,"تم القبول",IF(F158="معلق","معلق",IF(AND(L158&gt;0,L158&gt;=K158),"مُعاد بملاحظات",IF(K158&gt;0,"في انتظار القبول",IF(AND(ISNUMBER(E158),E158&lt;تاريخ_الاحتساب),"متأخر",IF(F158="","لم يبدأ",F158)))))))</f>
        <v/>
      </c>
      <c r="P158" s="26" t="str">
        <f aca="false">IF($A158="","",SUMIFS('سجل المراجعات'!$L$5:$L$1504,'سجل المراجعات'!$A$5:$A$1504,$A158))</f>
        <v/>
      </c>
      <c r="Q158" s="26" t="str">
        <f aca="false">IF($A158="","",SUMIFS('سجل المراجعات'!$M$5:$M$1504,'سجل المراجعات'!$A$5:$A$1504,$A158))</f>
        <v/>
      </c>
      <c r="R158" s="26" t="str">
        <f aca="false">IF(OR($A158="",NOT(ISNUMBER(E158))),"",MAX(0,NETWORKDAYS.INTL(E158,IF(J158&gt;0,J158,تاريخ_الاحتساب),رمز_العطلة,أيام_الأجازات)-1))</f>
        <v/>
      </c>
      <c r="S158" s="22"/>
    </row>
    <row r="159" customFormat="false" ht="15" hidden="false" customHeight="false" outlineLevel="0" collapsed="false">
      <c r="A159" s="20"/>
      <c r="B159" s="20"/>
      <c r="C159" s="30" t="str">
        <f aca="false">IF($A159="","",IFERROR(INDEX(بند_الاسم,MATCH($B159,قائمة_البنود,0)),"⚠ بند غير موجود"))</f>
        <v/>
      </c>
      <c r="D159" s="22"/>
      <c r="E159" s="31"/>
      <c r="F159" s="21"/>
      <c r="G159" s="32"/>
      <c r="H159" s="25" t="str">
        <f aca="false">IF($A159="","",IFERROR(INDEX(بند_سعر_الوحدة,MATCH($B159,قائمة_البنود,0)),0))</f>
        <v/>
      </c>
      <c r="I159" s="25" t="str">
        <f aca="false">IF($A159="","",H159*(1+نسبة_الضريبة))</f>
        <v/>
      </c>
      <c r="J159" s="33" t="str">
        <f aca="false">IF($A159="","",_xlfn.MINIFS('سجل المراجعات'!$E$5:$E$1504,'سجل المراجعات'!$A$5:$A$1504,$A159,'سجل المراجعات'!$D$5:$D$1504,"تسليم"))</f>
        <v/>
      </c>
      <c r="K159" s="33" t="str">
        <f aca="false">IF($A159="","",_xlfn.MAXIFS('سجل المراجعات'!$E$5:$E$1504,'سجل المراجعات'!$A$5:$A$1504,$A159,'سجل المراجعات'!$D$5:$D$1504,"تسليم"))</f>
        <v/>
      </c>
      <c r="L159" s="33" t="str">
        <f aca="false">IF($A159="","",_xlfn.MAXIFS('سجل المراجعات'!$E$5:$E$1504,'سجل المراجعات'!$A$5:$A$1504,$A159,'سجل المراجعات'!$D$5:$D$1504,"رد بملاحظات"))</f>
        <v/>
      </c>
      <c r="M159" s="33" t="str">
        <f aca="false">IF($A159="","",_xlfn.MAXIFS('سجل المراجعات'!$E$5:$E$1504,'سجل المراجعات'!$A$5:$A$1504,$A159,'سجل المراجعات'!$D$5:$D$1504,"قبول"))</f>
        <v/>
      </c>
      <c r="N159" s="26" t="str">
        <f aca="false">IF($A159="","",COUNTIFS('سجل المراجعات'!$A$5:$A$1504,$A159,'سجل المراجعات'!$D$5:$D$1504,"تسليم"))</f>
        <v/>
      </c>
      <c r="O159" s="34" t="str">
        <f aca="false">IF($A159="","",IF(M159&gt;0,"تم القبول",IF(F159="معلق","معلق",IF(AND(L159&gt;0,L159&gt;=K159),"مُعاد بملاحظات",IF(K159&gt;0,"في انتظار القبول",IF(AND(ISNUMBER(E159),E159&lt;تاريخ_الاحتساب),"متأخر",IF(F159="","لم يبدأ",F159)))))))</f>
        <v/>
      </c>
      <c r="P159" s="26" t="str">
        <f aca="false">IF($A159="","",SUMIFS('سجل المراجعات'!$L$5:$L$1504,'سجل المراجعات'!$A$5:$A$1504,$A159))</f>
        <v/>
      </c>
      <c r="Q159" s="26" t="str">
        <f aca="false">IF($A159="","",SUMIFS('سجل المراجعات'!$M$5:$M$1504,'سجل المراجعات'!$A$5:$A$1504,$A159))</f>
        <v/>
      </c>
      <c r="R159" s="26" t="str">
        <f aca="false">IF(OR($A159="",NOT(ISNUMBER(E159))),"",MAX(0,NETWORKDAYS.INTL(E159,IF(J159&gt;0,J159,تاريخ_الاحتساب),رمز_العطلة,أيام_الأجازات)-1))</f>
        <v/>
      </c>
      <c r="S159" s="22"/>
    </row>
    <row r="160" customFormat="false" ht="15" hidden="false" customHeight="false" outlineLevel="0" collapsed="false">
      <c r="A160" s="20"/>
      <c r="B160" s="20"/>
      <c r="C160" s="30" t="str">
        <f aca="false">IF($A160="","",IFERROR(INDEX(بند_الاسم,MATCH($B160,قائمة_البنود,0)),"⚠ بند غير موجود"))</f>
        <v/>
      </c>
      <c r="D160" s="22"/>
      <c r="E160" s="31"/>
      <c r="F160" s="21"/>
      <c r="G160" s="32"/>
      <c r="H160" s="25" t="str">
        <f aca="false">IF($A160="","",IFERROR(INDEX(بند_سعر_الوحدة,MATCH($B160,قائمة_البنود,0)),0))</f>
        <v/>
      </c>
      <c r="I160" s="25" t="str">
        <f aca="false">IF($A160="","",H160*(1+نسبة_الضريبة))</f>
        <v/>
      </c>
      <c r="J160" s="33" t="str">
        <f aca="false">IF($A160="","",_xlfn.MINIFS('سجل المراجعات'!$E$5:$E$1504,'سجل المراجعات'!$A$5:$A$1504,$A160,'سجل المراجعات'!$D$5:$D$1504,"تسليم"))</f>
        <v/>
      </c>
      <c r="K160" s="33" t="str">
        <f aca="false">IF($A160="","",_xlfn.MAXIFS('سجل المراجعات'!$E$5:$E$1504,'سجل المراجعات'!$A$5:$A$1504,$A160,'سجل المراجعات'!$D$5:$D$1504,"تسليم"))</f>
        <v/>
      </c>
      <c r="L160" s="33" t="str">
        <f aca="false">IF($A160="","",_xlfn.MAXIFS('سجل المراجعات'!$E$5:$E$1504,'سجل المراجعات'!$A$5:$A$1504,$A160,'سجل المراجعات'!$D$5:$D$1504,"رد بملاحظات"))</f>
        <v/>
      </c>
      <c r="M160" s="33" t="str">
        <f aca="false">IF($A160="","",_xlfn.MAXIFS('سجل المراجعات'!$E$5:$E$1504,'سجل المراجعات'!$A$5:$A$1504,$A160,'سجل المراجعات'!$D$5:$D$1504,"قبول"))</f>
        <v/>
      </c>
      <c r="N160" s="26" t="str">
        <f aca="false">IF($A160="","",COUNTIFS('سجل المراجعات'!$A$5:$A$1504,$A160,'سجل المراجعات'!$D$5:$D$1504,"تسليم"))</f>
        <v/>
      </c>
      <c r="O160" s="34" t="str">
        <f aca="false">IF($A160="","",IF(M160&gt;0,"تم القبول",IF(F160="معلق","معلق",IF(AND(L160&gt;0,L160&gt;=K160),"مُعاد بملاحظات",IF(K160&gt;0,"في انتظار القبول",IF(AND(ISNUMBER(E160),E160&lt;تاريخ_الاحتساب),"متأخر",IF(F160="","لم يبدأ",F160)))))))</f>
        <v/>
      </c>
      <c r="P160" s="26" t="str">
        <f aca="false">IF($A160="","",SUMIFS('سجل المراجعات'!$L$5:$L$1504,'سجل المراجعات'!$A$5:$A$1504,$A160))</f>
        <v/>
      </c>
      <c r="Q160" s="26" t="str">
        <f aca="false">IF($A160="","",SUMIFS('سجل المراجعات'!$M$5:$M$1504,'سجل المراجعات'!$A$5:$A$1504,$A160))</f>
        <v/>
      </c>
      <c r="R160" s="26" t="str">
        <f aca="false">IF(OR($A160="",NOT(ISNUMBER(E160))),"",MAX(0,NETWORKDAYS.INTL(E160,IF(J160&gt;0,J160,تاريخ_الاحتساب),رمز_العطلة,أيام_الأجازات)-1))</f>
        <v/>
      </c>
      <c r="S160" s="22"/>
    </row>
    <row r="161" customFormat="false" ht="15" hidden="false" customHeight="false" outlineLevel="0" collapsed="false">
      <c r="A161" s="20"/>
      <c r="B161" s="20"/>
      <c r="C161" s="30" t="str">
        <f aca="false">IF($A161="","",IFERROR(INDEX(بند_الاسم,MATCH($B161,قائمة_البنود,0)),"⚠ بند غير موجود"))</f>
        <v/>
      </c>
      <c r="D161" s="22"/>
      <c r="E161" s="31"/>
      <c r="F161" s="21"/>
      <c r="G161" s="32"/>
      <c r="H161" s="25" t="str">
        <f aca="false">IF($A161="","",IFERROR(INDEX(بند_سعر_الوحدة,MATCH($B161,قائمة_البنود,0)),0))</f>
        <v/>
      </c>
      <c r="I161" s="25" t="str">
        <f aca="false">IF($A161="","",H161*(1+نسبة_الضريبة))</f>
        <v/>
      </c>
      <c r="J161" s="33" t="str">
        <f aca="false">IF($A161="","",_xlfn.MINIFS('سجل المراجعات'!$E$5:$E$1504,'سجل المراجعات'!$A$5:$A$1504,$A161,'سجل المراجعات'!$D$5:$D$1504,"تسليم"))</f>
        <v/>
      </c>
      <c r="K161" s="33" t="str">
        <f aca="false">IF($A161="","",_xlfn.MAXIFS('سجل المراجعات'!$E$5:$E$1504,'سجل المراجعات'!$A$5:$A$1504,$A161,'سجل المراجعات'!$D$5:$D$1504,"تسليم"))</f>
        <v/>
      </c>
      <c r="L161" s="33" t="str">
        <f aca="false">IF($A161="","",_xlfn.MAXIFS('سجل المراجعات'!$E$5:$E$1504,'سجل المراجعات'!$A$5:$A$1504,$A161,'سجل المراجعات'!$D$5:$D$1504,"رد بملاحظات"))</f>
        <v/>
      </c>
      <c r="M161" s="33" t="str">
        <f aca="false">IF($A161="","",_xlfn.MAXIFS('سجل المراجعات'!$E$5:$E$1504,'سجل المراجعات'!$A$5:$A$1504,$A161,'سجل المراجعات'!$D$5:$D$1504,"قبول"))</f>
        <v/>
      </c>
      <c r="N161" s="26" t="str">
        <f aca="false">IF($A161="","",COUNTIFS('سجل المراجعات'!$A$5:$A$1504,$A161,'سجل المراجعات'!$D$5:$D$1504,"تسليم"))</f>
        <v/>
      </c>
      <c r="O161" s="34" t="str">
        <f aca="false">IF($A161="","",IF(M161&gt;0,"تم القبول",IF(F161="معلق","معلق",IF(AND(L161&gt;0,L161&gt;=K161),"مُعاد بملاحظات",IF(K161&gt;0,"في انتظار القبول",IF(AND(ISNUMBER(E161),E161&lt;تاريخ_الاحتساب),"متأخر",IF(F161="","لم يبدأ",F161)))))))</f>
        <v/>
      </c>
      <c r="P161" s="26" t="str">
        <f aca="false">IF($A161="","",SUMIFS('سجل المراجعات'!$L$5:$L$1504,'سجل المراجعات'!$A$5:$A$1504,$A161))</f>
        <v/>
      </c>
      <c r="Q161" s="26" t="str">
        <f aca="false">IF($A161="","",SUMIFS('سجل المراجعات'!$M$5:$M$1504,'سجل المراجعات'!$A$5:$A$1504,$A161))</f>
        <v/>
      </c>
      <c r="R161" s="26" t="str">
        <f aca="false">IF(OR($A161="",NOT(ISNUMBER(E161))),"",MAX(0,NETWORKDAYS.INTL(E161,IF(J161&gt;0,J161,تاريخ_الاحتساب),رمز_العطلة,أيام_الأجازات)-1))</f>
        <v/>
      </c>
      <c r="S161" s="22"/>
    </row>
    <row r="162" customFormat="false" ht="15" hidden="false" customHeight="false" outlineLevel="0" collapsed="false">
      <c r="A162" s="20"/>
      <c r="B162" s="20"/>
      <c r="C162" s="30" t="str">
        <f aca="false">IF($A162="","",IFERROR(INDEX(بند_الاسم,MATCH($B162,قائمة_البنود,0)),"⚠ بند غير موجود"))</f>
        <v/>
      </c>
      <c r="D162" s="22"/>
      <c r="E162" s="31"/>
      <c r="F162" s="21"/>
      <c r="G162" s="32"/>
      <c r="H162" s="25" t="str">
        <f aca="false">IF($A162="","",IFERROR(INDEX(بند_سعر_الوحدة,MATCH($B162,قائمة_البنود,0)),0))</f>
        <v/>
      </c>
      <c r="I162" s="25" t="str">
        <f aca="false">IF($A162="","",H162*(1+نسبة_الضريبة))</f>
        <v/>
      </c>
      <c r="J162" s="33" t="str">
        <f aca="false">IF($A162="","",_xlfn.MINIFS('سجل المراجعات'!$E$5:$E$1504,'سجل المراجعات'!$A$5:$A$1504,$A162,'سجل المراجعات'!$D$5:$D$1504,"تسليم"))</f>
        <v/>
      </c>
      <c r="K162" s="33" t="str">
        <f aca="false">IF($A162="","",_xlfn.MAXIFS('سجل المراجعات'!$E$5:$E$1504,'سجل المراجعات'!$A$5:$A$1504,$A162,'سجل المراجعات'!$D$5:$D$1504,"تسليم"))</f>
        <v/>
      </c>
      <c r="L162" s="33" t="str">
        <f aca="false">IF($A162="","",_xlfn.MAXIFS('سجل المراجعات'!$E$5:$E$1504,'سجل المراجعات'!$A$5:$A$1504,$A162,'سجل المراجعات'!$D$5:$D$1504,"رد بملاحظات"))</f>
        <v/>
      </c>
      <c r="M162" s="33" t="str">
        <f aca="false">IF($A162="","",_xlfn.MAXIFS('سجل المراجعات'!$E$5:$E$1504,'سجل المراجعات'!$A$5:$A$1504,$A162,'سجل المراجعات'!$D$5:$D$1504,"قبول"))</f>
        <v/>
      </c>
      <c r="N162" s="26" t="str">
        <f aca="false">IF($A162="","",COUNTIFS('سجل المراجعات'!$A$5:$A$1504,$A162,'سجل المراجعات'!$D$5:$D$1504,"تسليم"))</f>
        <v/>
      </c>
      <c r="O162" s="34" t="str">
        <f aca="false">IF($A162="","",IF(M162&gt;0,"تم القبول",IF(F162="معلق","معلق",IF(AND(L162&gt;0,L162&gt;=K162),"مُعاد بملاحظات",IF(K162&gt;0,"في انتظار القبول",IF(AND(ISNUMBER(E162),E162&lt;تاريخ_الاحتساب),"متأخر",IF(F162="","لم يبدأ",F162)))))))</f>
        <v/>
      </c>
      <c r="P162" s="26" t="str">
        <f aca="false">IF($A162="","",SUMIFS('سجل المراجعات'!$L$5:$L$1504,'سجل المراجعات'!$A$5:$A$1504,$A162))</f>
        <v/>
      </c>
      <c r="Q162" s="26" t="str">
        <f aca="false">IF($A162="","",SUMIFS('سجل المراجعات'!$M$5:$M$1504,'سجل المراجعات'!$A$5:$A$1504,$A162))</f>
        <v/>
      </c>
      <c r="R162" s="26" t="str">
        <f aca="false">IF(OR($A162="",NOT(ISNUMBER(E162))),"",MAX(0,NETWORKDAYS.INTL(E162,IF(J162&gt;0,J162,تاريخ_الاحتساب),رمز_العطلة,أيام_الأجازات)-1))</f>
        <v/>
      </c>
      <c r="S162" s="22"/>
    </row>
    <row r="163" customFormat="false" ht="15" hidden="false" customHeight="false" outlineLevel="0" collapsed="false">
      <c r="A163" s="20"/>
      <c r="B163" s="20"/>
      <c r="C163" s="30" t="str">
        <f aca="false">IF($A163="","",IFERROR(INDEX(بند_الاسم,MATCH($B163,قائمة_البنود,0)),"⚠ بند غير موجود"))</f>
        <v/>
      </c>
      <c r="D163" s="22"/>
      <c r="E163" s="31"/>
      <c r="F163" s="21"/>
      <c r="G163" s="32"/>
      <c r="H163" s="25" t="str">
        <f aca="false">IF($A163="","",IFERROR(INDEX(بند_سعر_الوحدة,MATCH($B163,قائمة_البنود,0)),0))</f>
        <v/>
      </c>
      <c r="I163" s="25" t="str">
        <f aca="false">IF($A163="","",H163*(1+نسبة_الضريبة))</f>
        <v/>
      </c>
      <c r="J163" s="33" t="str">
        <f aca="false">IF($A163="","",_xlfn.MINIFS('سجل المراجعات'!$E$5:$E$1504,'سجل المراجعات'!$A$5:$A$1504,$A163,'سجل المراجعات'!$D$5:$D$1504,"تسليم"))</f>
        <v/>
      </c>
      <c r="K163" s="33" t="str">
        <f aca="false">IF($A163="","",_xlfn.MAXIFS('سجل المراجعات'!$E$5:$E$1504,'سجل المراجعات'!$A$5:$A$1504,$A163,'سجل المراجعات'!$D$5:$D$1504,"تسليم"))</f>
        <v/>
      </c>
      <c r="L163" s="33" t="str">
        <f aca="false">IF($A163="","",_xlfn.MAXIFS('سجل المراجعات'!$E$5:$E$1504,'سجل المراجعات'!$A$5:$A$1504,$A163,'سجل المراجعات'!$D$5:$D$1504,"رد بملاحظات"))</f>
        <v/>
      </c>
      <c r="M163" s="33" t="str">
        <f aca="false">IF($A163="","",_xlfn.MAXIFS('سجل المراجعات'!$E$5:$E$1504,'سجل المراجعات'!$A$5:$A$1504,$A163,'سجل المراجعات'!$D$5:$D$1504,"قبول"))</f>
        <v/>
      </c>
      <c r="N163" s="26" t="str">
        <f aca="false">IF($A163="","",COUNTIFS('سجل المراجعات'!$A$5:$A$1504,$A163,'سجل المراجعات'!$D$5:$D$1504,"تسليم"))</f>
        <v/>
      </c>
      <c r="O163" s="34" t="str">
        <f aca="false">IF($A163="","",IF(M163&gt;0,"تم القبول",IF(F163="معلق","معلق",IF(AND(L163&gt;0,L163&gt;=K163),"مُعاد بملاحظات",IF(K163&gt;0,"في انتظار القبول",IF(AND(ISNUMBER(E163),E163&lt;تاريخ_الاحتساب),"متأخر",IF(F163="","لم يبدأ",F163)))))))</f>
        <v/>
      </c>
      <c r="P163" s="26" t="str">
        <f aca="false">IF($A163="","",SUMIFS('سجل المراجعات'!$L$5:$L$1504,'سجل المراجعات'!$A$5:$A$1504,$A163))</f>
        <v/>
      </c>
      <c r="Q163" s="26" t="str">
        <f aca="false">IF($A163="","",SUMIFS('سجل المراجعات'!$M$5:$M$1504,'سجل المراجعات'!$A$5:$A$1504,$A163))</f>
        <v/>
      </c>
      <c r="R163" s="26" t="str">
        <f aca="false">IF(OR($A163="",NOT(ISNUMBER(E163))),"",MAX(0,NETWORKDAYS.INTL(E163,IF(J163&gt;0,J163,تاريخ_الاحتساب),رمز_العطلة,أيام_الأجازات)-1))</f>
        <v/>
      </c>
      <c r="S163" s="22"/>
    </row>
    <row r="164" customFormat="false" ht="15" hidden="false" customHeight="false" outlineLevel="0" collapsed="false">
      <c r="A164" s="20"/>
      <c r="B164" s="20"/>
      <c r="C164" s="30" t="str">
        <f aca="false">IF($A164="","",IFERROR(INDEX(بند_الاسم,MATCH($B164,قائمة_البنود,0)),"⚠ بند غير موجود"))</f>
        <v/>
      </c>
      <c r="D164" s="22"/>
      <c r="E164" s="31"/>
      <c r="F164" s="21"/>
      <c r="G164" s="32"/>
      <c r="H164" s="25" t="str">
        <f aca="false">IF($A164="","",IFERROR(INDEX(بند_سعر_الوحدة,MATCH($B164,قائمة_البنود,0)),0))</f>
        <v/>
      </c>
      <c r="I164" s="25" t="str">
        <f aca="false">IF($A164="","",H164*(1+نسبة_الضريبة))</f>
        <v/>
      </c>
      <c r="J164" s="33" t="str">
        <f aca="false">IF($A164="","",_xlfn.MINIFS('سجل المراجعات'!$E$5:$E$1504,'سجل المراجعات'!$A$5:$A$1504,$A164,'سجل المراجعات'!$D$5:$D$1504,"تسليم"))</f>
        <v/>
      </c>
      <c r="K164" s="33" t="str">
        <f aca="false">IF($A164="","",_xlfn.MAXIFS('سجل المراجعات'!$E$5:$E$1504,'سجل المراجعات'!$A$5:$A$1504,$A164,'سجل المراجعات'!$D$5:$D$1504,"تسليم"))</f>
        <v/>
      </c>
      <c r="L164" s="33" t="str">
        <f aca="false">IF($A164="","",_xlfn.MAXIFS('سجل المراجعات'!$E$5:$E$1504,'سجل المراجعات'!$A$5:$A$1504,$A164,'سجل المراجعات'!$D$5:$D$1504,"رد بملاحظات"))</f>
        <v/>
      </c>
      <c r="M164" s="33" t="str">
        <f aca="false">IF($A164="","",_xlfn.MAXIFS('سجل المراجعات'!$E$5:$E$1504,'سجل المراجعات'!$A$5:$A$1504,$A164,'سجل المراجعات'!$D$5:$D$1504,"قبول"))</f>
        <v/>
      </c>
      <c r="N164" s="26" t="str">
        <f aca="false">IF($A164="","",COUNTIFS('سجل المراجعات'!$A$5:$A$1504,$A164,'سجل المراجعات'!$D$5:$D$1504,"تسليم"))</f>
        <v/>
      </c>
      <c r="O164" s="34" t="str">
        <f aca="false">IF($A164="","",IF(M164&gt;0,"تم القبول",IF(F164="معلق","معلق",IF(AND(L164&gt;0,L164&gt;=K164),"مُعاد بملاحظات",IF(K164&gt;0,"في انتظار القبول",IF(AND(ISNUMBER(E164),E164&lt;تاريخ_الاحتساب),"متأخر",IF(F164="","لم يبدأ",F164)))))))</f>
        <v/>
      </c>
      <c r="P164" s="26" t="str">
        <f aca="false">IF($A164="","",SUMIFS('سجل المراجعات'!$L$5:$L$1504,'سجل المراجعات'!$A$5:$A$1504,$A164))</f>
        <v/>
      </c>
      <c r="Q164" s="26" t="str">
        <f aca="false">IF($A164="","",SUMIFS('سجل المراجعات'!$M$5:$M$1504,'سجل المراجعات'!$A$5:$A$1504,$A164))</f>
        <v/>
      </c>
      <c r="R164" s="26" t="str">
        <f aca="false">IF(OR($A164="",NOT(ISNUMBER(E164))),"",MAX(0,NETWORKDAYS.INTL(E164,IF(J164&gt;0,J164,تاريخ_الاحتساب),رمز_العطلة,أيام_الأجازات)-1))</f>
        <v/>
      </c>
      <c r="S164" s="22"/>
    </row>
    <row r="165" customFormat="false" ht="15" hidden="false" customHeight="false" outlineLevel="0" collapsed="false">
      <c r="A165" s="20"/>
      <c r="B165" s="20"/>
      <c r="C165" s="30" t="str">
        <f aca="false">IF($A165="","",IFERROR(INDEX(بند_الاسم,MATCH($B165,قائمة_البنود,0)),"⚠ بند غير موجود"))</f>
        <v/>
      </c>
      <c r="D165" s="22"/>
      <c r="E165" s="31"/>
      <c r="F165" s="21"/>
      <c r="G165" s="32"/>
      <c r="H165" s="25" t="str">
        <f aca="false">IF($A165="","",IFERROR(INDEX(بند_سعر_الوحدة,MATCH($B165,قائمة_البنود,0)),0))</f>
        <v/>
      </c>
      <c r="I165" s="25" t="str">
        <f aca="false">IF($A165="","",H165*(1+نسبة_الضريبة))</f>
        <v/>
      </c>
      <c r="J165" s="33" t="str">
        <f aca="false">IF($A165="","",_xlfn.MINIFS('سجل المراجعات'!$E$5:$E$1504,'سجل المراجعات'!$A$5:$A$1504,$A165,'سجل المراجعات'!$D$5:$D$1504,"تسليم"))</f>
        <v/>
      </c>
      <c r="K165" s="33" t="str">
        <f aca="false">IF($A165="","",_xlfn.MAXIFS('سجل المراجعات'!$E$5:$E$1504,'سجل المراجعات'!$A$5:$A$1504,$A165,'سجل المراجعات'!$D$5:$D$1504,"تسليم"))</f>
        <v/>
      </c>
      <c r="L165" s="33" t="str">
        <f aca="false">IF($A165="","",_xlfn.MAXIFS('سجل المراجعات'!$E$5:$E$1504,'سجل المراجعات'!$A$5:$A$1504,$A165,'سجل المراجعات'!$D$5:$D$1504,"رد بملاحظات"))</f>
        <v/>
      </c>
      <c r="M165" s="33" t="str">
        <f aca="false">IF($A165="","",_xlfn.MAXIFS('سجل المراجعات'!$E$5:$E$1504,'سجل المراجعات'!$A$5:$A$1504,$A165,'سجل المراجعات'!$D$5:$D$1504,"قبول"))</f>
        <v/>
      </c>
      <c r="N165" s="26" t="str">
        <f aca="false">IF($A165="","",COUNTIFS('سجل المراجعات'!$A$5:$A$1504,$A165,'سجل المراجعات'!$D$5:$D$1504,"تسليم"))</f>
        <v/>
      </c>
      <c r="O165" s="34" t="str">
        <f aca="false">IF($A165="","",IF(M165&gt;0,"تم القبول",IF(F165="معلق","معلق",IF(AND(L165&gt;0,L165&gt;=K165),"مُعاد بملاحظات",IF(K165&gt;0,"في انتظار القبول",IF(AND(ISNUMBER(E165),E165&lt;تاريخ_الاحتساب),"متأخر",IF(F165="","لم يبدأ",F165)))))))</f>
        <v/>
      </c>
      <c r="P165" s="26" t="str">
        <f aca="false">IF($A165="","",SUMIFS('سجل المراجعات'!$L$5:$L$1504,'سجل المراجعات'!$A$5:$A$1504,$A165))</f>
        <v/>
      </c>
      <c r="Q165" s="26" t="str">
        <f aca="false">IF($A165="","",SUMIFS('سجل المراجعات'!$M$5:$M$1504,'سجل المراجعات'!$A$5:$A$1504,$A165))</f>
        <v/>
      </c>
      <c r="R165" s="26" t="str">
        <f aca="false">IF(OR($A165="",NOT(ISNUMBER(E165))),"",MAX(0,NETWORKDAYS.INTL(E165,IF(J165&gt;0,J165,تاريخ_الاحتساب),رمز_العطلة,أيام_الأجازات)-1))</f>
        <v/>
      </c>
      <c r="S165" s="22"/>
    </row>
    <row r="166" customFormat="false" ht="15" hidden="false" customHeight="false" outlineLevel="0" collapsed="false">
      <c r="A166" s="20"/>
      <c r="B166" s="20"/>
      <c r="C166" s="30" t="str">
        <f aca="false">IF($A166="","",IFERROR(INDEX(بند_الاسم,MATCH($B166,قائمة_البنود,0)),"⚠ بند غير موجود"))</f>
        <v/>
      </c>
      <c r="D166" s="22"/>
      <c r="E166" s="31"/>
      <c r="F166" s="21"/>
      <c r="G166" s="32"/>
      <c r="H166" s="25" t="str">
        <f aca="false">IF($A166="","",IFERROR(INDEX(بند_سعر_الوحدة,MATCH($B166,قائمة_البنود,0)),0))</f>
        <v/>
      </c>
      <c r="I166" s="25" t="str">
        <f aca="false">IF($A166="","",H166*(1+نسبة_الضريبة))</f>
        <v/>
      </c>
      <c r="J166" s="33" t="str">
        <f aca="false">IF($A166="","",_xlfn.MINIFS('سجل المراجعات'!$E$5:$E$1504,'سجل المراجعات'!$A$5:$A$1504,$A166,'سجل المراجعات'!$D$5:$D$1504,"تسليم"))</f>
        <v/>
      </c>
      <c r="K166" s="33" t="str">
        <f aca="false">IF($A166="","",_xlfn.MAXIFS('سجل المراجعات'!$E$5:$E$1504,'سجل المراجعات'!$A$5:$A$1504,$A166,'سجل المراجعات'!$D$5:$D$1504,"تسليم"))</f>
        <v/>
      </c>
      <c r="L166" s="33" t="str">
        <f aca="false">IF($A166="","",_xlfn.MAXIFS('سجل المراجعات'!$E$5:$E$1504,'سجل المراجعات'!$A$5:$A$1504,$A166,'سجل المراجعات'!$D$5:$D$1504,"رد بملاحظات"))</f>
        <v/>
      </c>
      <c r="M166" s="33" t="str">
        <f aca="false">IF($A166="","",_xlfn.MAXIFS('سجل المراجعات'!$E$5:$E$1504,'سجل المراجعات'!$A$5:$A$1504,$A166,'سجل المراجعات'!$D$5:$D$1504,"قبول"))</f>
        <v/>
      </c>
      <c r="N166" s="26" t="str">
        <f aca="false">IF($A166="","",COUNTIFS('سجل المراجعات'!$A$5:$A$1504,$A166,'سجل المراجعات'!$D$5:$D$1504,"تسليم"))</f>
        <v/>
      </c>
      <c r="O166" s="34" t="str">
        <f aca="false">IF($A166="","",IF(M166&gt;0,"تم القبول",IF(F166="معلق","معلق",IF(AND(L166&gt;0,L166&gt;=K166),"مُعاد بملاحظات",IF(K166&gt;0,"في انتظار القبول",IF(AND(ISNUMBER(E166),E166&lt;تاريخ_الاحتساب),"متأخر",IF(F166="","لم يبدأ",F166)))))))</f>
        <v/>
      </c>
      <c r="P166" s="26" t="str">
        <f aca="false">IF($A166="","",SUMIFS('سجل المراجعات'!$L$5:$L$1504,'سجل المراجعات'!$A$5:$A$1504,$A166))</f>
        <v/>
      </c>
      <c r="Q166" s="26" t="str">
        <f aca="false">IF($A166="","",SUMIFS('سجل المراجعات'!$M$5:$M$1504,'سجل المراجعات'!$A$5:$A$1504,$A166))</f>
        <v/>
      </c>
      <c r="R166" s="26" t="str">
        <f aca="false">IF(OR($A166="",NOT(ISNUMBER(E166))),"",MAX(0,NETWORKDAYS.INTL(E166,IF(J166&gt;0,J166,تاريخ_الاحتساب),رمز_العطلة,أيام_الأجازات)-1))</f>
        <v/>
      </c>
      <c r="S166" s="22"/>
    </row>
    <row r="167" customFormat="false" ht="15" hidden="false" customHeight="false" outlineLevel="0" collapsed="false">
      <c r="A167" s="20"/>
      <c r="B167" s="20"/>
      <c r="C167" s="30" t="str">
        <f aca="false">IF($A167="","",IFERROR(INDEX(بند_الاسم,MATCH($B167,قائمة_البنود,0)),"⚠ بند غير موجود"))</f>
        <v/>
      </c>
      <c r="D167" s="22"/>
      <c r="E167" s="31"/>
      <c r="F167" s="21"/>
      <c r="G167" s="32"/>
      <c r="H167" s="25" t="str">
        <f aca="false">IF($A167="","",IFERROR(INDEX(بند_سعر_الوحدة,MATCH($B167,قائمة_البنود,0)),0))</f>
        <v/>
      </c>
      <c r="I167" s="25" t="str">
        <f aca="false">IF($A167="","",H167*(1+نسبة_الضريبة))</f>
        <v/>
      </c>
      <c r="J167" s="33" t="str">
        <f aca="false">IF($A167="","",_xlfn.MINIFS('سجل المراجعات'!$E$5:$E$1504,'سجل المراجعات'!$A$5:$A$1504,$A167,'سجل المراجعات'!$D$5:$D$1504,"تسليم"))</f>
        <v/>
      </c>
      <c r="K167" s="33" t="str">
        <f aca="false">IF($A167="","",_xlfn.MAXIFS('سجل المراجعات'!$E$5:$E$1504,'سجل المراجعات'!$A$5:$A$1504,$A167,'سجل المراجعات'!$D$5:$D$1504,"تسليم"))</f>
        <v/>
      </c>
      <c r="L167" s="33" t="str">
        <f aca="false">IF($A167="","",_xlfn.MAXIFS('سجل المراجعات'!$E$5:$E$1504,'سجل المراجعات'!$A$5:$A$1504,$A167,'سجل المراجعات'!$D$5:$D$1504,"رد بملاحظات"))</f>
        <v/>
      </c>
      <c r="M167" s="33" t="str">
        <f aca="false">IF($A167="","",_xlfn.MAXIFS('سجل المراجعات'!$E$5:$E$1504,'سجل المراجعات'!$A$5:$A$1504,$A167,'سجل المراجعات'!$D$5:$D$1504,"قبول"))</f>
        <v/>
      </c>
      <c r="N167" s="26" t="str">
        <f aca="false">IF($A167="","",COUNTIFS('سجل المراجعات'!$A$5:$A$1504,$A167,'سجل المراجعات'!$D$5:$D$1504,"تسليم"))</f>
        <v/>
      </c>
      <c r="O167" s="34" t="str">
        <f aca="false">IF($A167="","",IF(M167&gt;0,"تم القبول",IF(F167="معلق","معلق",IF(AND(L167&gt;0,L167&gt;=K167),"مُعاد بملاحظات",IF(K167&gt;0,"في انتظار القبول",IF(AND(ISNUMBER(E167),E167&lt;تاريخ_الاحتساب),"متأخر",IF(F167="","لم يبدأ",F167)))))))</f>
        <v/>
      </c>
      <c r="P167" s="26" t="str">
        <f aca="false">IF($A167="","",SUMIFS('سجل المراجعات'!$L$5:$L$1504,'سجل المراجعات'!$A$5:$A$1504,$A167))</f>
        <v/>
      </c>
      <c r="Q167" s="26" t="str">
        <f aca="false">IF($A167="","",SUMIFS('سجل المراجعات'!$M$5:$M$1504,'سجل المراجعات'!$A$5:$A$1504,$A167))</f>
        <v/>
      </c>
      <c r="R167" s="26" t="str">
        <f aca="false">IF(OR($A167="",NOT(ISNUMBER(E167))),"",MAX(0,NETWORKDAYS.INTL(E167,IF(J167&gt;0,J167,تاريخ_الاحتساب),رمز_العطلة,أيام_الأجازات)-1))</f>
        <v/>
      </c>
      <c r="S167" s="22"/>
    </row>
    <row r="168" customFormat="false" ht="15" hidden="false" customHeight="false" outlineLevel="0" collapsed="false">
      <c r="A168" s="20"/>
      <c r="B168" s="20"/>
      <c r="C168" s="30" t="str">
        <f aca="false">IF($A168="","",IFERROR(INDEX(بند_الاسم,MATCH($B168,قائمة_البنود,0)),"⚠ بند غير موجود"))</f>
        <v/>
      </c>
      <c r="D168" s="22"/>
      <c r="E168" s="31"/>
      <c r="F168" s="21"/>
      <c r="G168" s="32"/>
      <c r="H168" s="25" t="str">
        <f aca="false">IF($A168="","",IFERROR(INDEX(بند_سعر_الوحدة,MATCH($B168,قائمة_البنود,0)),0))</f>
        <v/>
      </c>
      <c r="I168" s="25" t="str">
        <f aca="false">IF($A168="","",H168*(1+نسبة_الضريبة))</f>
        <v/>
      </c>
      <c r="J168" s="33" t="str">
        <f aca="false">IF($A168="","",_xlfn.MINIFS('سجل المراجعات'!$E$5:$E$1504,'سجل المراجعات'!$A$5:$A$1504,$A168,'سجل المراجعات'!$D$5:$D$1504,"تسليم"))</f>
        <v/>
      </c>
      <c r="K168" s="33" t="str">
        <f aca="false">IF($A168="","",_xlfn.MAXIFS('سجل المراجعات'!$E$5:$E$1504,'سجل المراجعات'!$A$5:$A$1504,$A168,'سجل المراجعات'!$D$5:$D$1504,"تسليم"))</f>
        <v/>
      </c>
      <c r="L168" s="33" t="str">
        <f aca="false">IF($A168="","",_xlfn.MAXIFS('سجل المراجعات'!$E$5:$E$1504,'سجل المراجعات'!$A$5:$A$1504,$A168,'سجل المراجعات'!$D$5:$D$1504,"رد بملاحظات"))</f>
        <v/>
      </c>
      <c r="M168" s="33" t="str">
        <f aca="false">IF($A168="","",_xlfn.MAXIFS('سجل المراجعات'!$E$5:$E$1504,'سجل المراجعات'!$A$5:$A$1504,$A168,'سجل المراجعات'!$D$5:$D$1504,"قبول"))</f>
        <v/>
      </c>
      <c r="N168" s="26" t="str">
        <f aca="false">IF($A168="","",COUNTIFS('سجل المراجعات'!$A$5:$A$1504,$A168,'سجل المراجعات'!$D$5:$D$1504,"تسليم"))</f>
        <v/>
      </c>
      <c r="O168" s="34" t="str">
        <f aca="false">IF($A168="","",IF(M168&gt;0,"تم القبول",IF(F168="معلق","معلق",IF(AND(L168&gt;0,L168&gt;=K168),"مُعاد بملاحظات",IF(K168&gt;0,"في انتظار القبول",IF(AND(ISNUMBER(E168),E168&lt;تاريخ_الاحتساب),"متأخر",IF(F168="","لم يبدأ",F168)))))))</f>
        <v/>
      </c>
      <c r="P168" s="26" t="str">
        <f aca="false">IF($A168="","",SUMIFS('سجل المراجعات'!$L$5:$L$1504,'سجل المراجعات'!$A$5:$A$1504,$A168))</f>
        <v/>
      </c>
      <c r="Q168" s="26" t="str">
        <f aca="false">IF($A168="","",SUMIFS('سجل المراجعات'!$M$5:$M$1504,'سجل المراجعات'!$A$5:$A$1504,$A168))</f>
        <v/>
      </c>
      <c r="R168" s="26" t="str">
        <f aca="false">IF(OR($A168="",NOT(ISNUMBER(E168))),"",MAX(0,NETWORKDAYS.INTL(E168,IF(J168&gt;0,J168,تاريخ_الاحتساب),رمز_العطلة,أيام_الأجازات)-1))</f>
        <v/>
      </c>
      <c r="S168" s="22"/>
    </row>
    <row r="169" customFormat="false" ht="15" hidden="false" customHeight="false" outlineLevel="0" collapsed="false">
      <c r="A169" s="20"/>
      <c r="B169" s="20"/>
      <c r="C169" s="30" t="str">
        <f aca="false">IF($A169="","",IFERROR(INDEX(بند_الاسم,MATCH($B169,قائمة_البنود,0)),"⚠ بند غير موجود"))</f>
        <v/>
      </c>
      <c r="D169" s="22"/>
      <c r="E169" s="31"/>
      <c r="F169" s="21"/>
      <c r="G169" s="32"/>
      <c r="H169" s="25" t="str">
        <f aca="false">IF($A169="","",IFERROR(INDEX(بند_سعر_الوحدة,MATCH($B169,قائمة_البنود,0)),0))</f>
        <v/>
      </c>
      <c r="I169" s="25" t="str">
        <f aca="false">IF($A169="","",H169*(1+نسبة_الضريبة))</f>
        <v/>
      </c>
      <c r="J169" s="33" t="str">
        <f aca="false">IF($A169="","",_xlfn.MINIFS('سجل المراجعات'!$E$5:$E$1504,'سجل المراجعات'!$A$5:$A$1504,$A169,'سجل المراجعات'!$D$5:$D$1504,"تسليم"))</f>
        <v/>
      </c>
      <c r="K169" s="33" t="str">
        <f aca="false">IF($A169="","",_xlfn.MAXIFS('سجل المراجعات'!$E$5:$E$1504,'سجل المراجعات'!$A$5:$A$1504,$A169,'سجل المراجعات'!$D$5:$D$1504,"تسليم"))</f>
        <v/>
      </c>
      <c r="L169" s="33" t="str">
        <f aca="false">IF($A169="","",_xlfn.MAXIFS('سجل المراجعات'!$E$5:$E$1504,'سجل المراجعات'!$A$5:$A$1504,$A169,'سجل المراجعات'!$D$5:$D$1504,"رد بملاحظات"))</f>
        <v/>
      </c>
      <c r="M169" s="33" t="str">
        <f aca="false">IF($A169="","",_xlfn.MAXIFS('سجل المراجعات'!$E$5:$E$1504,'سجل المراجعات'!$A$5:$A$1504,$A169,'سجل المراجعات'!$D$5:$D$1504,"قبول"))</f>
        <v/>
      </c>
      <c r="N169" s="26" t="str">
        <f aca="false">IF($A169="","",COUNTIFS('سجل المراجعات'!$A$5:$A$1504,$A169,'سجل المراجعات'!$D$5:$D$1504,"تسليم"))</f>
        <v/>
      </c>
      <c r="O169" s="34" t="str">
        <f aca="false">IF($A169="","",IF(M169&gt;0,"تم القبول",IF(F169="معلق","معلق",IF(AND(L169&gt;0,L169&gt;=K169),"مُعاد بملاحظات",IF(K169&gt;0,"في انتظار القبول",IF(AND(ISNUMBER(E169),E169&lt;تاريخ_الاحتساب),"متأخر",IF(F169="","لم يبدأ",F169)))))))</f>
        <v/>
      </c>
      <c r="P169" s="26" t="str">
        <f aca="false">IF($A169="","",SUMIFS('سجل المراجعات'!$L$5:$L$1504,'سجل المراجعات'!$A$5:$A$1504,$A169))</f>
        <v/>
      </c>
      <c r="Q169" s="26" t="str">
        <f aca="false">IF($A169="","",SUMIFS('سجل المراجعات'!$M$5:$M$1504,'سجل المراجعات'!$A$5:$A$1504,$A169))</f>
        <v/>
      </c>
      <c r="R169" s="26" t="str">
        <f aca="false">IF(OR($A169="",NOT(ISNUMBER(E169))),"",MAX(0,NETWORKDAYS.INTL(E169,IF(J169&gt;0,J169,تاريخ_الاحتساب),رمز_العطلة,أيام_الأجازات)-1))</f>
        <v/>
      </c>
      <c r="S169" s="22"/>
    </row>
    <row r="170" customFormat="false" ht="15" hidden="false" customHeight="false" outlineLevel="0" collapsed="false">
      <c r="A170" s="20"/>
      <c r="B170" s="20"/>
      <c r="C170" s="30" t="str">
        <f aca="false">IF($A170="","",IFERROR(INDEX(بند_الاسم,MATCH($B170,قائمة_البنود,0)),"⚠ بند غير موجود"))</f>
        <v/>
      </c>
      <c r="D170" s="22"/>
      <c r="E170" s="31"/>
      <c r="F170" s="21"/>
      <c r="G170" s="32"/>
      <c r="H170" s="25" t="str">
        <f aca="false">IF($A170="","",IFERROR(INDEX(بند_سعر_الوحدة,MATCH($B170,قائمة_البنود,0)),0))</f>
        <v/>
      </c>
      <c r="I170" s="25" t="str">
        <f aca="false">IF($A170="","",H170*(1+نسبة_الضريبة))</f>
        <v/>
      </c>
      <c r="J170" s="33" t="str">
        <f aca="false">IF($A170="","",_xlfn.MINIFS('سجل المراجعات'!$E$5:$E$1504,'سجل المراجعات'!$A$5:$A$1504,$A170,'سجل المراجعات'!$D$5:$D$1504,"تسليم"))</f>
        <v/>
      </c>
      <c r="K170" s="33" t="str">
        <f aca="false">IF($A170="","",_xlfn.MAXIFS('سجل المراجعات'!$E$5:$E$1504,'سجل المراجعات'!$A$5:$A$1504,$A170,'سجل المراجعات'!$D$5:$D$1504,"تسليم"))</f>
        <v/>
      </c>
      <c r="L170" s="33" t="str">
        <f aca="false">IF($A170="","",_xlfn.MAXIFS('سجل المراجعات'!$E$5:$E$1504,'سجل المراجعات'!$A$5:$A$1504,$A170,'سجل المراجعات'!$D$5:$D$1504,"رد بملاحظات"))</f>
        <v/>
      </c>
      <c r="M170" s="33" t="str">
        <f aca="false">IF($A170="","",_xlfn.MAXIFS('سجل المراجعات'!$E$5:$E$1504,'سجل المراجعات'!$A$5:$A$1504,$A170,'سجل المراجعات'!$D$5:$D$1504,"قبول"))</f>
        <v/>
      </c>
      <c r="N170" s="26" t="str">
        <f aca="false">IF($A170="","",COUNTIFS('سجل المراجعات'!$A$5:$A$1504,$A170,'سجل المراجعات'!$D$5:$D$1504,"تسليم"))</f>
        <v/>
      </c>
      <c r="O170" s="34" t="str">
        <f aca="false">IF($A170="","",IF(M170&gt;0,"تم القبول",IF(F170="معلق","معلق",IF(AND(L170&gt;0,L170&gt;=K170),"مُعاد بملاحظات",IF(K170&gt;0,"في انتظار القبول",IF(AND(ISNUMBER(E170),E170&lt;تاريخ_الاحتساب),"متأخر",IF(F170="","لم يبدأ",F170)))))))</f>
        <v/>
      </c>
      <c r="P170" s="26" t="str">
        <f aca="false">IF($A170="","",SUMIFS('سجل المراجعات'!$L$5:$L$1504,'سجل المراجعات'!$A$5:$A$1504,$A170))</f>
        <v/>
      </c>
      <c r="Q170" s="26" t="str">
        <f aca="false">IF($A170="","",SUMIFS('سجل المراجعات'!$M$5:$M$1504,'سجل المراجعات'!$A$5:$A$1504,$A170))</f>
        <v/>
      </c>
      <c r="R170" s="26" t="str">
        <f aca="false">IF(OR($A170="",NOT(ISNUMBER(E170))),"",MAX(0,NETWORKDAYS.INTL(E170,IF(J170&gt;0,J170,تاريخ_الاحتساب),رمز_العطلة,أيام_الأجازات)-1))</f>
        <v/>
      </c>
      <c r="S170" s="22"/>
    </row>
    <row r="171" customFormat="false" ht="15" hidden="false" customHeight="false" outlineLevel="0" collapsed="false">
      <c r="A171" s="20"/>
      <c r="B171" s="20"/>
      <c r="C171" s="30" t="str">
        <f aca="false">IF($A171="","",IFERROR(INDEX(بند_الاسم,MATCH($B171,قائمة_البنود,0)),"⚠ بند غير موجود"))</f>
        <v/>
      </c>
      <c r="D171" s="22"/>
      <c r="E171" s="31"/>
      <c r="F171" s="21"/>
      <c r="G171" s="32"/>
      <c r="H171" s="25" t="str">
        <f aca="false">IF($A171="","",IFERROR(INDEX(بند_سعر_الوحدة,MATCH($B171,قائمة_البنود,0)),0))</f>
        <v/>
      </c>
      <c r="I171" s="25" t="str">
        <f aca="false">IF($A171="","",H171*(1+نسبة_الضريبة))</f>
        <v/>
      </c>
      <c r="J171" s="33" t="str">
        <f aca="false">IF($A171="","",_xlfn.MINIFS('سجل المراجعات'!$E$5:$E$1504,'سجل المراجعات'!$A$5:$A$1504,$A171,'سجل المراجعات'!$D$5:$D$1504,"تسليم"))</f>
        <v/>
      </c>
      <c r="K171" s="33" t="str">
        <f aca="false">IF($A171="","",_xlfn.MAXIFS('سجل المراجعات'!$E$5:$E$1504,'سجل المراجعات'!$A$5:$A$1504,$A171,'سجل المراجعات'!$D$5:$D$1504,"تسليم"))</f>
        <v/>
      </c>
      <c r="L171" s="33" t="str">
        <f aca="false">IF($A171="","",_xlfn.MAXIFS('سجل المراجعات'!$E$5:$E$1504,'سجل المراجعات'!$A$5:$A$1504,$A171,'سجل المراجعات'!$D$5:$D$1504,"رد بملاحظات"))</f>
        <v/>
      </c>
      <c r="M171" s="33" t="str">
        <f aca="false">IF($A171="","",_xlfn.MAXIFS('سجل المراجعات'!$E$5:$E$1504,'سجل المراجعات'!$A$5:$A$1504,$A171,'سجل المراجعات'!$D$5:$D$1504,"قبول"))</f>
        <v/>
      </c>
      <c r="N171" s="26" t="str">
        <f aca="false">IF($A171="","",COUNTIFS('سجل المراجعات'!$A$5:$A$1504,$A171,'سجل المراجعات'!$D$5:$D$1504,"تسليم"))</f>
        <v/>
      </c>
      <c r="O171" s="34" t="str">
        <f aca="false">IF($A171="","",IF(M171&gt;0,"تم القبول",IF(F171="معلق","معلق",IF(AND(L171&gt;0,L171&gt;=K171),"مُعاد بملاحظات",IF(K171&gt;0,"في انتظار القبول",IF(AND(ISNUMBER(E171),E171&lt;تاريخ_الاحتساب),"متأخر",IF(F171="","لم يبدأ",F171)))))))</f>
        <v/>
      </c>
      <c r="P171" s="26" t="str">
        <f aca="false">IF($A171="","",SUMIFS('سجل المراجعات'!$L$5:$L$1504,'سجل المراجعات'!$A$5:$A$1504,$A171))</f>
        <v/>
      </c>
      <c r="Q171" s="26" t="str">
        <f aca="false">IF($A171="","",SUMIFS('سجل المراجعات'!$M$5:$M$1504,'سجل المراجعات'!$A$5:$A$1504,$A171))</f>
        <v/>
      </c>
      <c r="R171" s="26" t="str">
        <f aca="false">IF(OR($A171="",NOT(ISNUMBER(E171))),"",MAX(0,NETWORKDAYS.INTL(E171,IF(J171&gt;0,J171,تاريخ_الاحتساب),رمز_العطلة,أيام_الأجازات)-1))</f>
        <v/>
      </c>
      <c r="S171" s="22"/>
    </row>
    <row r="172" customFormat="false" ht="15" hidden="false" customHeight="false" outlineLevel="0" collapsed="false">
      <c r="A172" s="20"/>
      <c r="B172" s="20"/>
      <c r="C172" s="30" t="str">
        <f aca="false">IF($A172="","",IFERROR(INDEX(بند_الاسم,MATCH($B172,قائمة_البنود,0)),"⚠ بند غير موجود"))</f>
        <v/>
      </c>
      <c r="D172" s="22"/>
      <c r="E172" s="31"/>
      <c r="F172" s="21"/>
      <c r="G172" s="32"/>
      <c r="H172" s="25" t="str">
        <f aca="false">IF($A172="","",IFERROR(INDEX(بند_سعر_الوحدة,MATCH($B172,قائمة_البنود,0)),0))</f>
        <v/>
      </c>
      <c r="I172" s="25" t="str">
        <f aca="false">IF($A172="","",H172*(1+نسبة_الضريبة))</f>
        <v/>
      </c>
      <c r="J172" s="33" t="str">
        <f aca="false">IF($A172="","",_xlfn.MINIFS('سجل المراجعات'!$E$5:$E$1504,'سجل المراجعات'!$A$5:$A$1504,$A172,'سجل المراجعات'!$D$5:$D$1504,"تسليم"))</f>
        <v/>
      </c>
      <c r="K172" s="33" t="str">
        <f aca="false">IF($A172="","",_xlfn.MAXIFS('سجل المراجعات'!$E$5:$E$1504,'سجل المراجعات'!$A$5:$A$1504,$A172,'سجل المراجعات'!$D$5:$D$1504,"تسليم"))</f>
        <v/>
      </c>
      <c r="L172" s="33" t="str">
        <f aca="false">IF($A172="","",_xlfn.MAXIFS('سجل المراجعات'!$E$5:$E$1504,'سجل المراجعات'!$A$5:$A$1504,$A172,'سجل المراجعات'!$D$5:$D$1504,"رد بملاحظات"))</f>
        <v/>
      </c>
      <c r="M172" s="33" t="str">
        <f aca="false">IF($A172="","",_xlfn.MAXIFS('سجل المراجعات'!$E$5:$E$1504,'سجل المراجعات'!$A$5:$A$1504,$A172,'سجل المراجعات'!$D$5:$D$1504,"قبول"))</f>
        <v/>
      </c>
      <c r="N172" s="26" t="str">
        <f aca="false">IF($A172="","",COUNTIFS('سجل المراجعات'!$A$5:$A$1504,$A172,'سجل المراجعات'!$D$5:$D$1504,"تسليم"))</f>
        <v/>
      </c>
      <c r="O172" s="34" t="str">
        <f aca="false">IF($A172="","",IF(M172&gt;0,"تم القبول",IF(F172="معلق","معلق",IF(AND(L172&gt;0,L172&gt;=K172),"مُعاد بملاحظات",IF(K172&gt;0,"في انتظار القبول",IF(AND(ISNUMBER(E172),E172&lt;تاريخ_الاحتساب),"متأخر",IF(F172="","لم يبدأ",F172)))))))</f>
        <v/>
      </c>
      <c r="P172" s="26" t="str">
        <f aca="false">IF($A172="","",SUMIFS('سجل المراجعات'!$L$5:$L$1504,'سجل المراجعات'!$A$5:$A$1504,$A172))</f>
        <v/>
      </c>
      <c r="Q172" s="26" t="str">
        <f aca="false">IF($A172="","",SUMIFS('سجل المراجعات'!$M$5:$M$1504,'سجل المراجعات'!$A$5:$A$1504,$A172))</f>
        <v/>
      </c>
      <c r="R172" s="26" t="str">
        <f aca="false">IF(OR($A172="",NOT(ISNUMBER(E172))),"",MAX(0,NETWORKDAYS.INTL(E172,IF(J172&gt;0,J172,تاريخ_الاحتساب),رمز_العطلة,أيام_الأجازات)-1))</f>
        <v/>
      </c>
      <c r="S172" s="22"/>
    </row>
    <row r="173" customFormat="false" ht="15" hidden="false" customHeight="false" outlineLevel="0" collapsed="false">
      <c r="A173" s="20"/>
      <c r="B173" s="20"/>
      <c r="C173" s="30" t="str">
        <f aca="false">IF($A173="","",IFERROR(INDEX(بند_الاسم,MATCH($B173,قائمة_البنود,0)),"⚠ بند غير موجود"))</f>
        <v/>
      </c>
      <c r="D173" s="22"/>
      <c r="E173" s="31"/>
      <c r="F173" s="21"/>
      <c r="G173" s="32"/>
      <c r="H173" s="25" t="str">
        <f aca="false">IF($A173="","",IFERROR(INDEX(بند_سعر_الوحدة,MATCH($B173,قائمة_البنود,0)),0))</f>
        <v/>
      </c>
      <c r="I173" s="25" t="str">
        <f aca="false">IF($A173="","",H173*(1+نسبة_الضريبة))</f>
        <v/>
      </c>
      <c r="J173" s="33" t="str">
        <f aca="false">IF($A173="","",_xlfn.MINIFS('سجل المراجعات'!$E$5:$E$1504,'سجل المراجعات'!$A$5:$A$1504,$A173,'سجل المراجعات'!$D$5:$D$1504,"تسليم"))</f>
        <v/>
      </c>
      <c r="K173" s="33" t="str">
        <f aca="false">IF($A173="","",_xlfn.MAXIFS('سجل المراجعات'!$E$5:$E$1504,'سجل المراجعات'!$A$5:$A$1504,$A173,'سجل المراجعات'!$D$5:$D$1504,"تسليم"))</f>
        <v/>
      </c>
      <c r="L173" s="33" t="str">
        <f aca="false">IF($A173="","",_xlfn.MAXIFS('سجل المراجعات'!$E$5:$E$1504,'سجل المراجعات'!$A$5:$A$1504,$A173,'سجل المراجعات'!$D$5:$D$1504,"رد بملاحظات"))</f>
        <v/>
      </c>
      <c r="M173" s="33" t="str">
        <f aca="false">IF($A173="","",_xlfn.MAXIFS('سجل المراجعات'!$E$5:$E$1504,'سجل المراجعات'!$A$5:$A$1504,$A173,'سجل المراجعات'!$D$5:$D$1504,"قبول"))</f>
        <v/>
      </c>
      <c r="N173" s="26" t="str">
        <f aca="false">IF($A173="","",COUNTIFS('سجل المراجعات'!$A$5:$A$1504,$A173,'سجل المراجعات'!$D$5:$D$1504,"تسليم"))</f>
        <v/>
      </c>
      <c r="O173" s="34" t="str">
        <f aca="false">IF($A173="","",IF(M173&gt;0,"تم القبول",IF(F173="معلق","معلق",IF(AND(L173&gt;0,L173&gt;=K173),"مُعاد بملاحظات",IF(K173&gt;0,"في انتظار القبول",IF(AND(ISNUMBER(E173),E173&lt;تاريخ_الاحتساب),"متأخر",IF(F173="","لم يبدأ",F173)))))))</f>
        <v/>
      </c>
      <c r="P173" s="26" t="str">
        <f aca="false">IF($A173="","",SUMIFS('سجل المراجعات'!$L$5:$L$1504,'سجل المراجعات'!$A$5:$A$1504,$A173))</f>
        <v/>
      </c>
      <c r="Q173" s="26" t="str">
        <f aca="false">IF($A173="","",SUMIFS('سجل المراجعات'!$M$5:$M$1504,'سجل المراجعات'!$A$5:$A$1504,$A173))</f>
        <v/>
      </c>
      <c r="R173" s="26" t="str">
        <f aca="false">IF(OR($A173="",NOT(ISNUMBER(E173))),"",MAX(0,NETWORKDAYS.INTL(E173,IF(J173&gt;0,J173,تاريخ_الاحتساب),رمز_العطلة,أيام_الأجازات)-1))</f>
        <v/>
      </c>
      <c r="S173" s="22"/>
    </row>
    <row r="174" customFormat="false" ht="15" hidden="false" customHeight="false" outlineLevel="0" collapsed="false">
      <c r="A174" s="20"/>
      <c r="B174" s="20"/>
      <c r="C174" s="30" t="str">
        <f aca="false">IF($A174="","",IFERROR(INDEX(بند_الاسم,MATCH($B174,قائمة_البنود,0)),"⚠ بند غير موجود"))</f>
        <v/>
      </c>
      <c r="D174" s="22"/>
      <c r="E174" s="31"/>
      <c r="F174" s="21"/>
      <c r="G174" s="32"/>
      <c r="H174" s="25" t="str">
        <f aca="false">IF($A174="","",IFERROR(INDEX(بند_سعر_الوحدة,MATCH($B174,قائمة_البنود,0)),0))</f>
        <v/>
      </c>
      <c r="I174" s="25" t="str">
        <f aca="false">IF($A174="","",H174*(1+نسبة_الضريبة))</f>
        <v/>
      </c>
      <c r="J174" s="33" t="str">
        <f aca="false">IF($A174="","",_xlfn.MINIFS('سجل المراجعات'!$E$5:$E$1504,'سجل المراجعات'!$A$5:$A$1504,$A174,'سجل المراجعات'!$D$5:$D$1504,"تسليم"))</f>
        <v/>
      </c>
      <c r="K174" s="33" t="str">
        <f aca="false">IF($A174="","",_xlfn.MAXIFS('سجل المراجعات'!$E$5:$E$1504,'سجل المراجعات'!$A$5:$A$1504,$A174,'سجل المراجعات'!$D$5:$D$1504,"تسليم"))</f>
        <v/>
      </c>
      <c r="L174" s="33" t="str">
        <f aca="false">IF($A174="","",_xlfn.MAXIFS('سجل المراجعات'!$E$5:$E$1504,'سجل المراجعات'!$A$5:$A$1504,$A174,'سجل المراجعات'!$D$5:$D$1504,"رد بملاحظات"))</f>
        <v/>
      </c>
      <c r="M174" s="33" t="str">
        <f aca="false">IF($A174="","",_xlfn.MAXIFS('سجل المراجعات'!$E$5:$E$1504,'سجل المراجعات'!$A$5:$A$1504,$A174,'سجل المراجعات'!$D$5:$D$1504,"قبول"))</f>
        <v/>
      </c>
      <c r="N174" s="26" t="str">
        <f aca="false">IF($A174="","",COUNTIFS('سجل المراجعات'!$A$5:$A$1504,$A174,'سجل المراجعات'!$D$5:$D$1504,"تسليم"))</f>
        <v/>
      </c>
      <c r="O174" s="34" t="str">
        <f aca="false">IF($A174="","",IF(M174&gt;0,"تم القبول",IF(F174="معلق","معلق",IF(AND(L174&gt;0,L174&gt;=K174),"مُعاد بملاحظات",IF(K174&gt;0,"في انتظار القبول",IF(AND(ISNUMBER(E174),E174&lt;تاريخ_الاحتساب),"متأخر",IF(F174="","لم يبدأ",F174)))))))</f>
        <v/>
      </c>
      <c r="P174" s="26" t="str">
        <f aca="false">IF($A174="","",SUMIFS('سجل المراجعات'!$L$5:$L$1504,'سجل المراجعات'!$A$5:$A$1504,$A174))</f>
        <v/>
      </c>
      <c r="Q174" s="26" t="str">
        <f aca="false">IF($A174="","",SUMIFS('سجل المراجعات'!$M$5:$M$1504,'سجل المراجعات'!$A$5:$A$1504,$A174))</f>
        <v/>
      </c>
      <c r="R174" s="26" t="str">
        <f aca="false">IF(OR($A174="",NOT(ISNUMBER(E174))),"",MAX(0,NETWORKDAYS.INTL(E174,IF(J174&gt;0,J174,تاريخ_الاحتساب),رمز_العطلة,أيام_الأجازات)-1))</f>
        <v/>
      </c>
      <c r="S174" s="22"/>
    </row>
    <row r="175" customFormat="false" ht="15" hidden="false" customHeight="false" outlineLevel="0" collapsed="false">
      <c r="A175" s="20"/>
      <c r="B175" s="20"/>
      <c r="C175" s="30" t="str">
        <f aca="false">IF($A175="","",IFERROR(INDEX(بند_الاسم,MATCH($B175,قائمة_البنود,0)),"⚠ بند غير موجود"))</f>
        <v/>
      </c>
      <c r="D175" s="22"/>
      <c r="E175" s="31"/>
      <c r="F175" s="21"/>
      <c r="G175" s="32"/>
      <c r="H175" s="25" t="str">
        <f aca="false">IF($A175="","",IFERROR(INDEX(بند_سعر_الوحدة,MATCH($B175,قائمة_البنود,0)),0))</f>
        <v/>
      </c>
      <c r="I175" s="25" t="str">
        <f aca="false">IF($A175="","",H175*(1+نسبة_الضريبة))</f>
        <v/>
      </c>
      <c r="J175" s="33" t="str">
        <f aca="false">IF($A175="","",_xlfn.MINIFS('سجل المراجعات'!$E$5:$E$1504,'سجل المراجعات'!$A$5:$A$1504,$A175,'سجل المراجعات'!$D$5:$D$1504,"تسليم"))</f>
        <v/>
      </c>
      <c r="K175" s="33" t="str">
        <f aca="false">IF($A175="","",_xlfn.MAXIFS('سجل المراجعات'!$E$5:$E$1504,'سجل المراجعات'!$A$5:$A$1504,$A175,'سجل المراجعات'!$D$5:$D$1504,"تسليم"))</f>
        <v/>
      </c>
      <c r="L175" s="33" t="str">
        <f aca="false">IF($A175="","",_xlfn.MAXIFS('سجل المراجعات'!$E$5:$E$1504,'سجل المراجعات'!$A$5:$A$1504,$A175,'سجل المراجعات'!$D$5:$D$1504,"رد بملاحظات"))</f>
        <v/>
      </c>
      <c r="M175" s="33" t="str">
        <f aca="false">IF($A175="","",_xlfn.MAXIFS('سجل المراجعات'!$E$5:$E$1504,'سجل المراجعات'!$A$5:$A$1504,$A175,'سجل المراجعات'!$D$5:$D$1504,"قبول"))</f>
        <v/>
      </c>
      <c r="N175" s="26" t="str">
        <f aca="false">IF($A175="","",COUNTIFS('سجل المراجعات'!$A$5:$A$1504,$A175,'سجل المراجعات'!$D$5:$D$1504,"تسليم"))</f>
        <v/>
      </c>
      <c r="O175" s="34" t="str">
        <f aca="false">IF($A175="","",IF(M175&gt;0,"تم القبول",IF(F175="معلق","معلق",IF(AND(L175&gt;0,L175&gt;=K175),"مُعاد بملاحظات",IF(K175&gt;0,"في انتظار القبول",IF(AND(ISNUMBER(E175),E175&lt;تاريخ_الاحتساب),"متأخر",IF(F175="","لم يبدأ",F175)))))))</f>
        <v/>
      </c>
      <c r="P175" s="26" t="str">
        <f aca="false">IF($A175="","",SUMIFS('سجل المراجعات'!$L$5:$L$1504,'سجل المراجعات'!$A$5:$A$1504,$A175))</f>
        <v/>
      </c>
      <c r="Q175" s="26" t="str">
        <f aca="false">IF($A175="","",SUMIFS('سجل المراجعات'!$M$5:$M$1504,'سجل المراجعات'!$A$5:$A$1504,$A175))</f>
        <v/>
      </c>
      <c r="R175" s="26" t="str">
        <f aca="false">IF(OR($A175="",NOT(ISNUMBER(E175))),"",MAX(0,NETWORKDAYS.INTL(E175,IF(J175&gt;0,J175,تاريخ_الاحتساب),رمز_العطلة,أيام_الأجازات)-1))</f>
        <v/>
      </c>
      <c r="S175" s="22"/>
    </row>
    <row r="176" customFormat="false" ht="15" hidden="false" customHeight="false" outlineLevel="0" collapsed="false">
      <c r="A176" s="20"/>
      <c r="B176" s="20"/>
      <c r="C176" s="30" t="str">
        <f aca="false">IF($A176="","",IFERROR(INDEX(بند_الاسم,MATCH($B176,قائمة_البنود,0)),"⚠ بند غير موجود"))</f>
        <v/>
      </c>
      <c r="D176" s="22"/>
      <c r="E176" s="31"/>
      <c r="F176" s="21"/>
      <c r="G176" s="32"/>
      <c r="H176" s="25" t="str">
        <f aca="false">IF($A176="","",IFERROR(INDEX(بند_سعر_الوحدة,MATCH($B176,قائمة_البنود,0)),0))</f>
        <v/>
      </c>
      <c r="I176" s="25" t="str">
        <f aca="false">IF($A176="","",H176*(1+نسبة_الضريبة))</f>
        <v/>
      </c>
      <c r="J176" s="33" t="str">
        <f aca="false">IF($A176="","",_xlfn.MINIFS('سجل المراجعات'!$E$5:$E$1504,'سجل المراجعات'!$A$5:$A$1504,$A176,'سجل المراجعات'!$D$5:$D$1504,"تسليم"))</f>
        <v/>
      </c>
      <c r="K176" s="33" t="str">
        <f aca="false">IF($A176="","",_xlfn.MAXIFS('سجل المراجعات'!$E$5:$E$1504,'سجل المراجعات'!$A$5:$A$1504,$A176,'سجل المراجعات'!$D$5:$D$1504,"تسليم"))</f>
        <v/>
      </c>
      <c r="L176" s="33" t="str">
        <f aca="false">IF($A176="","",_xlfn.MAXIFS('سجل المراجعات'!$E$5:$E$1504,'سجل المراجعات'!$A$5:$A$1504,$A176,'سجل المراجعات'!$D$5:$D$1504,"رد بملاحظات"))</f>
        <v/>
      </c>
      <c r="M176" s="33" t="str">
        <f aca="false">IF($A176="","",_xlfn.MAXIFS('سجل المراجعات'!$E$5:$E$1504,'سجل المراجعات'!$A$5:$A$1504,$A176,'سجل المراجعات'!$D$5:$D$1504,"قبول"))</f>
        <v/>
      </c>
      <c r="N176" s="26" t="str">
        <f aca="false">IF($A176="","",COUNTIFS('سجل المراجعات'!$A$5:$A$1504,$A176,'سجل المراجعات'!$D$5:$D$1504,"تسليم"))</f>
        <v/>
      </c>
      <c r="O176" s="34" t="str">
        <f aca="false">IF($A176="","",IF(M176&gt;0,"تم القبول",IF(F176="معلق","معلق",IF(AND(L176&gt;0,L176&gt;=K176),"مُعاد بملاحظات",IF(K176&gt;0,"في انتظار القبول",IF(AND(ISNUMBER(E176),E176&lt;تاريخ_الاحتساب),"متأخر",IF(F176="","لم يبدأ",F176)))))))</f>
        <v/>
      </c>
      <c r="P176" s="26" t="str">
        <f aca="false">IF($A176="","",SUMIFS('سجل المراجعات'!$L$5:$L$1504,'سجل المراجعات'!$A$5:$A$1504,$A176))</f>
        <v/>
      </c>
      <c r="Q176" s="26" t="str">
        <f aca="false">IF($A176="","",SUMIFS('سجل المراجعات'!$M$5:$M$1504,'سجل المراجعات'!$A$5:$A$1504,$A176))</f>
        <v/>
      </c>
      <c r="R176" s="26" t="str">
        <f aca="false">IF(OR($A176="",NOT(ISNUMBER(E176))),"",MAX(0,NETWORKDAYS.INTL(E176,IF(J176&gt;0,J176,تاريخ_الاحتساب),رمز_العطلة,أيام_الأجازات)-1))</f>
        <v/>
      </c>
      <c r="S176" s="22"/>
    </row>
    <row r="177" customFormat="false" ht="15" hidden="false" customHeight="false" outlineLevel="0" collapsed="false">
      <c r="A177" s="20"/>
      <c r="B177" s="20"/>
      <c r="C177" s="30" t="str">
        <f aca="false">IF($A177="","",IFERROR(INDEX(بند_الاسم,MATCH($B177,قائمة_البنود,0)),"⚠ بند غير موجود"))</f>
        <v/>
      </c>
      <c r="D177" s="22"/>
      <c r="E177" s="31"/>
      <c r="F177" s="21"/>
      <c r="G177" s="32"/>
      <c r="H177" s="25" t="str">
        <f aca="false">IF($A177="","",IFERROR(INDEX(بند_سعر_الوحدة,MATCH($B177,قائمة_البنود,0)),0))</f>
        <v/>
      </c>
      <c r="I177" s="25" t="str">
        <f aca="false">IF($A177="","",H177*(1+نسبة_الضريبة))</f>
        <v/>
      </c>
      <c r="J177" s="33" t="str">
        <f aca="false">IF($A177="","",_xlfn.MINIFS('سجل المراجعات'!$E$5:$E$1504,'سجل المراجعات'!$A$5:$A$1504,$A177,'سجل المراجعات'!$D$5:$D$1504,"تسليم"))</f>
        <v/>
      </c>
      <c r="K177" s="33" t="str">
        <f aca="false">IF($A177="","",_xlfn.MAXIFS('سجل المراجعات'!$E$5:$E$1504,'سجل المراجعات'!$A$5:$A$1504,$A177,'سجل المراجعات'!$D$5:$D$1504,"تسليم"))</f>
        <v/>
      </c>
      <c r="L177" s="33" t="str">
        <f aca="false">IF($A177="","",_xlfn.MAXIFS('سجل المراجعات'!$E$5:$E$1504,'سجل المراجعات'!$A$5:$A$1504,$A177,'سجل المراجعات'!$D$5:$D$1504,"رد بملاحظات"))</f>
        <v/>
      </c>
      <c r="M177" s="33" t="str">
        <f aca="false">IF($A177="","",_xlfn.MAXIFS('سجل المراجعات'!$E$5:$E$1504,'سجل المراجعات'!$A$5:$A$1504,$A177,'سجل المراجعات'!$D$5:$D$1504,"قبول"))</f>
        <v/>
      </c>
      <c r="N177" s="26" t="str">
        <f aca="false">IF($A177="","",COUNTIFS('سجل المراجعات'!$A$5:$A$1504,$A177,'سجل المراجعات'!$D$5:$D$1504,"تسليم"))</f>
        <v/>
      </c>
      <c r="O177" s="34" t="str">
        <f aca="false">IF($A177="","",IF(M177&gt;0,"تم القبول",IF(F177="معلق","معلق",IF(AND(L177&gt;0,L177&gt;=K177),"مُعاد بملاحظات",IF(K177&gt;0,"في انتظار القبول",IF(AND(ISNUMBER(E177),E177&lt;تاريخ_الاحتساب),"متأخر",IF(F177="","لم يبدأ",F177)))))))</f>
        <v/>
      </c>
      <c r="P177" s="26" t="str">
        <f aca="false">IF($A177="","",SUMIFS('سجل المراجعات'!$L$5:$L$1504,'سجل المراجعات'!$A$5:$A$1504,$A177))</f>
        <v/>
      </c>
      <c r="Q177" s="26" t="str">
        <f aca="false">IF($A177="","",SUMIFS('سجل المراجعات'!$M$5:$M$1504,'سجل المراجعات'!$A$5:$A$1504,$A177))</f>
        <v/>
      </c>
      <c r="R177" s="26" t="str">
        <f aca="false">IF(OR($A177="",NOT(ISNUMBER(E177))),"",MAX(0,NETWORKDAYS.INTL(E177,IF(J177&gt;0,J177,تاريخ_الاحتساب),رمز_العطلة,أيام_الأجازات)-1))</f>
        <v/>
      </c>
      <c r="S177" s="22"/>
    </row>
    <row r="178" customFormat="false" ht="15" hidden="false" customHeight="false" outlineLevel="0" collapsed="false">
      <c r="A178" s="20"/>
      <c r="B178" s="20"/>
      <c r="C178" s="30" t="str">
        <f aca="false">IF($A178="","",IFERROR(INDEX(بند_الاسم,MATCH($B178,قائمة_البنود,0)),"⚠ بند غير موجود"))</f>
        <v/>
      </c>
      <c r="D178" s="22"/>
      <c r="E178" s="31"/>
      <c r="F178" s="21"/>
      <c r="G178" s="32"/>
      <c r="H178" s="25" t="str">
        <f aca="false">IF($A178="","",IFERROR(INDEX(بند_سعر_الوحدة,MATCH($B178,قائمة_البنود,0)),0))</f>
        <v/>
      </c>
      <c r="I178" s="25" t="str">
        <f aca="false">IF($A178="","",H178*(1+نسبة_الضريبة))</f>
        <v/>
      </c>
      <c r="J178" s="33" t="str">
        <f aca="false">IF($A178="","",_xlfn.MINIFS('سجل المراجعات'!$E$5:$E$1504,'سجل المراجعات'!$A$5:$A$1504,$A178,'سجل المراجعات'!$D$5:$D$1504,"تسليم"))</f>
        <v/>
      </c>
      <c r="K178" s="33" t="str">
        <f aca="false">IF($A178="","",_xlfn.MAXIFS('سجل المراجعات'!$E$5:$E$1504,'سجل المراجعات'!$A$5:$A$1504,$A178,'سجل المراجعات'!$D$5:$D$1504,"تسليم"))</f>
        <v/>
      </c>
      <c r="L178" s="33" t="str">
        <f aca="false">IF($A178="","",_xlfn.MAXIFS('سجل المراجعات'!$E$5:$E$1504,'سجل المراجعات'!$A$5:$A$1504,$A178,'سجل المراجعات'!$D$5:$D$1504,"رد بملاحظات"))</f>
        <v/>
      </c>
      <c r="M178" s="33" t="str">
        <f aca="false">IF($A178="","",_xlfn.MAXIFS('سجل المراجعات'!$E$5:$E$1504,'سجل المراجعات'!$A$5:$A$1504,$A178,'سجل المراجعات'!$D$5:$D$1504,"قبول"))</f>
        <v/>
      </c>
      <c r="N178" s="26" t="str">
        <f aca="false">IF($A178="","",COUNTIFS('سجل المراجعات'!$A$5:$A$1504,$A178,'سجل المراجعات'!$D$5:$D$1504,"تسليم"))</f>
        <v/>
      </c>
      <c r="O178" s="34" t="str">
        <f aca="false">IF($A178="","",IF(M178&gt;0,"تم القبول",IF(F178="معلق","معلق",IF(AND(L178&gt;0,L178&gt;=K178),"مُعاد بملاحظات",IF(K178&gt;0,"في انتظار القبول",IF(AND(ISNUMBER(E178),E178&lt;تاريخ_الاحتساب),"متأخر",IF(F178="","لم يبدأ",F178)))))))</f>
        <v/>
      </c>
      <c r="P178" s="26" t="str">
        <f aca="false">IF($A178="","",SUMIFS('سجل المراجعات'!$L$5:$L$1504,'سجل المراجعات'!$A$5:$A$1504,$A178))</f>
        <v/>
      </c>
      <c r="Q178" s="26" t="str">
        <f aca="false">IF($A178="","",SUMIFS('سجل المراجعات'!$M$5:$M$1504,'سجل المراجعات'!$A$5:$A$1504,$A178))</f>
        <v/>
      </c>
      <c r="R178" s="26" t="str">
        <f aca="false">IF(OR($A178="",NOT(ISNUMBER(E178))),"",MAX(0,NETWORKDAYS.INTL(E178,IF(J178&gt;0,J178,تاريخ_الاحتساب),رمز_العطلة,أيام_الأجازات)-1))</f>
        <v/>
      </c>
      <c r="S178" s="22"/>
    </row>
    <row r="179" customFormat="false" ht="15" hidden="false" customHeight="false" outlineLevel="0" collapsed="false">
      <c r="A179" s="20"/>
      <c r="B179" s="20"/>
      <c r="C179" s="30" t="str">
        <f aca="false">IF($A179="","",IFERROR(INDEX(بند_الاسم,MATCH($B179,قائمة_البنود,0)),"⚠ بند غير موجود"))</f>
        <v/>
      </c>
      <c r="D179" s="22"/>
      <c r="E179" s="31"/>
      <c r="F179" s="21"/>
      <c r="G179" s="32"/>
      <c r="H179" s="25" t="str">
        <f aca="false">IF($A179="","",IFERROR(INDEX(بند_سعر_الوحدة,MATCH($B179,قائمة_البنود,0)),0))</f>
        <v/>
      </c>
      <c r="I179" s="25" t="str">
        <f aca="false">IF($A179="","",H179*(1+نسبة_الضريبة))</f>
        <v/>
      </c>
      <c r="J179" s="33" t="str">
        <f aca="false">IF($A179="","",_xlfn.MINIFS('سجل المراجعات'!$E$5:$E$1504,'سجل المراجعات'!$A$5:$A$1504,$A179,'سجل المراجعات'!$D$5:$D$1504,"تسليم"))</f>
        <v/>
      </c>
      <c r="K179" s="33" t="str">
        <f aca="false">IF($A179="","",_xlfn.MAXIFS('سجل المراجعات'!$E$5:$E$1504,'سجل المراجعات'!$A$5:$A$1504,$A179,'سجل المراجعات'!$D$5:$D$1504,"تسليم"))</f>
        <v/>
      </c>
      <c r="L179" s="33" t="str">
        <f aca="false">IF($A179="","",_xlfn.MAXIFS('سجل المراجعات'!$E$5:$E$1504,'سجل المراجعات'!$A$5:$A$1504,$A179,'سجل المراجعات'!$D$5:$D$1504,"رد بملاحظات"))</f>
        <v/>
      </c>
      <c r="M179" s="33" t="str">
        <f aca="false">IF($A179="","",_xlfn.MAXIFS('سجل المراجعات'!$E$5:$E$1504,'سجل المراجعات'!$A$5:$A$1504,$A179,'سجل المراجعات'!$D$5:$D$1504,"قبول"))</f>
        <v/>
      </c>
      <c r="N179" s="26" t="str">
        <f aca="false">IF($A179="","",COUNTIFS('سجل المراجعات'!$A$5:$A$1504,$A179,'سجل المراجعات'!$D$5:$D$1504,"تسليم"))</f>
        <v/>
      </c>
      <c r="O179" s="34" t="str">
        <f aca="false">IF($A179="","",IF(M179&gt;0,"تم القبول",IF(F179="معلق","معلق",IF(AND(L179&gt;0,L179&gt;=K179),"مُعاد بملاحظات",IF(K179&gt;0,"في انتظار القبول",IF(AND(ISNUMBER(E179),E179&lt;تاريخ_الاحتساب),"متأخر",IF(F179="","لم يبدأ",F179)))))))</f>
        <v/>
      </c>
      <c r="P179" s="26" t="str">
        <f aca="false">IF($A179="","",SUMIFS('سجل المراجعات'!$L$5:$L$1504,'سجل المراجعات'!$A$5:$A$1504,$A179))</f>
        <v/>
      </c>
      <c r="Q179" s="26" t="str">
        <f aca="false">IF($A179="","",SUMIFS('سجل المراجعات'!$M$5:$M$1504,'سجل المراجعات'!$A$5:$A$1504,$A179))</f>
        <v/>
      </c>
      <c r="R179" s="26" t="str">
        <f aca="false">IF(OR($A179="",NOT(ISNUMBER(E179))),"",MAX(0,NETWORKDAYS.INTL(E179,IF(J179&gt;0,J179,تاريخ_الاحتساب),رمز_العطلة,أيام_الأجازات)-1))</f>
        <v/>
      </c>
      <c r="S179" s="22"/>
    </row>
    <row r="180" customFormat="false" ht="15" hidden="false" customHeight="false" outlineLevel="0" collapsed="false">
      <c r="A180" s="20"/>
      <c r="B180" s="20"/>
      <c r="C180" s="30" t="str">
        <f aca="false">IF($A180="","",IFERROR(INDEX(بند_الاسم,MATCH($B180,قائمة_البنود,0)),"⚠ بند غير موجود"))</f>
        <v/>
      </c>
      <c r="D180" s="22"/>
      <c r="E180" s="31"/>
      <c r="F180" s="21"/>
      <c r="G180" s="32"/>
      <c r="H180" s="25" t="str">
        <f aca="false">IF($A180="","",IFERROR(INDEX(بند_سعر_الوحدة,MATCH($B180,قائمة_البنود,0)),0))</f>
        <v/>
      </c>
      <c r="I180" s="25" t="str">
        <f aca="false">IF($A180="","",H180*(1+نسبة_الضريبة))</f>
        <v/>
      </c>
      <c r="J180" s="33" t="str">
        <f aca="false">IF($A180="","",_xlfn.MINIFS('سجل المراجعات'!$E$5:$E$1504,'سجل المراجعات'!$A$5:$A$1504,$A180,'سجل المراجعات'!$D$5:$D$1504,"تسليم"))</f>
        <v/>
      </c>
      <c r="K180" s="33" t="str">
        <f aca="false">IF($A180="","",_xlfn.MAXIFS('سجل المراجعات'!$E$5:$E$1504,'سجل المراجعات'!$A$5:$A$1504,$A180,'سجل المراجعات'!$D$5:$D$1504,"تسليم"))</f>
        <v/>
      </c>
      <c r="L180" s="33" t="str">
        <f aca="false">IF($A180="","",_xlfn.MAXIFS('سجل المراجعات'!$E$5:$E$1504,'سجل المراجعات'!$A$5:$A$1504,$A180,'سجل المراجعات'!$D$5:$D$1504,"رد بملاحظات"))</f>
        <v/>
      </c>
      <c r="M180" s="33" t="str">
        <f aca="false">IF($A180="","",_xlfn.MAXIFS('سجل المراجعات'!$E$5:$E$1504,'سجل المراجعات'!$A$5:$A$1504,$A180,'سجل المراجعات'!$D$5:$D$1504,"قبول"))</f>
        <v/>
      </c>
      <c r="N180" s="26" t="str">
        <f aca="false">IF($A180="","",COUNTIFS('سجل المراجعات'!$A$5:$A$1504,$A180,'سجل المراجعات'!$D$5:$D$1504,"تسليم"))</f>
        <v/>
      </c>
      <c r="O180" s="34" t="str">
        <f aca="false">IF($A180="","",IF(M180&gt;0,"تم القبول",IF(F180="معلق","معلق",IF(AND(L180&gt;0,L180&gt;=K180),"مُعاد بملاحظات",IF(K180&gt;0,"في انتظار القبول",IF(AND(ISNUMBER(E180),E180&lt;تاريخ_الاحتساب),"متأخر",IF(F180="","لم يبدأ",F180)))))))</f>
        <v/>
      </c>
      <c r="P180" s="26" t="str">
        <f aca="false">IF($A180="","",SUMIFS('سجل المراجعات'!$L$5:$L$1504,'سجل المراجعات'!$A$5:$A$1504,$A180))</f>
        <v/>
      </c>
      <c r="Q180" s="26" t="str">
        <f aca="false">IF($A180="","",SUMIFS('سجل المراجعات'!$M$5:$M$1504,'سجل المراجعات'!$A$5:$A$1504,$A180))</f>
        <v/>
      </c>
      <c r="R180" s="26" t="str">
        <f aca="false">IF(OR($A180="",NOT(ISNUMBER(E180))),"",MAX(0,NETWORKDAYS.INTL(E180,IF(J180&gt;0,J180,تاريخ_الاحتساب),رمز_العطلة,أيام_الأجازات)-1))</f>
        <v/>
      </c>
      <c r="S180" s="22"/>
    </row>
    <row r="181" customFormat="false" ht="15" hidden="false" customHeight="false" outlineLevel="0" collapsed="false">
      <c r="A181" s="20"/>
      <c r="B181" s="20"/>
      <c r="C181" s="30" t="str">
        <f aca="false">IF($A181="","",IFERROR(INDEX(بند_الاسم,MATCH($B181,قائمة_البنود,0)),"⚠ بند غير موجود"))</f>
        <v/>
      </c>
      <c r="D181" s="22"/>
      <c r="E181" s="31"/>
      <c r="F181" s="21"/>
      <c r="G181" s="32"/>
      <c r="H181" s="25" t="str">
        <f aca="false">IF($A181="","",IFERROR(INDEX(بند_سعر_الوحدة,MATCH($B181,قائمة_البنود,0)),0))</f>
        <v/>
      </c>
      <c r="I181" s="25" t="str">
        <f aca="false">IF($A181="","",H181*(1+نسبة_الضريبة))</f>
        <v/>
      </c>
      <c r="J181" s="33" t="str">
        <f aca="false">IF($A181="","",_xlfn.MINIFS('سجل المراجعات'!$E$5:$E$1504,'سجل المراجعات'!$A$5:$A$1504,$A181,'سجل المراجعات'!$D$5:$D$1504,"تسليم"))</f>
        <v/>
      </c>
      <c r="K181" s="33" t="str">
        <f aca="false">IF($A181="","",_xlfn.MAXIFS('سجل المراجعات'!$E$5:$E$1504,'سجل المراجعات'!$A$5:$A$1504,$A181,'سجل المراجعات'!$D$5:$D$1504,"تسليم"))</f>
        <v/>
      </c>
      <c r="L181" s="33" t="str">
        <f aca="false">IF($A181="","",_xlfn.MAXIFS('سجل المراجعات'!$E$5:$E$1504,'سجل المراجعات'!$A$5:$A$1504,$A181,'سجل المراجعات'!$D$5:$D$1504,"رد بملاحظات"))</f>
        <v/>
      </c>
      <c r="M181" s="33" t="str">
        <f aca="false">IF($A181="","",_xlfn.MAXIFS('سجل المراجعات'!$E$5:$E$1504,'سجل المراجعات'!$A$5:$A$1504,$A181,'سجل المراجعات'!$D$5:$D$1504,"قبول"))</f>
        <v/>
      </c>
      <c r="N181" s="26" t="str">
        <f aca="false">IF($A181="","",COUNTIFS('سجل المراجعات'!$A$5:$A$1504,$A181,'سجل المراجعات'!$D$5:$D$1504,"تسليم"))</f>
        <v/>
      </c>
      <c r="O181" s="34" t="str">
        <f aca="false">IF($A181="","",IF(M181&gt;0,"تم القبول",IF(F181="معلق","معلق",IF(AND(L181&gt;0,L181&gt;=K181),"مُعاد بملاحظات",IF(K181&gt;0,"في انتظار القبول",IF(AND(ISNUMBER(E181),E181&lt;تاريخ_الاحتساب),"متأخر",IF(F181="","لم يبدأ",F181)))))))</f>
        <v/>
      </c>
      <c r="P181" s="26" t="str">
        <f aca="false">IF($A181="","",SUMIFS('سجل المراجعات'!$L$5:$L$1504,'سجل المراجعات'!$A$5:$A$1504,$A181))</f>
        <v/>
      </c>
      <c r="Q181" s="26" t="str">
        <f aca="false">IF($A181="","",SUMIFS('سجل المراجعات'!$M$5:$M$1504,'سجل المراجعات'!$A$5:$A$1504,$A181))</f>
        <v/>
      </c>
      <c r="R181" s="26" t="str">
        <f aca="false">IF(OR($A181="",NOT(ISNUMBER(E181))),"",MAX(0,NETWORKDAYS.INTL(E181,IF(J181&gt;0,J181,تاريخ_الاحتساب),رمز_العطلة,أيام_الأجازات)-1))</f>
        <v/>
      </c>
      <c r="S181" s="22"/>
    </row>
    <row r="182" customFormat="false" ht="15" hidden="false" customHeight="false" outlineLevel="0" collapsed="false">
      <c r="A182" s="20"/>
      <c r="B182" s="20"/>
      <c r="C182" s="30" t="str">
        <f aca="false">IF($A182="","",IFERROR(INDEX(بند_الاسم,MATCH($B182,قائمة_البنود,0)),"⚠ بند غير موجود"))</f>
        <v/>
      </c>
      <c r="D182" s="22"/>
      <c r="E182" s="31"/>
      <c r="F182" s="21"/>
      <c r="G182" s="32"/>
      <c r="H182" s="25" t="str">
        <f aca="false">IF($A182="","",IFERROR(INDEX(بند_سعر_الوحدة,MATCH($B182,قائمة_البنود,0)),0))</f>
        <v/>
      </c>
      <c r="I182" s="25" t="str">
        <f aca="false">IF($A182="","",H182*(1+نسبة_الضريبة))</f>
        <v/>
      </c>
      <c r="J182" s="33" t="str">
        <f aca="false">IF($A182="","",_xlfn.MINIFS('سجل المراجعات'!$E$5:$E$1504,'سجل المراجعات'!$A$5:$A$1504,$A182,'سجل المراجعات'!$D$5:$D$1504,"تسليم"))</f>
        <v/>
      </c>
      <c r="K182" s="33" t="str">
        <f aca="false">IF($A182="","",_xlfn.MAXIFS('سجل المراجعات'!$E$5:$E$1504,'سجل المراجعات'!$A$5:$A$1504,$A182,'سجل المراجعات'!$D$5:$D$1504,"تسليم"))</f>
        <v/>
      </c>
      <c r="L182" s="33" t="str">
        <f aca="false">IF($A182="","",_xlfn.MAXIFS('سجل المراجعات'!$E$5:$E$1504,'سجل المراجعات'!$A$5:$A$1504,$A182,'سجل المراجعات'!$D$5:$D$1504,"رد بملاحظات"))</f>
        <v/>
      </c>
      <c r="M182" s="33" t="str">
        <f aca="false">IF($A182="","",_xlfn.MAXIFS('سجل المراجعات'!$E$5:$E$1504,'سجل المراجعات'!$A$5:$A$1504,$A182,'سجل المراجعات'!$D$5:$D$1504,"قبول"))</f>
        <v/>
      </c>
      <c r="N182" s="26" t="str">
        <f aca="false">IF($A182="","",COUNTIFS('سجل المراجعات'!$A$5:$A$1504,$A182,'سجل المراجعات'!$D$5:$D$1504,"تسليم"))</f>
        <v/>
      </c>
      <c r="O182" s="34" t="str">
        <f aca="false">IF($A182="","",IF(M182&gt;0,"تم القبول",IF(F182="معلق","معلق",IF(AND(L182&gt;0,L182&gt;=K182),"مُعاد بملاحظات",IF(K182&gt;0,"في انتظار القبول",IF(AND(ISNUMBER(E182),E182&lt;تاريخ_الاحتساب),"متأخر",IF(F182="","لم يبدأ",F182)))))))</f>
        <v/>
      </c>
      <c r="P182" s="26" t="str">
        <f aca="false">IF($A182="","",SUMIFS('سجل المراجعات'!$L$5:$L$1504,'سجل المراجعات'!$A$5:$A$1504,$A182))</f>
        <v/>
      </c>
      <c r="Q182" s="26" t="str">
        <f aca="false">IF($A182="","",SUMIFS('سجل المراجعات'!$M$5:$M$1504,'سجل المراجعات'!$A$5:$A$1504,$A182))</f>
        <v/>
      </c>
      <c r="R182" s="26" t="str">
        <f aca="false">IF(OR($A182="",NOT(ISNUMBER(E182))),"",MAX(0,NETWORKDAYS.INTL(E182,IF(J182&gt;0,J182,تاريخ_الاحتساب),رمز_العطلة,أيام_الأجازات)-1))</f>
        <v/>
      </c>
      <c r="S182" s="22"/>
    </row>
    <row r="183" customFormat="false" ht="15" hidden="false" customHeight="false" outlineLevel="0" collapsed="false">
      <c r="A183" s="20"/>
      <c r="B183" s="20"/>
      <c r="C183" s="30" t="str">
        <f aca="false">IF($A183="","",IFERROR(INDEX(بند_الاسم,MATCH($B183,قائمة_البنود,0)),"⚠ بند غير موجود"))</f>
        <v/>
      </c>
      <c r="D183" s="22"/>
      <c r="E183" s="31"/>
      <c r="F183" s="21"/>
      <c r="G183" s="32"/>
      <c r="H183" s="25" t="str">
        <f aca="false">IF($A183="","",IFERROR(INDEX(بند_سعر_الوحدة,MATCH($B183,قائمة_البنود,0)),0))</f>
        <v/>
      </c>
      <c r="I183" s="25" t="str">
        <f aca="false">IF($A183="","",H183*(1+نسبة_الضريبة))</f>
        <v/>
      </c>
      <c r="J183" s="33" t="str">
        <f aca="false">IF($A183="","",_xlfn.MINIFS('سجل المراجعات'!$E$5:$E$1504,'سجل المراجعات'!$A$5:$A$1504,$A183,'سجل المراجعات'!$D$5:$D$1504,"تسليم"))</f>
        <v/>
      </c>
      <c r="K183" s="33" t="str">
        <f aca="false">IF($A183="","",_xlfn.MAXIFS('سجل المراجعات'!$E$5:$E$1504,'سجل المراجعات'!$A$5:$A$1504,$A183,'سجل المراجعات'!$D$5:$D$1504,"تسليم"))</f>
        <v/>
      </c>
      <c r="L183" s="33" t="str">
        <f aca="false">IF($A183="","",_xlfn.MAXIFS('سجل المراجعات'!$E$5:$E$1504,'سجل المراجعات'!$A$5:$A$1504,$A183,'سجل المراجعات'!$D$5:$D$1504,"رد بملاحظات"))</f>
        <v/>
      </c>
      <c r="M183" s="33" t="str">
        <f aca="false">IF($A183="","",_xlfn.MAXIFS('سجل المراجعات'!$E$5:$E$1504,'سجل المراجعات'!$A$5:$A$1504,$A183,'سجل المراجعات'!$D$5:$D$1504,"قبول"))</f>
        <v/>
      </c>
      <c r="N183" s="26" t="str">
        <f aca="false">IF($A183="","",COUNTIFS('سجل المراجعات'!$A$5:$A$1504,$A183,'سجل المراجعات'!$D$5:$D$1504,"تسليم"))</f>
        <v/>
      </c>
      <c r="O183" s="34" t="str">
        <f aca="false">IF($A183="","",IF(M183&gt;0,"تم القبول",IF(F183="معلق","معلق",IF(AND(L183&gt;0,L183&gt;=K183),"مُعاد بملاحظات",IF(K183&gt;0,"في انتظار القبول",IF(AND(ISNUMBER(E183),E183&lt;تاريخ_الاحتساب),"متأخر",IF(F183="","لم يبدأ",F183)))))))</f>
        <v/>
      </c>
      <c r="P183" s="26" t="str">
        <f aca="false">IF($A183="","",SUMIFS('سجل المراجعات'!$L$5:$L$1504,'سجل المراجعات'!$A$5:$A$1504,$A183))</f>
        <v/>
      </c>
      <c r="Q183" s="26" t="str">
        <f aca="false">IF($A183="","",SUMIFS('سجل المراجعات'!$M$5:$M$1504,'سجل المراجعات'!$A$5:$A$1504,$A183))</f>
        <v/>
      </c>
      <c r="R183" s="26" t="str">
        <f aca="false">IF(OR($A183="",NOT(ISNUMBER(E183))),"",MAX(0,NETWORKDAYS.INTL(E183,IF(J183&gt;0,J183,تاريخ_الاحتساب),رمز_العطلة,أيام_الأجازات)-1))</f>
        <v/>
      </c>
      <c r="S183" s="22"/>
    </row>
    <row r="184" customFormat="false" ht="15" hidden="false" customHeight="false" outlineLevel="0" collapsed="false">
      <c r="A184" s="20"/>
      <c r="B184" s="20"/>
      <c r="C184" s="30" t="str">
        <f aca="false">IF($A184="","",IFERROR(INDEX(بند_الاسم,MATCH($B184,قائمة_البنود,0)),"⚠ بند غير موجود"))</f>
        <v/>
      </c>
      <c r="D184" s="22"/>
      <c r="E184" s="31"/>
      <c r="F184" s="21"/>
      <c r="G184" s="32"/>
      <c r="H184" s="25" t="str">
        <f aca="false">IF($A184="","",IFERROR(INDEX(بند_سعر_الوحدة,MATCH($B184,قائمة_البنود,0)),0))</f>
        <v/>
      </c>
      <c r="I184" s="25" t="str">
        <f aca="false">IF($A184="","",H184*(1+نسبة_الضريبة))</f>
        <v/>
      </c>
      <c r="J184" s="33" t="str">
        <f aca="false">IF($A184="","",_xlfn.MINIFS('سجل المراجعات'!$E$5:$E$1504,'سجل المراجعات'!$A$5:$A$1504,$A184,'سجل المراجعات'!$D$5:$D$1504,"تسليم"))</f>
        <v/>
      </c>
      <c r="K184" s="33" t="str">
        <f aca="false">IF($A184="","",_xlfn.MAXIFS('سجل المراجعات'!$E$5:$E$1504,'سجل المراجعات'!$A$5:$A$1504,$A184,'سجل المراجعات'!$D$5:$D$1504,"تسليم"))</f>
        <v/>
      </c>
      <c r="L184" s="33" t="str">
        <f aca="false">IF($A184="","",_xlfn.MAXIFS('سجل المراجعات'!$E$5:$E$1504,'سجل المراجعات'!$A$5:$A$1504,$A184,'سجل المراجعات'!$D$5:$D$1504,"رد بملاحظات"))</f>
        <v/>
      </c>
      <c r="M184" s="33" t="str">
        <f aca="false">IF($A184="","",_xlfn.MAXIFS('سجل المراجعات'!$E$5:$E$1504,'سجل المراجعات'!$A$5:$A$1504,$A184,'سجل المراجعات'!$D$5:$D$1504,"قبول"))</f>
        <v/>
      </c>
      <c r="N184" s="26" t="str">
        <f aca="false">IF($A184="","",COUNTIFS('سجل المراجعات'!$A$5:$A$1504,$A184,'سجل المراجعات'!$D$5:$D$1504,"تسليم"))</f>
        <v/>
      </c>
      <c r="O184" s="34" t="str">
        <f aca="false">IF($A184="","",IF(M184&gt;0,"تم القبول",IF(F184="معلق","معلق",IF(AND(L184&gt;0,L184&gt;=K184),"مُعاد بملاحظات",IF(K184&gt;0,"في انتظار القبول",IF(AND(ISNUMBER(E184),E184&lt;تاريخ_الاحتساب),"متأخر",IF(F184="","لم يبدأ",F184)))))))</f>
        <v/>
      </c>
      <c r="P184" s="26" t="str">
        <f aca="false">IF($A184="","",SUMIFS('سجل المراجعات'!$L$5:$L$1504,'سجل المراجعات'!$A$5:$A$1504,$A184))</f>
        <v/>
      </c>
      <c r="Q184" s="26" t="str">
        <f aca="false">IF($A184="","",SUMIFS('سجل المراجعات'!$M$5:$M$1504,'سجل المراجعات'!$A$5:$A$1504,$A184))</f>
        <v/>
      </c>
      <c r="R184" s="26" t="str">
        <f aca="false">IF(OR($A184="",NOT(ISNUMBER(E184))),"",MAX(0,NETWORKDAYS.INTL(E184,IF(J184&gt;0,J184,تاريخ_الاحتساب),رمز_العطلة,أيام_الأجازات)-1))</f>
        <v/>
      </c>
      <c r="S184" s="22"/>
    </row>
    <row r="185" customFormat="false" ht="15" hidden="false" customHeight="false" outlineLevel="0" collapsed="false">
      <c r="A185" s="20"/>
      <c r="B185" s="20"/>
      <c r="C185" s="30" t="str">
        <f aca="false">IF($A185="","",IFERROR(INDEX(بند_الاسم,MATCH($B185,قائمة_البنود,0)),"⚠ بند غير موجود"))</f>
        <v/>
      </c>
      <c r="D185" s="22"/>
      <c r="E185" s="31"/>
      <c r="F185" s="21"/>
      <c r="G185" s="32"/>
      <c r="H185" s="25" t="str">
        <f aca="false">IF($A185="","",IFERROR(INDEX(بند_سعر_الوحدة,MATCH($B185,قائمة_البنود,0)),0))</f>
        <v/>
      </c>
      <c r="I185" s="25" t="str">
        <f aca="false">IF($A185="","",H185*(1+نسبة_الضريبة))</f>
        <v/>
      </c>
      <c r="J185" s="33" t="str">
        <f aca="false">IF($A185="","",_xlfn.MINIFS('سجل المراجعات'!$E$5:$E$1504,'سجل المراجعات'!$A$5:$A$1504,$A185,'سجل المراجعات'!$D$5:$D$1504,"تسليم"))</f>
        <v/>
      </c>
      <c r="K185" s="33" t="str">
        <f aca="false">IF($A185="","",_xlfn.MAXIFS('سجل المراجعات'!$E$5:$E$1504,'سجل المراجعات'!$A$5:$A$1504,$A185,'سجل المراجعات'!$D$5:$D$1504,"تسليم"))</f>
        <v/>
      </c>
      <c r="L185" s="33" t="str">
        <f aca="false">IF($A185="","",_xlfn.MAXIFS('سجل المراجعات'!$E$5:$E$1504,'سجل المراجعات'!$A$5:$A$1504,$A185,'سجل المراجعات'!$D$5:$D$1504,"رد بملاحظات"))</f>
        <v/>
      </c>
      <c r="M185" s="33" t="str">
        <f aca="false">IF($A185="","",_xlfn.MAXIFS('سجل المراجعات'!$E$5:$E$1504,'سجل المراجعات'!$A$5:$A$1504,$A185,'سجل المراجعات'!$D$5:$D$1504,"قبول"))</f>
        <v/>
      </c>
      <c r="N185" s="26" t="str">
        <f aca="false">IF($A185="","",COUNTIFS('سجل المراجعات'!$A$5:$A$1504,$A185,'سجل المراجعات'!$D$5:$D$1504,"تسليم"))</f>
        <v/>
      </c>
      <c r="O185" s="34" t="str">
        <f aca="false">IF($A185="","",IF(M185&gt;0,"تم القبول",IF(F185="معلق","معلق",IF(AND(L185&gt;0,L185&gt;=K185),"مُعاد بملاحظات",IF(K185&gt;0,"في انتظار القبول",IF(AND(ISNUMBER(E185),E185&lt;تاريخ_الاحتساب),"متأخر",IF(F185="","لم يبدأ",F185)))))))</f>
        <v/>
      </c>
      <c r="P185" s="26" t="str">
        <f aca="false">IF($A185="","",SUMIFS('سجل المراجعات'!$L$5:$L$1504,'سجل المراجعات'!$A$5:$A$1504,$A185))</f>
        <v/>
      </c>
      <c r="Q185" s="26" t="str">
        <f aca="false">IF($A185="","",SUMIFS('سجل المراجعات'!$M$5:$M$1504,'سجل المراجعات'!$A$5:$A$1504,$A185))</f>
        <v/>
      </c>
      <c r="R185" s="26" t="str">
        <f aca="false">IF(OR($A185="",NOT(ISNUMBER(E185))),"",MAX(0,NETWORKDAYS.INTL(E185,IF(J185&gt;0,J185,تاريخ_الاحتساب),رمز_العطلة,أيام_الأجازات)-1))</f>
        <v/>
      </c>
      <c r="S185" s="22"/>
    </row>
    <row r="186" customFormat="false" ht="15" hidden="false" customHeight="false" outlineLevel="0" collapsed="false">
      <c r="A186" s="20"/>
      <c r="B186" s="20"/>
      <c r="C186" s="30" t="str">
        <f aca="false">IF($A186="","",IFERROR(INDEX(بند_الاسم,MATCH($B186,قائمة_البنود,0)),"⚠ بند غير موجود"))</f>
        <v/>
      </c>
      <c r="D186" s="22"/>
      <c r="E186" s="31"/>
      <c r="F186" s="21"/>
      <c r="G186" s="32"/>
      <c r="H186" s="25" t="str">
        <f aca="false">IF($A186="","",IFERROR(INDEX(بند_سعر_الوحدة,MATCH($B186,قائمة_البنود,0)),0))</f>
        <v/>
      </c>
      <c r="I186" s="25" t="str">
        <f aca="false">IF($A186="","",H186*(1+نسبة_الضريبة))</f>
        <v/>
      </c>
      <c r="J186" s="33" t="str">
        <f aca="false">IF($A186="","",_xlfn.MINIFS('سجل المراجعات'!$E$5:$E$1504,'سجل المراجعات'!$A$5:$A$1504,$A186,'سجل المراجعات'!$D$5:$D$1504,"تسليم"))</f>
        <v/>
      </c>
      <c r="K186" s="33" t="str">
        <f aca="false">IF($A186="","",_xlfn.MAXIFS('سجل المراجعات'!$E$5:$E$1504,'سجل المراجعات'!$A$5:$A$1504,$A186,'سجل المراجعات'!$D$5:$D$1504,"تسليم"))</f>
        <v/>
      </c>
      <c r="L186" s="33" t="str">
        <f aca="false">IF($A186="","",_xlfn.MAXIFS('سجل المراجعات'!$E$5:$E$1504,'سجل المراجعات'!$A$5:$A$1504,$A186,'سجل المراجعات'!$D$5:$D$1504,"رد بملاحظات"))</f>
        <v/>
      </c>
      <c r="M186" s="33" t="str">
        <f aca="false">IF($A186="","",_xlfn.MAXIFS('سجل المراجعات'!$E$5:$E$1504,'سجل المراجعات'!$A$5:$A$1504,$A186,'سجل المراجعات'!$D$5:$D$1504,"قبول"))</f>
        <v/>
      </c>
      <c r="N186" s="26" t="str">
        <f aca="false">IF($A186="","",COUNTIFS('سجل المراجعات'!$A$5:$A$1504,$A186,'سجل المراجعات'!$D$5:$D$1504,"تسليم"))</f>
        <v/>
      </c>
      <c r="O186" s="34" t="str">
        <f aca="false">IF($A186="","",IF(M186&gt;0,"تم القبول",IF(F186="معلق","معلق",IF(AND(L186&gt;0,L186&gt;=K186),"مُعاد بملاحظات",IF(K186&gt;0,"في انتظار القبول",IF(AND(ISNUMBER(E186),E186&lt;تاريخ_الاحتساب),"متأخر",IF(F186="","لم يبدأ",F186)))))))</f>
        <v/>
      </c>
      <c r="P186" s="26" t="str">
        <f aca="false">IF($A186="","",SUMIFS('سجل المراجعات'!$L$5:$L$1504,'سجل المراجعات'!$A$5:$A$1504,$A186))</f>
        <v/>
      </c>
      <c r="Q186" s="26" t="str">
        <f aca="false">IF($A186="","",SUMIFS('سجل المراجعات'!$M$5:$M$1504,'سجل المراجعات'!$A$5:$A$1504,$A186))</f>
        <v/>
      </c>
      <c r="R186" s="26" t="str">
        <f aca="false">IF(OR($A186="",NOT(ISNUMBER(E186))),"",MAX(0,NETWORKDAYS.INTL(E186,IF(J186&gt;0,J186,تاريخ_الاحتساب),رمز_العطلة,أيام_الأجازات)-1))</f>
        <v/>
      </c>
      <c r="S186" s="22"/>
    </row>
    <row r="187" customFormat="false" ht="15" hidden="false" customHeight="false" outlineLevel="0" collapsed="false">
      <c r="A187" s="20"/>
      <c r="B187" s="20"/>
      <c r="C187" s="30" t="str">
        <f aca="false">IF($A187="","",IFERROR(INDEX(بند_الاسم,MATCH($B187,قائمة_البنود,0)),"⚠ بند غير موجود"))</f>
        <v/>
      </c>
      <c r="D187" s="22"/>
      <c r="E187" s="31"/>
      <c r="F187" s="21"/>
      <c r="G187" s="32"/>
      <c r="H187" s="25" t="str">
        <f aca="false">IF($A187="","",IFERROR(INDEX(بند_سعر_الوحدة,MATCH($B187,قائمة_البنود,0)),0))</f>
        <v/>
      </c>
      <c r="I187" s="25" t="str">
        <f aca="false">IF($A187="","",H187*(1+نسبة_الضريبة))</f>
        <v/>
      </c>
      <c r="J187" s="33" t="str">
        <f aca="false">IF($A187="","",_xlfn.MINIFS('سجل المراجعات'!$E$5:$E$1504,'سجل المراجعات'!$A$5:$A$1504,$A187,'سجل المراجعات'!$D$5:$D$1504,"تسليم"))</f>
        <v/>
      </c>
      <c r="K187" s="33" t="str">
        <f aca="false">IF($A187="","",_xlfn.MAXIFS('سجل المراجعات'!$E$5:$E$1504,'سجل المراجعات'!$A$5:$A$1504,$A187,'سجل المراجعات'!$D$5:$D$1504,"تسليم"))</f>
        <v/>
      </c>
      <c r="L187" s="33" t="str">
        <f aca="false">IF($A187="","",_xlfn.MAXIFS('سجل المراجعات'!$E$5:$E$1504,'سجل المراجعات'!$A$5:$A$1504,$A187,'سجل المراجعات'!$D$5:$D$1504,"رد بملاحظات"))</f>
        <v/>
      </c>
      <c r="M187" s="33" t="str">
        <f aca="false">IF($A187="","",_xlfn.MAXIFS('سجل المراجعات'!$E$5:$E$1504,'سجل المراجعات'!$A$5:$A$1504,$A187,'سجل المراجعات'!$D$5:$D$1504,"قبول"))</f>
        <v/>
      </c>
      <c r="N187" s="26" t="str">
        <f aca="false">IF($A187="","",COUNTIFS('سجل المراجعات'!$A$5:$A$1504,$A187,'سجل المراجعات'!$D$5:$D$1504,"تسليم"))</f>
        <v/>
      </c>
      <c r="O187" s="34" t="str">
        <f aca="false">IF($A187="","",IF(M187&gt;0,"تم القبول",IF(F187="معلق","معلق",IF(AND(L187&gt;0,L187&gt;=K187),"مُعاد بملاحظات",IF(K187&gt;0,"في انتظار القبول",IF(AND(ISNUMBER(E187),E187&lt;تاريخ_الاحتساب),"متأخر",IF(F187="","لم يبدأ",F187)))))))</f>
        <v/>
      </c>
      <c r="P187" s="26" t="str">
        <f aca="false">IF($A187="","",SUMIFS('سجل المراجعات'!$L$5:$L$1504,'سجل المراجعات'!$A$5:$A$1504,$A187))</f>
        <v/>
      </c>
      <c r="Q187" s="26" t="str">
        <f aca="false">IF($A187="","",SUMIFS('سجل المراجعات'!$M$5:$M$1504,'سجل المراجعات'!$A$5:$A$1504,$A187))</f>
        <v/>
      </c>
      <c r="R187" s="26" t="str">
        <f aca="false">IF(OR($A187="",NOT(ISNUMBER(E187))),"",MAX(0,NETWORKDAYS.INTL(E187,IF(J187&gt;0,J187,تاريخ_الاحتساب),رمز_العطلة,أيام_الأجازات)-1))</f>
        <v/>
      </c>
      <c r="S187" s="22"/>
    </row>
    <row r="188" customFormat="false" ht="15" hidden="false" customHeight="false" outlineLevel="0" collapsed="false">
      <c r="A188" s="20"/>
      <c r="B188" s="20"/>
      <c r="C188" s="30" t="str">
        <f aca="false">IF($A188="","",IFERROR(INDEX(بند_الاسم,MATCH($B188,قائمة_البنود,0)),"⚠ بند غير موجود"))</f>
        <v/>
      </c>
      <c r="D188" s="22"/>
      <c r="E188" s="31"/>
      <c r="F188" s="21"/>
      <c r="G188" s="32"/>
      <c r="H188" s="25" t="str">
        <f aca="false">IF($A188="","",IFERROR(INDEX(بند_سعر_الوحدة,MATCH($B188,قائمة_البنود,0)),0))</f>
        <v/>
      </c>
      <c r="I188" s="25" t="str">
        <f aca="false">IF($A188="","",H188*(1+نسبة_الضريبة))</f>
        <v/>
      </c>
      <c r="J188" s="33" t="str">
        <f aca="false">IF($A188="","",_xlfn.MINIFS('سجل المراجعات'!$E$5:$E$1504,'سجل المراجعات'!$A$5:$A$1504,$A188,'سجل المراجعات'!$D$5:$D$1504,"تسليم"))</f>
        <v/>
      </c>
      <c r="K188" s="33" t="str">
        <f aca="false">IF($A188="","",_xlfn.MAXIFS('سجل المراجعات'!$E$5:$E$1504,'سجل المراجعات'!$A$5:$A$1504,$A188,'سجل المراجعات'!$D$5:$D$1504,"تسليم"))</f>
        <v/>
      </c>
      <c r="L188" s="33" t="str">
        <f aca="false">IF($A188="","",_xlfn.MAXIFS('سجل المراجعات'!$E$5:$E$1504,'سجل المراجعات'!$A$5:$A$1504,$A188,'سجل المراجعات'!$D$5:$D$1504,"رد بملاحظات"))</f>
        <v/>
      </c>
      <c r="M188" s="33" t="str">
        <f aca="false">IF($A188="","",_xlfn.MAXIFS('سجل المراجعات'!$E$5:$E$1504,'سجل المراجعات'!$A$5:$A$1504,$A188,'سجل المراجعات'!$D$5:$D$1504,"قبول"))</f>
        <v/>
      </c>
      <c r="N188" s="26" t="str">
        <f aca="false">IF($A188="","",COUNTIFS('سجل المراجعات'!$A$5:$A$1504,$A188,'سجل المراجعات'!$D$5:$D$1504,"تسليم"))</f>
        <v/>
      </c>
      <c r="O188" s="34" t="str">
        <f aca="false">IF($A188="","",IF(M188&gt;0,"تم القبول",IF(F188="معلق","معلق",IF(AND(L188&gt;0,L188&gt;=K188),"مُعاد بملاحظات",IF(K188&gt;0,"في انتظار القبول",IF(AND(ISNUMBER(E188),E188&lt;تاريخ_الاحتساب),"متأخر",IF(F188="","لم يبدأ",F188)))))))</f>
        <v/>
      </c>
      <c r="P188" s="26" t="str">
        <f aca="false">IF($A188="","",SUMIFS('سجل المراجعات'!$L$5:$L$1504,'سجل المراجعات'!$A$5:$A$1504,$A188))</f>
        <v/>
      </c>
      <c r="Q188" s="26" t="str">
        <f aca="false">IF($A188="","",SUMIFS('سجل المراجعات'!$M$5:$M$1504,'سجل المراجعات'!$A$5:$A$1504,$A188))</f>
        <v/>
      </c>
      <c r="R188" s="26" t="str">
        <f aca="false">IF(OR($A188="",NOT(ISNUMBER(E188))),"",MAX(0,NETWORKDAYS.INTL(E188,IF(J188&gt;0,J188,تاريخ_الاحتساب),رمز_العطلة,أيام_الأجازات)-1))</f>
        <v/>
      </c>
      <c r="S188" s="22"/>
    </row>
    <row r="189" customFormat="false" ht="15" hidden="false" customHeight="false" outlineLevel="0" collapsed="false">
      <c r="A189" s="20"/>
      <c r="B189" s="20"/>
      <c r="C189" s="30" t="str">
        <f aca="false">IF($A189="","",IFERROR(INDEX(بند_الاسم,MATCH($B189,قائمة_البنود,0)),"⚠ بند غير موجود"))</f>
        <v/>
      </c>
      <c r="D189" s="22"/>
      <c r="E189" s="31"/>
      <c r="F189" s="21"/>
      <c r="G189" s="32"/>
      <c r="H189" s="25" t="str">
        <f aca="false">IF($A189="","",IFERROR(INDEX(بند_سعر_الوحدة,MATCH($B189,قائمة_البنود,0)),0))</f>
        <v/>
      </c>
      <c r="I189" s="25" t="str">
        <f aca="false">IF($A189="","",H189*(1+نسبة_الضريبة))</f>
        <v/>
      </c>
      <c r="J189" s="33" t="str">
        <f aca="false">IF($A189="","",_xlfn.MINIFS('سجل المراجعات'!$E$5:$E$1504,'سجل المراجعات'!$A$5:$A$1504,$A189,'سجل المراجعات'!$D$5:$D$1504,"تسليم"))</f>
        <v/>
      </c>
      <c r="K189" s="33" t="str">
        <f aca="false">IF($A189="","",_xlfn.MAXIFS('سجل المراجعات'!$E$5:$E$1504,'سجل المراجعات'!$A$5:$A$1504,$A189,'سجل المراجعات'!$D$5:$D$1504,"تسليم"))</f>
        <v/>
      </c>
      <c r="L189" s="33" t="str">
        <f aca="false">IF($A189="","",_xlfn.MAXIFS('سجل المراجعات'!$E$5:$E$1504,'سجل المراجعات'!$A$5:$A$1504,$A189,'سجل المراجعات'!$D$5:$D$1504,"رد بملاحظات"))</f>
        <v/>
      </c>
      <c r="M189" s="33" t="str">
        <f aca="false">IF($A189="","",_xlfn.MAXIFS('سجل المراجعات'!$E$5:$E$1504,'سجل المراجعات'!$A$5:$A$1504,$A189,'سجل المراجعات'!$D$5:$D$1504,"قبول"))</f>
        <v/>
      </c>
      <c r="N189" s="26" t="str">
        <f aca="false">IF($A189="","",COUNTIFS('سجل المراجعات'!$A$5:$A$1504,$A189,'سجل المراجعات'!$D$5:$D$1504,"تسليم"))</f>
        <v/>
      </c>
      <c r="O189" s="34" t="str">
        <f aca="false">IF($A189="","",IF(M189&gt;0,"تم القبول",IF(F189="معلق","معلق",IF(AND(L189&gt;0,L189&gt;=K189),"مُعاد بملاحظات",IF(K189&gt;0,"في انتظار القبول",IF(AND(ISNUMBER(E189),E189&lt;تاريخ_الاحتساب),"متأخر",IF(F189="","لم يبدأ",F189)))))))</f>
        <v/>
      </c>
      <c r="P189" s="26" t="str">
        <f aca="false">IF($A189="","",SUMIFS('سجل المراجعات'!$L$5:$L$1504,'سجل المراجعات'!$A$5:$A$1504,$A189))</f>
        <v/>
      </c>
      <c r="Q189" s="26" t="str">
        <f aca="false">IF($A189="","",SUMIFS('سجل المراجعات'!$M$5:$M$1504,'سجل المراجعات'!$A$5:$A$1504,$A189))</f>
        <v/>
      </c>
      <c r="R189" s="26" t="str">
        <f aca="false">IF(OR($A189="",NOT(ISNUMBER(E189))),"",MAX(0,NETWORKDAYS.INTL(E189,IF(J189&gt;0,J189,تاريخ_الاحتساب),رمز_العطلة,أيام_الأجازات)-1))</f>
        <v/>
      </c>
      <c r="S189" s="22"/>
    </row>
    <row r="190" customFormat="false" ht="15" hidden="false" customHeight="false" outlineLevel="0" collapsed="false">
      <c r="A190" s="20"/>
      <c r="B190" s="20"/>
      <c r="C190" s="30" t="str">
        <f aca="false">IF($A190="","",IFERROR(INDEX(بند_الاسم,MATCH($B190,قائمة_البنود,0)),"⚠ بند غير موجود"))</f>
        <v/>
      </c>
      <c r="D190" s="22"/>
      <c r="E190" s="31"/>
      <c r="F190" s="21"/>
      <c r="G190" s="32"/>
      <c r="H190" s="25" t="str">
        <f aca="false">IF($A190="","",IFERROR(INDEX(بند_سعر_الوحدة,MATCH($B190,قائمة_البنود,0)),0))</f>
        <v/>
      </c>
      <c r="I190" s="25" t="str">
        <f aca="false">IF($A190="","",H190*(1+نسبة_الضريبة))</f>
        <v/>
      </c>
      <c r="J190" s="33" t="str">
        <f aca="false">IF($A190="","",_xlfn.MINIFS('سجل المراجعات'!$E$5:$E$1504,'سجل المراجعات'!$A$5:$A$1504,$A190,'سجل المراجعات'!$D$5:$D$1504,"تسليم"))</f>
        <v/>
      </c>
      <c r="K190" s="33" t="str">
        <f aca="false">IF($A190="","",_xlfn.MAXIFS('سجل المراجعات'!$E$5:$E$1504,'سجل المراجعات'!$A$5:$A$1504,$A190,'سجل المراجعات'!$D$5:$D$1504,"تسليم"))</f>
        <v/>
      </c>
      <c r="L190" s="33" t="str">
        <f aca="false">IF($A190="","",_xlfn.MAXIFS('سجل المراجعات'!$E$5:$E$1504,'سجل المراجعات'!$A$5:$A$1504,$A190,'سجل المراجعات'!$D$5:$D$1504,"رد بملاحظات"))</f>
        <v/>
      </c>
      <c r="M190" s="33" t="str">
        <f aca="false">IF($A190="","",_xlfn.MAXIFS('سجل المراجعات'!$E$5:$E$1504,'سجل المراجعات'!$A$5:$A$1504,$A190,'سجل المراجعات'!$D$5:$D$1504,"قبول"))</f>
        <v/>
      </c>
      <c r="N190" s="26" t="str">
        <f aca="false">IF($A190="","",COUNTIFS('سجل المراجعات'!$A$5:$A$1504,$A190,'سجل المراجعات'!$D$5:$D$1504,"تسليم"))</f>
        <v/>
      </c>
      <c r="O190" s="34" t="str">
        <f aca="false">IF($A190="","",IF(M190&gt;0,"تم القبول",IF(F190="معلق","معلق",IF(AND(L190&gt;0,L190&gt;=K190),"مُعاد بملاحظات",IF(K190&gt;0,"في انتظار القبول",IF(AND(ISNUMBER(E190),E190&lt;تاريخ_الاحتساب),"متأخر",IF(F190="","لم يبدأ",F190)))))))</f>
        <v/>
      </c>
      <c r="P190" s="26" t="str">
        <f aca="false">IF($A190="","",SUMIFS('سجل المراجعات'!$L$5:$L$1504,'سجل المراجعات'!$A$5:$A$1504,$A190))</f>
        <v/>
      </c>
      <c r="Q190" s="26" t="str">
        <f aca="false">IF($A190="","",SUMIFS('سجل المراجعات'!$M$5:$M$1504,'سجل المراجعات'!$A$5:$A$1504,$A190))</f>
        <v/>
      </c>
      <c r="R190" s="26" t="str">
        <f aca="false">IF(OR($A190="",NOT(ISNUMBER(E190))),"",MAX(0,NETWORKDAYS.INTL(E190,IF(J190&gt;0,J190,تاريخ_الاحتساب),رمز_العطلة,أيام_الأجازات)-1))</f>
        <v/>
      </c>
      <c r="S190" s="22"/>
    </row>
    <row r="191" customFormat="false" ht="15" hidden="false" customHeight="false" outlineLevel="0" collapsed="false">
      <c r="A191" s="20"/>
      <c r="B191" s="20"/>
      <c r="C191" s="30" t="str">
        <f aca="false">IF($A191="","",IFERROR(INDEX(بند_الاسم,MATCH($B191,قائمة_البنود,0)),"⚠ بند غير موجود"))</f>
        <v/>
      </c>
      <c r="D191" s="22"/>
      <c r="E191" s="31"/>
      <c r="F191" s="21"/>
      <c r="G191" s="32"/>
      <c r="H191" s="25" t="str">
        <f aca="false">IF($A191="","",IFERROR(INDEX(بند_سعر_الوحدة,MATCH($B191,قائمة_البنود,0)),0))</f>
        <v/>
      </c>
      <c r="I191" s="25" t="str">
        <f aca="false">IF($A191="","",H191*(1+نسبة_الضريبة))</f>
        <v/>
      </c>
      <c r="J191" s="33" t="str">
        <f aca="false">IF($A191="","",_xlfn.MINIFS('سجل المراجعات'!$E$5:$E$1504,'سجل المراجعات'!$A$5:$A$1504,$A191,'سجل المراجعات'!$D$5:$D$1504,"تسليم"))</f>
        <v/>
      </c>
      <c r="K191" s="33" t="str">
        <f aca="false">IF($A191="","",_xlfn.MAXIFS('سجل المراجعات'!$E$5:$E$1504,'سجل المراجعات'!$A$5:$A$1504,$A191,'سجل المراجعات'!$D$5:$D$1504,"تسليم"))</f>
        <v/>
      </c>
      <c r="L191" s="33" t="str">
        <f aca="false">IF($A191="","",_xlfn.MAXIFS('سجل المراجعات'!$E$5:$E$1504,'سجل المراجعات'!$A$5:$A$1504,$A191,'سجل المراجعات'!$D$5:$D$1504,"رد بملاحظات"))</f>
        <v/>
      </c>
      <c r="M191" s="33" t="str">
        <f aca="false">IF($A191="","",_xlfn.MAXIFS('سجل المراجعات'!$E$5:$E$1504,'سجل المراجعات'!$A$5:$A$1504,$A191,'سجل المراجعات'!$D$5:$D$1504,"قبول"))</f>
        <v/>
      </c>
      <c r="N191" s="26" t="str">
        <f aca="false">IF($A191="","",COUNTIFS('سجل المراجعات'!$A$5:$A$1504,$A191,'سجل المراجعات'!$D$5:$D$1504,"تسليم"))</f>
        <v/>
      </c>
      <c r="O191" s="34" t="str">
        <f aca="false">IF($A191="","",IF(M191&gt;0,"تم القبول",IF(F191="معلق","معلق",IF(AND(L191&gt;0,L191&gt;=K191),"مُعاد بملاحظات",IF(K191&gt;0,"في انتظار القبول",IF(AND(ISNUMBER(E191),E191&lt;تاريخ_الاحتساب),"متأخر",IF(F191="","لم يبدأ",F191)))))))</f>
        <v/>
      </c>
      <c r="P191" s="26" t="str">
        <f aca="false">IF($A191="","",SUMIFS('سجل المراجعات'!$L$5:$L$1504,'سجل المراجعات'!$A$5:$A$1504,$A191))</f>
        <v/>
      </c>
      <c r="Q191" s="26" t="str">
        <f aca="false">IF($A191="","",SUMIFS('سجل المراجعات'!$M$5:$M$1504,'سجل المراجعات'!$A$5:$A$1504,$A191))</f>
        <v/>
      </c>
      <c r="R191" s="26" t="str">
        <f aca="false">IF(OR($A191="",NOT(ISNUMBER(E191))),"",MAX(0,NETWORKDAYS.INTL(E191,IF(J191&gt;0,J191,تاريخ_الاحتساب),رمز_العطلة,أيام_الأجازات)-1))</f>
        <v/>
      </c>
      <c r="S191" s="22"/>
    </row>
    <row r="192" customFormat="false" ht="15" hidden="false" customHeight="false" outlineLevel="0" collapsed="false">
      <c r="A192" s="20"/>
      <c r="B192" s="20"/>
      <c r="C192" s="30" t="str">
        <f aca="false">IF($A192="","",IFERROR(INDEX(بند_الاسم,MATCH($B192,قائمة_البنود,0)),"⚠ بند غير موجود"))</f>
        <v/>
      </c>
      <c r="D192" s="22"/>
      <c r="E192" s="31"/>
      <c r="F192" s="21"/>
      <c r="G192" s="32"/>
      <c r="H192" s="25" t="str">
        <f aca="false">IF($A192="","",IFERROR(INDEX(بند_سعر_الوحدة,MATCH($B192,قائمة_البنود,0)),0))</f>
        <v/>
      </c>
      <c r="I192" s="25" t="str">
        <f aca="false">IF($A192="","",H192*(1+نسبة_الضريبة))</f>
        <v/>
      </c>
      <c r="J192" s="33" t="str">
        <f aca="false">IF($A192="","",_xlfn.MINIFS('سجل المراجعات'!$E$5:$E$1504,'سجل المراجعات'!$A$5:$A$1504,$A192,'سجل المراجعات'!$D$5:$D$1504,"تسليم"))</f>
        <v/>
      </c>
      <c r="K192" s="33" t="str">
        <f aca="false">IF($A192="","",_xlfn.MAXIFS('سجل المراجعات'!$E$5:$E$1504,'سجل المراجعات'!$A$5:$A$1504,$A192,'سجل المراجعات'!$D$5:$D$1504,"تسليم"))</f>
        <v/>
      </c>
      <c r="L192" s="33" t="str">
        <f aca="false">IF($A192="","",_xlfn.MAXIFS('سجل المراجعات'!$E$5:$E$1504,'سجل المراجعات'!$A$5:$A$1504,$A192,'سجل المراجعات'!$D$5:$D$1504,"رد بملاحظات"))</f>
        <v/>
      </c>
      <c r="M192" s="33" t="str">
        <f aca="false">IF($A192="","",_xlfn.MAXIFS('سجل المراجعات'!$E$5:$E$1504,'سجل المراجعات'!$A$5:$A$1504,$A192,'سجل المراجعات'!$D$5:$D$1504,"قبول"))</f>
        <v/>
      </c>
      <c r="N192" s="26" t="str">
        <f aca="false">IF($A192="","",COUNTIFS('سجل المراجعات'!$A$5:$A$1504,$A192,'سجل المراجعات'!$D$5:$D$1504,"تسليم"))</f>
        <v/>
      </c>
      <c r="O192" s="34" t="str">
        <f aca="false">IF($A192="","",IF(M192&gt;0,"تم القبول",IF(F192="معلق","معلق",IF(AND(L192&gt;0,L192&gt;=K192),"مُعاد بملاحظات",IF(K192&gt;0,"في انتظار القبول",IF(AND(ISNUMBER(E192),E192&lt;تاريخ_الاحتساب),"متأخر",IF(F192="","لم يبدأ",F192)))))))</f>
        <v/>
      </c>
      <c r="P192" s="26" t="str">
        <f aca="false">IF($A192="","",SUMIFS('سجل المراجعات'!$L$5:$L$1504,'سجل المراجعات'!$A$5:$A$1504,$A192))</f>
        <v/>
      </c>
      <c r="Q192" s="26" t="str">
        <f aca="false">IF($A192="","",SUMIFS('سجل المراجعات'!$M$5:$M$1504,'سجل المراجعات'!$A$5:$A$1504,$A192))</f>
        <v/>
      </c>
      <c r="R192" s="26" t="str">
        <f aca="false">IF(OR($A192="",NOT(ISNUMBER(E192))),"",MAX(0,NETWORKDAYS.INTL(E192,IF(J192&gt;0,J192,تاريخ_الاحتساب),رمز_العطلة,أيام_الأجازات)-1))</f>
        <v/>
      </c>
      <c r="S192" s="22"/>
    </row>
    <row r="193" customFormat="false" ht="15" hidden="false" customHeight="false" outlineLevel="0" collapsed="false">
      <c r="A193" s="20"/>
      <c r="B193" s="20"/>
      <c r="C193" s="30" t="str">
        <f aca="false">IF($A193="","",IFERROR(INDEX(بند_الاسم,MATCH($B193,قائمة_البنود,0)),"⚠ بند غير موجود"))</f>
        <v/>
      </c>
      <c r="D193" s="22"/>
      <c r="E193" s="31"/>
      <c r="F193" s="21"/>
      <c r="G193" s="32"/>
      <c r="H193" s="25" t="str">
        <f aca="false">IF($A193="","",IFERROR(INDEX(بند_سعر_الوحدة,MATCH($B193,قائمة_البنود,0)),0))</f>
        <v/>
      </c>
      <c r="I193" s="25" t="str">
        <f aca="false">IF($A193="","",H193*(1+نسبة_الضريبة))</f>
        <v/>
      </c>
      <c r="J193" s="33" t="str">
        <f aca="false">IF($A193="","",_xlfn.MINIFS('سجل المراجعات'!$E$5:$E$1504,'سجل المراجعات'!$A$5:$A$1504,$A193,'سجل المراجعات'!$D$5:$D$1504,"تسليم"))</f>
        <v/>
      </c>
      <c r="K193" s="33" t="str">
        <f aca="false">IF($A193="","",_xlfn.MAXIFS('سجل المراجعات'!$E$5:$E$1504,'سجل المراجعات'!$A$5:$A$1504,$A193,'سجل المراجعات'!$D$5:$D$1504,"تسليم"))</f>
        <v/>
      </c>
      <c r="L193" s="33" t="str">
        <f aca="false">IF($A193="","",_xlfn.MAXIFS('سجل المراجعات'!$E$5:$E$1504,'سجل المراجعات'!$A$5:$A$1504,$A193,'سجل المراجعات'!$D$5:$D$1504,"رد بملاحظات"))</f>
        <v/>
      </c>
      <c r="M193" s="33" t="str">
        <f aca="false">IF($A193="","",_xlfn.MAXIFS('سجل المراجعات'!$E$5:$E$1504,'سجل المراجعات'!$A$5:$A$1504,$A193,'سجل المراجعات'!$D$5:$D$1504,"قبول"))</f>
        <v/>
      </c>
      <c r="N193" s="26" t="str">
        <f aca="false">IF($A193="","",COUNTIFS('سجل المراجعات'!$A$5:$A$1504,$A193,'سجل المراجعات'!$D$5:$D$1504,"تسليم"))</f>
        <v/>
      </c>
      <c r="O193" s="34" t="str">
        <f aca="false">IF($A193="","",IF(M193&gt;0,"تم القبول",IF(F193="معلق","معلق",IF(AND(L193&gt;0,L193&gt;=K193),"مُعاد بملاحظات",IF(K193&gt;0,"في انتظار القبول",IF(AND(ISNUMBER(E193),E193&lt;تاريخ_الاحتساب),"متأخر",IF(F193="","لم يبدأ",F193)))))))</f>
        <v/>
      </c>
      <c r="P193" s="26" t="str">
        <f aca="false">IF($A193="","",SUMIFS('سجل المراجعات'!$L$5:$L$1504,'سجل المراجعات'!$A$5:$A$1504,$A193))</f>
        <v/>
      </c>
      <c r="Q193" s="26" t="str">
        <f aca="false">IF($A193="","",SUMIFS('سجل المراجعات'!$M$5:$M$1504,'سجل المراجعات'!$A$5:$A$1504,$A193))</f>
        <v/>
      </c>
      <c r="R193" s="26" t="str">
        <f aca="false">IF(OR($A193="",NOT(ISNUMBER(E193))),"",MAX(0,NETWORKDAYS.INTL(E193,IF(J193&gt;0,J193,تاريخ_الاحتساب),رمز_العطلة,أيام_الأجازات)-1))</f>
        <v/>
      </c>
      <c r="S193" s="22"/>
    </row>
    <row r="194" customFormat="false" ht="15" hidden="false" customHeight="false" outlineLevel="0" collapsed="false">
      <c r="A194" s="20"/>
      <c r="B194" s="20"/>
      <c r="C194" s="30" t="str">
        <f aca="false">IF($A194="","",IFERROR(INDEX(بند_الاسم,MATCH($B194,قائمة_البنود,0)),"⚠ بند غير موجود"))</f>
        <v/>
      </c>
      <c r="D194" s="22"/>
      <c r="E194" s="31"/>
      <c r="F194" s="21"/>
      <c r="G194" s="32"/>
      <c r="H194" s="25" t="str">
        <f aca="false">IF($A194="","",IFERROR(INDEX(بند_سعر_الوحدة,MATCH($B194,قائمة_البنود,0)),0))</f>
        <v/>
      </c>
      <c r="I194" s="25" t="str">
        <f aca="false">IF($A194="","",H194*(1+نسبة_الضريبة))</f>
        <v/>
      </c>
      <c r="J194" s="33" t="str">
        <f aca="false">IF($A194="","",_xlfn.MINIFS('سجل المراجعات'!$E$5:$E$1504,'سجل المراجعات'!$A$5:$A$1504,$A194,'سجل المراجعات'!$D$5:$D$1504,"تسليم"))</f>
        <v/>
      </c>
      <c r="K194" s="33" t="str">
        <f aca="false">IF($A194="","",_xlfn.MAXIFS('سجل المراجعات'!$E$5:$E$1504,'سجل المراجعات'!$A$5:$A$1504,$A194,'سجل المراجعات'!$D$5:$D$1504,"تسليم"))</f>
        <v/>
      </c>
      <c r="L194" s="33" t="str">
        <f aca="false">IF($A194="","",_xlfn.MAXIFS('سجل المراجعات'!$E$5:$E$1504,'سجل المراجعات'!$A$5:$A$1504,$A194,'سجل المراجعات'!$D$5:$D$1504,"رد بملاحظات"))</f>
        <v/>
      </c>
      <c r="M194" s="33" t="str">
        <f aca="false">IF($A194="","",_xlfn.MAXIFS('سجل المراجعات'!$E$5:$E$1504,'سجل المراجعات'!$A$5:$A$1504,$A194,'سجل المراجعات'!$D$5:$D$1504,"قبول"))</f>
        <v/>
      </c>
      <c r="N194" s="26" t="str">
        <f aca="false">IF($A194="","",COUNTIFS('سجل المراجعات'!$A$5:$A$1504,$A194,'سجل المراجعات'!$D$5:$D$1504,"تسليم"))</f>
        <v/>
      </c>
      <c r="O194" s="34" t="str">
        <f aca="false">IF($A194="","",IF(M194&gt;0,"تم القبول",IF(F194="معلق","معلق",IF(AND(L194&gt;0,L194&gt;=K194),"مُعاد بملاحظات",IF(K194&gt;0,"في انتظار القبول",IF(AND(ISNUMBER(E194),E194&lt;تاريخ_الاحتساب),"متأخر",IF(F194="","لم يبدأ",F194)))))))</f>
        <v/>
      </c>
      <c r="P194" s="26" t="str">
        <f aca="false">IF($A194="","",SUMIFS('سجل المراجعات'!$L$5:$L$1504,'سجل المراجعات'!$A$5:$A$1504,$A194))</f>
        <v/>
      </c>
      <c r="Q194" s="26" t="str">
        <f aca="false">IF($A194="","",SUMIFS('سجل المراجعات'!$M$5:$M$1504,'سجل المراجعات'!$A$5:$A$1504,$A194))</f>
        <v/>
      </c>
      <c r="R194" s="26" t="str">
        <f aca="false">IF(OR($A194="",NOT(ISNUMBER(E194))),"",MAX(0,NETWORKDAYS.INTL(E194,IF(J194&gt;0,J194,تاريخ_الاحتساب),رمز_العطلة,أيام_الأجازات)-1))</f>
        <v/>
      </c>
      <c r="S194" s="22"/>
    </row>
    <row r="195" customFormat="false" ht="15" hidden="false" customHeight="false" outlineLevel="0" collapsed="false">
      <c r="A195" s="20"/>
      <c r="B195" s="20"/>
      <c r="C195" s="30" t="str">
        <f aca="false">IF($A195="","",IFERROR(INDEX(بند_الاسم,MATCH($B195,قائمة_البنود,0)),"⚠ بند غير موجود"))</f>
        <v/>
      </c>
      <c r="D195" s="22"/>
      <c r="E195" s="31"/>
      <c r="F195" s="21"/>
      <c r="G195" s="32"/>
      <c r="H195" s="25" t="str">
        <f aca="false">IF($A195="","",IFERROR(INDEX(بند_سعر_الوحدة,MATCH($B195,قائمة_البنود,0)),0))</f>
        <v/>
      </c>
      <c r="I195" s="25" t="str">
        <f aca="false">IF($A195="","",H195*(1+نسبة_الضريبة))</f>
        <v/>
      </c>
      <c r="J195" s="33" t="str">
        <f aca="false">IF($A195="","",_xlfn.MINIFS('سجل المراجعات'!$E$5:$E$1504,'سجل المراجعات'!$A$5:$A$1504,$A195,'سجل المراجعات'!$D$5:$D$1504,"تسليم"))</f>
        <v/>
      </c>
      <c r="K195" s="33" t="str">
        <f aca="false">IF($A195="","",_xlfn.MAXIFS('سجل المراجعات'!$E$5:$E$1504,'سجل المراجعات'!$A$5:$A$1504,$A195,'سجل المراجعات'!$D$5:$D$1504,"تسليم"))</f>
        <v/>
      </c>
      <c r="L195" s="33" t="str">
        <f aca="false">IF($A195="","",_xlfn.MAXIFS('سجل المراجعات'!$E$5:$E$1504,'سجل المراجعات'!$A$5:$A$1504,$A195,'سجل المراجعات'!$D$5:$D$1504,"رد بملاحظات"))</f>
        <v/>
      </c>
      <c r="M195" s="33" t="str">
        <f aca="false">IF($A195="","",_xlfn.MAXIFS('سجل المراجعات'!$E$5:$E$1504,'سجل المراجعات'!$A$5:$A$1504,$A195,'سجل المراجعات'!$D$5:$D$1504,"قبول"))</f>
        <v/>
      </c>
      <c r="N195" s="26" t="str">
        <f aca="false">IF($A195="","",COUNTIFS('سجل المراجعات'!$A$5:$A$1504,$A195,'سجل المراجعات'!$D$5:$D$1504,"تسليم"))</f>
        <v/>
      </c>
      <c r="O195" s="34" t="str">
        <f aca="false">IF($A195="","",IF(M195&gt;0,"تم القبول",IF(F195="معلق","معلق",IF(AND(L195&gt;0,L195&gt;=K195),"مُعاد بملاحظات",IF(K195&gt;0,"في انتظار القبول",IF(AND(ISNUMBER(E195),E195&lt;تاريخ_الاحتساب),"متأخر",IF(F195="","لم يبدأ",F195)))))))</f>
        <v/>
      </c>
      <c r="P195" s="26" t="str">
        <f aca="false">IF($A195="","",SUMIFS('سجل المراجعات'!$L$5:$L$1504,'سجل المراجعات'!$A$5:$A$1504,$A195))</f>
        <v/>
      </c>
      <c r="Q195" s="26" t="str">
        <f aca="false">IF($A195="","",SUMIFS('سجل المراجعات'!$M$5:$M$1504,'سجل المراجعات'!$A$5:$A$1504,$A195))</f>
        <v/>
      </c>
      <c r="R195" s="26" t="str">
        <f aca="false">IF(OR($A195="",NOT(ISNUMBER(E195))),"",MAX(0,NETWORKDAYS.INTL(E195,IF(J195&gt;0,J195,تاريخ_الاحتساب),رمز_العطلة,أيام_الأجازات)-1))</f>
        <v/>
      </c>
      <c r="S195" s="22"/>
    </row>
    <row r="196" customFormat="false" ht="15" hidden="false" customHeight="false" outlineLevel="0" collapsed="false">
      <c r="A196" s="20"/>
      <c r="B196" s="20"/>
      <c r="C196" s="30" t="str">
        <f aca="false">IF($A196="","",IFERROR(INDEX(بند_الاسم,MATCH($B196,قائمة_البنود,0)),"⚠ بند غير موجود"))</f>
        <v/>
      </c>
      <c r="D196" s="22"/>
      <c r="E196" s="31"/>
      <c r="F196" s="21"/>
      <c r="G196" s="32"/>
      <c r="H196" s="25" t="str">
        <f aca="false">IF($A196="","",IFERROR(INDEX(بند_سعر_الوحدة,MATCH($B196,قائمة_البنود,0)),0))</f>
        <v/>
      </c>
      <c r="I196" s="25" t="str">
        <f aca="false">IF($A196="","",H196*(1+نسبة_الضريبة))</f>
        <v/>
      </c>
      <c r="J196" s="33" t="str">
        <f aca="false">IF($A196="","",_xlfn.MINIFS('سجل المراجعات'!$E$5:$E$1504,'سجل المراجعات'!$A$5:$A$1504,$A196,'سجل المراجعات'!$D$5:$D$1504,"تسليم"))</f>
        <v/>
      </c>
      <c r="K196" s="33" t="str">
        <f aca="false">IF($A196="","",_xlfn.MAXIFS('سجل المراجعات'!$E$5:$E$1504,'سجل المراجعات'!$A$5:$A$1504,$A196,'سجل المراجعات'!$D$5:$D$1504,"تسليم"))</f>
        <v/>
      </c>
      <c r="L196" s="33" t="str">
        <f aca="false">IF($A196="","",_xlfn.MAXIFS('سجل المراجعات'!$E$5:$E$1504,'سجل المراجعات'!$A$5:$A$1504,$A196,'سجل المراجعات'!$D$5:$D$1504,"رد بملاحظات"))</f>
        <v/>
      </c>
      <c r="M196" s="33" t="str">
        <f aca="false">IF($A196="","",_xlfn.MAXIFS('سجل المراجعات'!$E$5:$E$1504,'سجل المراجعات'!$A$5:$A$1504,$A196,'سجل المراجعات'!$D$5:$D$1504,"قبول"))</f>
        <v/>
      </c>
      <c r="N196" s="26" t="str">
        <f aca="false">IF($A196="","",COUNTIFS('سجل المراجعات'!$A$5:$A$1504,$A196,'سجل المراجعات'!$D$5:$D$1504,"تسليم"))</f>
        <v/>
      </c>
      <c r="O196" s="34" t="str">
        <f aca="false">IF($A196="","",IF(M196&gt;0,"تم القبول",IF(F196="معلق","معلق",IF(AND(L196&gt;0,L196&gt;=K196),"مُعاد بملاحظات",IF(K196&gt;0,"في انتظار القبول",IF(AND(ISNUMBER(E196),E196&lt;تاريخ_الاحتساب),"متأخر",IF(F196="","لم يبدأ",F196)))))))</f>
        <v/>
      </c>
      <c r="P196" s="26" t="str">
        <f aca="false">IF($A196="","",SUMIFS('سجل المراجعات'!$L$5:$L$1504,'سجل المراجعات'!$A$5:$A$1504,$A196))</f>
        <v/>
      </c>
      <c r="Q196" s="26" t="str">
        <f aca="false">IF($A196="","",SUMIFS('سجل المراجعات'!$M$5:$M$1504,'سجل المراجعات'!$A$5:$A$1504,$A196))</f>
        <v/>
      </c>
      <c r="R196" s="26" t="str">
        <f aca="false">IF(OR($A196="",NOT(ISNUMBER(E196))),"",MAX(0,NETWORKDAYS.INTL(E196,IF(J196&gt;0,J196,تاريخ_الاحتساب),رمز_العطلة,أيام_الأجازات)-1))</f>
        <v/>
      </c>
      <c r="S196" s="22"/>
    </row>
    <row r="197" customFormat="false" ht="15" hidden="false" customHeight="false" outlineLevel="0" collapsed="false">
      <c r="A197" s="20"/>
      <c r="B197" s="20"/>
      <c r="C197" s="30" t="str">
        <f aca="false">IF($A197="","",IFERROR(INDEX(بند_الاسم,MATCH($B197,قائمة_البنود,0)),"⚠ بند غير موجود"))</f>
        <v/>
      </c>
      <c r="D197" s="22"/>
      <c r="E197" s="31"/>
      <c r="F197" s="21"/>
      <c r="G197" s="32"/>
      <c r="H197" s="25" t="str">
        <f aca="false">IF($A197="","",IFERROR(INDEX(بند_سعر_الوحدة,MATCH($B197,قائمة_البنود,0)),0))</f>
        <v/>
      </c>
      <c r="I197" s="25" t="str">
        <f aca="false">IF($A197="","",H197*(1+نسبة_الضريبة))</f>
        <v/>
      </c>
      <c r="J197" s="33" t="str">
        <f aca="false">IF($A197="","",_xlfn.MINIFS('سجل المراجعات'!$E$5:$E$1504,'سجل المراجعات'!$A$5:$A$1504,$A197,'سجل المراجعات'!$D$5:$D$1504,"تسليم"))</f>
        <v/>
      </c>
      <c r="K197" s="33" t="str">
        <f aca="false">IF($A197="","",_xlfn.MAXIFS('سجل المراجعات'!$E$5:$E$1504,'سجل المراجعات'!$A$5:$A$1504,$A197,'سجل المراجعات'!$D$5:$D$1504,"تسليم"))</f>
        <v/>
      </c>
      <c r="L197" s="33" t="str">
        <f aca="false">IF($A197="","",_xlfn.MAXIFS('سجل المراجعات'!$E$5:$E$1504,'سجل المراجعات'!$A$5:$A$1504,$A197,'سجل المراجعات'!$D$5:$D$1504,"رد بملاحظات"))</f>
        <v/>
      </c>
      <c r="M197" s="33" t="str">
        <f aca="false">IF($A197="","",_xlfn.MAXIFS('سجل المراجعات'!$E$5:$E$1504,'سجل المراجعات'!$A$5:$A$1504,$A197,'سجل المراجعات'!$D$5:$D$1504,"قبول"))</f>
        <v/>
      </c>
      <c r="N197" s="26" t="str">
        <f aca="false">IF($A197="","",COUNTIFS('سجل المراجعات'!$A$5:$A$1504,$A197,'سجل المراجعات'!$D$5:$D$1504,"تسليم"))</f>
        <v/>
      </c>
      <c r="O197" s="34" t="str">
        <f aca="false">IF($A197="","",IF(M197&gt;0,"تم القبول",IF(F197="معلق","معلق",IF(AND(L197&gt;0,L197&gt;=K197),"مُعاد بملاحظات",IF(K197&gt;0,"في انتظار القبول",IF(AND(ISNUMBER(E197),E197&lt;تاريخ_الاحتساب),"متأخر",IF(F197="","لم يبدأ",F197)))))))</f>
        <v/>
      </c>
      <c r="P197" s="26" t="str">
        <f aca="false">IF($A197="","",SUMIFS('سجل المراجعات'!$L$5:$L$1504,'سجل المراجعات'!$A$5:$A$1504,$A197))</f>
        <v/>
      </c>
      <c r="Q197" s="26" t="str">
        <f aca="false">IF($A197="","",SUMIFS('سجل المراجعات'!$M$5:$M$1504,'سجل المراجعات'!$A$5:$A$1504,$A197))</f>
        <v/>
      </c>
      <c r="R197" s="26" t="str">
        <f aca="false">IF(OR($A197="",NOT(ISNUMBER(E197))),"",MAX(0,NETWORKDAYS.INTL(E197,IF(J197&gt;0,J197,تاريخ_الاحتساب),رمز_العطلة,أيام_الأجازات)-1))</f>
        <v/>
      </c>
      <c r="S197" s="22"/>
    </row>
    <row r="198" customFormat="false" ht="15" hidden="false" customHeight="false" outlineLevel="0" collapsed="false">
      <c r="A198" s="20"/>
      <c r="B198" s="20"/>
      <c r="C198" s="30" t="str">
        <f aca="false">IF($A198="","",IFERROR(INDEX(بند_الاسم,MATCH($B198,قائمة_البنود,0)),"⚠ بند غير موجود"))</f>
        <v/>
      </c>
      <c r="D198" s="22"/>
      <c r="E198" s="31"/>
      <c r="F198" s="21"/>
      <c r="G198" s="32"/>
      <c r="H198" s="25" t="str">
        <f aca="false">IF($A198="","",IFERROR(INDEX(بند_سعر_الوحدة,MATCH($B198,قائمة_البنود,0)),0))</f>
        <v/>
      </c>
      <c r="I198" s="25" t="str">
        <f aca="false">IF($A198="","",H198*(1+نسبة_الضريبة))</f>
        <v/>
      </c>
      <c r="J198" s="33" t="str">
        <f aca="false">IF($A198="","",_xlfn.MINIFS('سجل المراجعات'!$E$5:$E$1504,'سجل المراجعات'!$A$5:$A$1504,$A198,'سجل المراجعات'!$D$5:$D$1504,"تسليم"))</f>
        <v/>
      </c>
      <c r="K198" s="33" t="str">
        <f aca="false">IF($A198="","",_xlfn.MAXIFS('سجل المراجعات'!$E$5:$E$1504,'سجل المراجعات'!$A$5:$A$1504,$A198,'سجل المراجعات'!$D$5:$D$1504,"تسليم"))</f>
        <v/>
      </c>
      <c r="L198" s="33" t="str">
        <f aca="false">IF($A198="","",_xlfn.MAXIFS('سجل المراجعات'!$E$5:$E$1504,'سجل المراجعات'!$A$5:$A$1504,$A198,'سجل المراجعات'!$D$5:$D$1504,"رد بملاحظات"))</f>
        <v/>
      </c>
      <c r="M198" s="33" t="str">
        <f aca="false">IF($A198="","",_xlfn.MAXIFS('سجل المراجعات'!$E$5:$E$1504,'سجل المراجعات'!$A$5:$A$1504,$A198,'سجل المراجعات'!$D$5:$D$1504,"قبول"))</f>
        <v/>
      </c>
      <c r="N198" s="26" t="str">
        <f aca="false">IF($A198="","",COUNTIFS('سجل المراجعات'!$A$5:$A$1504,$A198,'سجل المراجعات'!$D$5:$D$1504,"تسليم"))</f>
        <v/>
      </c>
      <c r="O198" s="34" t="str">
        <f aca="false">IF($A198="","",IF(M198&gt;0,"تم القبول",IF(F198="معلق","معلق",IF(AND(L198&gt;0,L198&gt;=K198),"مُعاد بملاحظات",IF(K198&gt;0,"في انتظار القبول",IF(AND(ISNUMBER(E198),E198&lt;تاريخ_الاحتساب),"متأخر",IF(F198="","لم يبدأ",F198)))))))</f>
        <v/>
      </c>
      <c r="P198" s="26" t="str">
        <f aca="false">IF($A198="","",SUMIFS('سجل المراجعات'!$L$5:$L$1504,'سجل المراجعات'!$A$5:$A$1504,$A198))</f>
        <v/>
      </c>
      <c r="Q198" s="26" t="str">
        <f aca="false">IF($A198="","",SUMIFS('سجل المراجعات'!$M$5:$M$1504,'سجل المراجعات'!$A$5:$A$1504,$A198))</f>
        <v/>
      </c>
      <c r="R198" s="26" t="str">
        <f aca="false">IF(OR($A198="",NOT(ISNUMBER(E198))),"",MAX(0,NETWORKDAYS.INTL(E198,IF(J198&gt;0,J198,تاريخ_الاحتساب),رمز_العطلة,أيام_الأجازات)-1))</f>
        <v/>
      </c>
      <c r="S198" s="22"/>
    </row>
    <row r="199" customFormat="false" ht="15" hidden="false" customHeight="false" outlineLevel="0" collapsed="false">
      <c r="A199" s="20"/>
      <c r="B199" s="20"/>
      <c r="C199" s="30" t="str">
        <f aca="false">IF($A199="","",IFERROR(INDEX(بند_الاسم,MATCH($B199,قائمة_البنود,0)),"⚠ بند غير موجود"))</f>
        <v/>
      </c>
      <c r="D199" s="22"/>
      <c r="E199" s="31"/>
      <c r="F199" s="21"/>
      <c r="G199" s="32"/>
      <c r="H199" s="25" t="str">
        <f aca="false">IF($A199="","",IFERROR(INDEX(بند_سعر_الوحدة,MATCH($B199,قائمة_البنود,0)),0))</f>
        <v/>
      </c>
      <c r="I199" s="25" t="str">
        <f aca="false">IF($A199="","",H199*(1+نسبة_الضريبة))</f>
        <v/>
      </c>
      <c r="J199" s="33" t="str">
        <f aca="false">IF($A199="","",_xlfn.MINIFS('سجل المراجعات'!$E$5:$E$1504,'سجل المراجعات'!$A$5:$A$1504,$A199,'سجل المراجعات'!$D$5:$D$1504,"تسليم"))</f>
        <v/>
      </c>
      <c r="K199" s="33" t="str">
        <f aca="false">IF($A199="","",_xlfn.MAXIFS('سجل المراجعات'!$E$5:$E$1504,'سجل المراجعات'!$A$5:$A$1504,$A199,'سجل المراجعات'!$D$5:$D$1504,"تسليم"))</f>
        <v/>
      </c>
      <c r="L199" s="33" t="str">
        <f aca="false">IF($A199="","",_xlfn.MAXIFS('سجل المراجعات'!$E$5:$E$1504,'سجل المراجعات'!$A$5:$A$1504,$A199,'سجل المراجعات'!$D$5:$D$1504,"رد بملاحظات"))</f>
        <v/>
      </c>
      <c r="M199" s="33" t="str">
        <f aca="false">IF($A199="","",_xlfn.MAXIFS('سجل المراجعات'!$E$5:$E$1504,'سجل المراجعات'!$A$5:$A$1504,$A199,'سجل المراجعات'!$D$5:$D$1504,"قبول"))</f>
        <v/>
      </c>
      <c r="N199" s="26" t="str">
        <f aca="false">IF($A199="","",COUNTIFS('سجل المراجعات'!$A$5:$A$1504,$A199,'سجل المراجعات'!$D$5:$D$1504,"تسليم"))</f>
        <v/>
      </c>
      <c r="O199" s="34" t="str">
        <f aca="false">IF($A199="","",IF(M199&gt;0,"تم القبول",IF(F199="معلق","معلق",IF(AND(L199&gt;0,L199&gt;=K199),"مُعاد بملاحظات",IF(K199&gt;0,"في انتظار القبول",IF(AND(ISNUMBER(E199),E199&lt;تاريخ_الاحتساب),"متأخر",IF(F199="","لم يبدأ",F199)))))))</f>
        <v/>
      </c>
      <c r="P199" s="26" t="str">
        <f aca="false">IF($A199="","",SUMIFS('سجل المراجعات'!$L$5:$L$1504,'سجل المراجعات'!$A$5:$A$1504,$A199))</f>
        <v/>
      </c>
      <c r="Q199" s="26" t="str">
        <f aca="false">IF($A199="","",SUMIFS('سجل المراجعات'!$M$5:$M$1504,'سجل المراجعات'!$A$5:$A$1504,$A199))</f>
        <v/>
      </c>
      <c r="R199" s="26" t="str">
        <f aca="false">IF(OR($A199="",NOT(ISNUMBER(E199))),"",MAX(0,NETWORKDAYS.INTL(E199,IF(J199&gt;0,J199,تاريخ_الاحتساب),رمز_العطلة,أيام_الأجازات)-1))</f>
        <v/>
      </c>
      <c r="S199" s="22"/>
    </row>
    <row r="200" customFormat="false" ht="15" hidden="false" customHeight="false" outlineLevel="0" collapsed="false">
      <c r="A200" s="20"/>
      <c r="B200" s="20"/>
      <c r="C200" s="30" t="str">
        <f aca="false">IF($A200="","",IFERROR(INDEX(بند_الاسم,MATCH($B200,قائمة_البنود,0)),"⚠ بند غير موجود"))</f>
        <v/>
      </c>
      <c r="D200" s="22"/>
      <c r="E200" s="31"/>
      <c r="F200" s="21"/>
      <c r="G200" s="32"/>
      <c r="H200" s="25" t="str">
        <f aca="false">IF($A200="","",IFERROR(INDEX(بند_سعر_الوحدة,MATCH($B200,قائمة_البنود,0)),0))</f>
        <v/>
      </c>
      <c r="I200" s="25" t="str">
        <f aca="false">IF($A200="","",H200*(1+نسبة_الضريبة))</f>
        <v/>
      </c>
      <c r="J200" s="33" t="str">
        <f aca="false">IF($A200="","",_xlfn.MINIFS('سجل المراجعات'!$E$5:$E$1504,'سجل المراجعات'!$A$5:$A$1504,$A200,'سجل المراجعات'!$D$5:$D$1504,"تسليم"))</f>
        <v/>
      </c>
      <c r="K200" s="33" t="str">
        <f aca="false">IF($A200="","",_xlfn.MAXIFS('سجل المراجعات'!$E$5:$E$1504,'سجل المراجعات'!$A$5:$A$1504,$A200,'سجل المراجعات'!$D$5:$D$1504,"تسليم"))</f>
        <v/>
      </c>
      <c r="L200" s="33" t="str">
        <f aca="false">IF($A200="","",_xlfn.MAXIFS('سجل المراجعات'!$E$5:$E$1504,'سجل المراجعات'!$A$5:$A$1504,$A200,'سجل المراجعات'!$D$5:$D$1504,"رد بملاحظات"))</f>
        <v/>
      </c>
      <c r="M200" s="33" t="str">
        <f aca="false">IF($A200="","",_xlfn.MAXIFS('سجل المراجعات'!$E$5:$E$1504,'سجل المراجعات'!$A$5:$A$1504,$A200,'سجل المراجعات'!$D$5:$D$1504,"قبول"))</f>
        <v/>
      </c>
      <c r="N200" s="26" t="str">
        <f aca="false">IF($A200="","",COUNTIFS('سجل المراجعات'!$A$5:$A$1504,$A200,'سجل المراجعات'!$D$5:$D$1504,"تسليم"))</f>
        <v/>
      </c>
      <c r="O200" s="34" t="str">
        <f aca="false">IF($A200="","",IF(M200&gt;0,"تم القبول",IF(F200="معلق","معلق",IF(AND(L200&gt;0,L200&gt;=K200),"مُعاد بملاحظات",IF(K200&gt;0,"في انتظار القبول",IF(AND(ISNUMBER(E200),E200&lt;تاريخ_الاحتساب),"متأخر",IF(F200="","لم يبدأ",F200)))))))</f>
        <v/>
      </c>
      <c r="P200" s="26" t="str">
        <f aca="false">IF($A200="","",SUMIFS('سجل المراجعات'!$L$5:$L$1504,'سجل المراجعات'!$A$5:$A$1504,$A200))</f>
        <v/>
      </c>
      <c r="Q200" s="26" t="str">
        <f aca="false">IF($A200="","",SUMIFS('سجل المراجعات'!$M$5:$M$1504,'سجل المراجعات'!$A$5:$A$1504,$A200))</f>
        <v/>
      </c>
      <c r="R200" s="26" t="str">
        <f aca="false">IF(OR($A200="",NOT(ISNUMBER(E200))),"",MAX(0,NETWORKDAYS.INTL(E200,IF(J200&gt;0,J200,تاريخ_الاحتساب),رمز_العطلة,أيام_الأجازات)-1))</f>
        <v/>
      </c>
      <c r="S200" s="22"/>
    </row>
    <row r="201" customFormat="false" ht="15" hidden="false" customHeight="false" outlineLevel="0" collapsed="false">
      <c r="A201" s="20"/>
      <c r="B201" s="20"/>
      <c r="C201" s="30" t="str">
        <f aca="false">IF($A201="","",IFERROR(INDEX(بند_الاسم,MATCH($B201,قائمة_البنود,0)),"⚠ بند غير موجود"))</f>
        <v/>
      </c>
      <c r="D201" s="22"/>
      <c r="E201" s="31"/>
      <c r="F201" s="21"/>
      <c r="G201" s="32"/>
      <c r="H201" s="25" t="str">
        <f aca="false">IF($A201="","",IFERROR(INDEX(بند_سعر_الوحدة,MATCH($B201,قائمة_البنود,0)),0))</f>
        <v/>
      </c>
      <c r="I201" s="25" t="str">
        <f aca="false">IF($A201="","",H201*(1+نسبة_الضريبة))</f>
        <v/>
      </c>
      <c r="J201" s="33" t="str">
        <f aca="false">IF($A201="","",_xlfn.MINIFS('سجل المراجعات'!$E$5:$E$1504,'سجل المراجعات'!$A$5:$A$1504,$A201,'سجل المراجعات'!$D$5:$D$1504,"تسليم"))</f>
        <v/>
      </c>
      <c r="K201" s="33" t="str">
        <f aca="false">IF($A201="","",_xlfn.MAXIFS('سجل المراجعات'!$E$5:$E$1504,'سجل المراجعات'!$A$5:$A$1504,$A201,'سجل المراجعات'!$D$5:$D$1504,"تسليم"))</f>
        <v/>
      </c>
      <c r="L201" s="33" t="str">
        <f aca="false">IF($A201="","",_xlfn.MAXIFS('سجل المراجعات'!$E$5:$E$1504,'سجل المراجعات'!$A$5:$A$1504,$A201,'سجل المراجعات'!$D$5:$D$1504,"رد بملاحظات"))</f>
        <v/>
      </c>
      <c r="M201" s="33" t="str">
        <f aca="false">IF($A201="","",_xlfn.MAXIFS('سجل المراجعات'!$E$5:$E$1504,'سجل المراجعات'!$A$5:$A$1504,$A201,'سجل المراجعات'!$D$5:$D$1504,"قبول"))</f>
        <v/>
      </c>
      <c r="N201" s="26" t="str">
        <f aca="false">IF($A201="","",COUNTIFS('سجل المراجعات'!$A$5:$A$1504,$A201,'سجل المراجعات'!$D$5:$D$1504,"تسليم"))</f>
        <v/>
      </c>
      <c r="O201" s="34" t="str">
        <f aca="false">IF($A201="","",IF(M201&gt;0,"تم القبول",IF(F201="معلق","معلق",IF(AND(L201&gt;0,L201&gt;=K201),"مُعاد بملاحظات",IF(K201&gt;0,"في انتظار القبول",IF(AND(ISNUMBER(E201),E201&lt;تاريخ_الاحتساب),"متأخر",IF(F201="","لم يبدأ",F201)))))))</f>
        <v/>
      </c>
      <c r="P201" s="26" t="str">
        <f aca="false">IF($A201="","",SUMIFS('سجل المراجعات'!$L$5:$L$1504,'سجل المراجعات'!$A$5:$A$1504,$A201))</f>
        <v/>
      </c>
      <c r="Q201" s="26" t="str">
        <f aca="false">IF($A201="","",SUMIFS('سجل المراجعات'!$M$5:$M$1504,'سجل المراجعات'!$A$5:$A$1504,$A201))</f>
        <v/>
      </c>
      <c r="R201" s="26" t="str">
        <f aca="false">IF(OR($A201="",NOT(ISNUMBER(E201))),"",MAX(0,NETWORKDAYS.INTL(E201,IF(J201&gt;0,J201,تاريخ_الاحتساب),رمز_العطلة,أيام_الأجازات)-1))</f>
        <v/>
      </c>
      <c r="S201" s="22"/>
    </row>
    <row r="202" customFormat="false" ht="15" hidden="false" customHeight="false" outlineLevel="0" collapsed="false">
      <c r="A202" s="20"/>
      <c r="B202" s="20"/>
      <c r="C202" s="30" t="str">
        <f aca="false">IF($A202="","",IFERROR(INDEX(بند_الاسم,MATCH($B202,قائمة_البنود,0)),"⚠ بند غير موجود"))</f>
        <v/>
      </c>
      <c r="D202" s="22"/>
      <c r="E202" s="31"/>
      <c r="F202" s="21"/>
      <c r="G202" s="32"/>
      <c r="H202" s="25" t="str">
        <f aca="false">IF($A202="","",IFERROR(INDEX(بند_سعر_الوحدة,MATCH($B202,قائمة_البنود,0)),0))</f>
        <v/>
      </c>
      <c r="I202" s="25" t="str">
        <f aca="false">IF($A202="","",H202*(1+نسبة_الضريبة))</f>
        <v/>
      </c>
      <c r="J202" s="33" t="str">
        <f aca="false">IF($A202="","",_xlfn.MINIFS('سجل المراجعات'!$E$5:$E$1504,'سجل المراجعات'!$A$5:$A$1504,$A202,'سجل المراجعات'!$D$5:$D$1504,"تسليم"))</f>
        <v/>
      </c>
      <c r="K202" s="33" t="str">
        <f aca="false">IF($A202="","",_xlfn.MAXIFS('سجل المراجعات'!$E$5:$E$1504,'سجل المراجعات'!$A$5:$A$1504,$A202,'سجل المراجعات'!$D$5:$D$1504,"تسليم"))</f>
        <v/>
      </c>
      <c r="L202" s="33" t="str">
        <f aca="false">IF($A202="","",_xlfn.MAXIFS('سجل المراجعات'!$E$5:$E$1504,'سجل المراجعات'!$A$5:$A$1504,$A202,'سجل المراجعات'!$D$5:$D$1504,"رد بملاحظات"))</f>
        <v/>
      </c>
      <c r="M202" s="33" t="str">
        <f aca="false">IF($A202="","",_xlfn.MAXIFS('سجل المراجعات'!$E$5:$E$1504,'سجل المراجعات'!$A$5:$A$1504,$A202,'سجل المراجعات'!$D$5:$D$1504,"قبول"))</f>
        <v/>
      </c>
      <c r="N202" s="26" t="str">
        <f aca="false">IF($A202="","",COUNTIFS('سجل المراجعات'!$A$5:$A$1504,$A202,'سجل المراجعات'!$D$5:$D$1504,"تسليم"))</f>
        <v/>
      </c>
      <c r="O202" s="34" t="str">
        <f aca="false">IF($A202="","",IF(M202&gt;0,"تم القبول",IF(F202="معلق","معلق",IF(AND(L202&gt;0,L202&gt;=K202),"مُعاد بملاحظات",IF(K202&gt;0,"في انتظار القبول",IF(AND(ISNUMBER(E202),E202&lt;تاريخ_الاحتساب),"متأخر",IF(F202="","لم يبدأ",F202)))))))</f>
        <v/>
      </c>
      <c r="P202" s="26" t="str">
        <f aca="false">IF($A202="","",SUMIFS('سجل المراجعات'!$L$5:$L$1504,'سجل المراجعات'!$A$5:$A$1504,$A202))</f>
        <v/>
      </c>
      <c r="Q202" s="26" t="str">
        <f aca="false">IF($A202="","",SUMIFS('سجل المراجعات'!$M$5:$M$1504,'سجل المراجعات'!$A$5:$A$1504,$A202))</f>
        <v/>
      </c>
      <c r="R202" s="26" t="str">
        <f aca="false">IF(OR($A202="",NOT(ISNUMBER(E202))),"",MAX(0,NETWORKDAYS.INTL(E202,IF(J202&gt;0,J202,تاريخ_الاحتساب),رمز_العطلة,أيام_الأجازات)-1))</f>
        <v/>
      </c>
      <c r="S202" s="22"/>
    </row>
    <row r="203" customFormat="false" ht="15" hidden="false" customHeight="false" outlineLevel="0" collapsed="false">
      <c r="A203" s="20"/>
      <c r="B203" s="20"/>
      <c r="C203" s="30" t="str">
        <f aca="false">IF($A203="","",IFERROR(INDEX(بند_الاسم,MATCH($B203,قائمة_البنود,0)),"⚠ بند غير موجود"))</f>
        <v/>
      </c>
      <c r="D203" s="22"/>
      <c r="E203" s="31"/>
      <c r="F203" s="21"/>
      <c r="G203" s="32"/>
      <c r="H203" s="25" t="str">
        <f aca="false">IF($A203="","",IFERROR(INDEX(بند_سعر_الوحدة,MATCH($B203,قائمة_البنود,0)),0))</f>
        <v/>
      </c>
      <c r="I203" s="25" t="str">
        <f aca="false">IF($A203="","",H203*(1+نسبة_الضريبة))</f>
        <v/>
      </c>
      <c r="J203" s="33" t="str">
        <f aca="false">IF($A203="","",_xlfn.MINIFS('سجل المراجعات'!$E$5:$E$1504,'سجل المراجعات'!$A$5:$A$1504,$A203,'سجل المراجعات'!$D$5:$D$1504,"تسليم"))</f>
        <v/>
      </c>
      <c r="K203" s="33" t="str">
        <f aca="false">IF($A203="","",_xlfn.MAXIFS('سجل المراجعات'!$E$5:$E$1504,'سجل المراجعات'!$A$5:$A$1504,$A203,'سجل المراجعات'!$D$5:$D$1504,"تسليم"))</f>
        <v/>
      </c>
      <c r="L203" s="33" t="str">
        <f aca="false">IF($A203="","",_xlfn.MAXIFS('سجل المراجعات'!$E$5:$E$1504,'سجل المراجعات'!$A$5:$A$1504,$A203,'سجل المراجعات'!$D$5:$D$1504,"رد بملاحظات"))</f>
        <v/>
      </c>
      <c r="M203" s="33" t="str">
        <f aca="false">IF($A203="","",_xlfn.MAXIFS('سجل المراجعات'!$E$5:$E$1504,'سجل المراجعات'!$A$5:$A$1504,$A203,'سجل المراجعات'!$D$5:$D$1504,"قبول"))</f>
        <v/>
      </c>
      <c r="N203" s="26" t="str">
        <f aca="false">IF($A203="","",COUNTIFS('سجل المراجعات'!$A$5:$A$1504,$A203,'سجل المراجعات'!$D$5:$D$1504,"تسليم"))</f>
        <v/>
      </c>
      <c r="O203" s="34" t="str">
        <f aca="false">IF($A203="","",IF(M203&gt;0,"تم القبول",IF(F203="معلق","معلق",IF(AND(L203&gt;0,L203&gt;=K203),"مُعاد بملاحظات",IF(K203&gt;0,"في انتظار القبول",IF(AND(ISNUMBER(E203),E203&lt;تاريخ_الاحتساب),"متأخر",IF(F203="","لم يبدأ",F203)))))))</f>
        <v/>
      </c>
      <c r="P203" s="26" t="str">
        <f aca="false">IF($A203="","",SUMIFS('سجل المراجعات'!$L$5:$L$1504,'سجل المراجعات'!$A$5:$A$1504,$A203))</f>
        <v/>
      </c>
      <c r="Q203" s="26" t="str">
        <f aca="false">IF($A203="","",SUMIFS('سجل المراجعات'!$M$5:$M$1504,'سجل المراجعات'!$A$5:$A$1504,$A203))</f>
        <v/>
      </c>
      <c r="R203" s="26" t="str">
        <f aca="false">IF(OR($A203="",NOT(ISNUMBER(E203))),"",MAX(0,NETWORKDAYS.INTL(E203,IF(J203&gt;0,J203,تاريخ_الاحتساب),رمز_العطلة,أيام_الأجازات)-1))</f>
        <v/>
      </c>
      <c r="S203" s="22"/>
    </row>
    <row r="204" customFormat="false" ht="15" hidden="false" customHeight="false" outlineLevel="0" collapsed="false">
      <c r="A204" s="20"/>
      <c r="B204" s="20"/>
      <c r="C204" s="30" t="str">
        <f aca="false">IF($A204="","",IFERROR(INDEX(بند_الاسم,MATCH($B204,قائمة_البنود,0)),"⚠ بند غير موجود"))</f>
        <v/>
      </c>
      <c r="D204" s="22"/>
      <c r="E204" s="31"/>
      <c r="F204" s="21"/>
      <c r="G204" s="32"/>
      <c r="H204" s="25" t="str">
        <f aca="false">IF($A204="","",IFERROR(INDEX(بند_سعر_الوحدة,MATCH($B204,قائمة_البنود,0)),0))</f>
        <v/>
      </c>
      <c r="I204" s="25" t="str">
        <f aca="false">IF($A204="","",H204*(1+نسبة_الضريبة))</f>
        <v/>
      </c>
      <c r="J204" s="33" t="str">
        <f aca="false">IF($A204="","",_xlfn.MINIFS('سجل المراجعات'!$E$5:$E$1504,'سجل المراجعات'!$A$5:$A$1504,$A204,'سجل المراجعات'!$D$5:$D$1504,"تسليم"))</f>
        <v/>
      </c>
      <c r="K204" s="33" t="str">
        <f aca="false">IF($A204="","",_xlfn.MAXIFS('سجل المراجعات'!$E$5:$E$1504,'سجل المراجعات'!$A$5:$A$1504,$A204,'سجل المراجعات'!$D$5:$D$1504,"تسليم"))</f>
        <v/>
      </c>
      <c r="L204" s="33" t="str">
        <f aca="false">IF($A204="","",_xlfn.MAXIFS('سجل المراجعات'!$E$5:$E$1504,'سجل المراجعات'!$A$5:$A$1504,$A204,'سجل المراجعات'!$D$5:$D$1504,"رد بملاحظات"))</f>
        <v/>
      </c>
      <c r="M204" s="33" t="str">
        <f aca="false">IF($A204="","",_xlfn.MAXIFS('سجل المراجعات'!$E$5:$E$1504,'سجل المراجعات'!$A$5:$A$1504,$A204,'سجل المراجعات'!$D$5:$D$1504,"قبول"))</f>
        <v/>
      </c>
      <c r="N204" s="26" t="str">
        <f aca="false">IF($A204="","",COUNTIFS('سجل المراجعات'!$A$5:$A$1504,$A204,'سجل المراجعات'!$D$5:$D$1504,"تسليم"))</f>
        <v/>
      </c>
      <c r="O204" s="34" t="str">
        <f aca="false">IF($A204="","",IF(M204&gt;0,"تم القبول",IF(F204="معلق","معلق",IF(AND(L204&gt;0,L204&gt;=K204),"مُعاد بملاحظات",IF(K204&gt;0,"في انتظار القبول",IF(AND(ISNUMBER(E204),E204&lt;تاريخ_الاحتساب),"متأخر",IF(F204="","لم يبدأ",F204)))))))</f>
        <v/>
      </c>
      <c r="P204" s="26" t="str">
        <f aca="false">IF($A204="","",SUMIFS('سجل المراجعات'!$L$5:$L$1504,'سجل المراجعات'!$A$5:$A$1504,$A204))</f>
        <v/>
      </c>
      <c r="Q204" s="26" t="str">
        <f aca="false">IF($A204="","",SUMIFS('سجل المراجعات'!$M$5:$M$1504,'سجل المراجعات'!$A$5:$A$1504,$A204))</f>
        <v/>
      </c>
      <c r="R204" s="26" t="str">
        <f aca="false">IF(OR($A204="",NOT(ISNUMBER(E204))),"",MAX(0,NETWORKDAYS.INTL(E204,IF(J204&gt;0,J204,تاريخ_الاحتساب),رمز_العطلة,أيام_الأجازات)-1))</f>
        <v/>
      </c>
      <c r="S204" s="22"/>
    </row>
    <row r="205" customFormat="false" ht="15" hidden="false" customHeight="false" outlineLevel="0" collapsed="false">
      <c r="A205" s="20"/>
      <c r="B205" s="20"/>
      <c r="C205" s="30" t="str">
        <f aca="false">IF($A205="","",IFERROR(INDEX(بند_الاسم,MATCH($B205,قائمة_البنود,0)),"⚠ بند غير موجود"))</f>
        <v/>
      </c>
      <c r="D205" s="22"/>
      <c r="E205" s="31"/>
      <c r="F205" s="21"/>
      <c r="G205" s="32"/>
      <c r="H205" s="25" t="str">
        <f aca="false">IF($A205="","",IFERROR(INDEX(بند_سعر_الوحدة,MATCH($B205,قائمة_البنود,0)),0))</f>
        <v/>
      </c>
      <c r="I205" s="25" t="str">
        <f aca="false">IF($A205="","",H205*(1+نسبة_الضريبة))</f>
        <v/>
      </c>
      <c r="J205" s="33" t="str">
        <f aca="false">IF($A205="","",_xlfn.MINIFS('سجل المراجعات'!$E$5:$E$1504,'سجل المراجعات'!$A$5:$A$1504,$A205,'سجل المراجعات'!$D$5:$D$1504,"تسليم"))</f>
        <v/>
      </c>
      <c r="K205" s="33" t="str">
        <f aca="false">IF($A205="","",_xlfn.MAXIFS('سجل المراجعات'!$E$5:$E$1504,'سجل المراجعات'!$A$5:$A$1504,$A205,'سجل المراجعات'!$D$5:$D$1504,"تسليم"))</f>
        <v/>
      </c>
      <c r="L205" s="33" t="str">
        <f aca="false">IF($A205="","",_xlfn.MAXIFS('سجل المراجعات'!$E$5:$E$1504,'سجل المراجعات'!$A$5:$A$1504,$A205,'سجل المراجعات'!$D$5:$D$1504,"رد بملاحظات"))</f>
        <v/>
      </c>
      <c r="M205" s="33" t="str">
        <f aca="false">IF($A205="","",_xlfn.MAXIFS('سجل المراجعات'!$E$5:$E$1504,'سجل المراجعات'!$A$5:$A$1504,$A205,'سجل المراجعات'!$D$5:$D$1504,"قبول"))</f>
        <v/>
      </c>
      <c r="N205" s="26" t="str">
        <f aca="false">IF($A205="","",COUNTIFS('سجل المراجعات'!$A$5:$A$1504,$A205,'سجل المراجعات'!$D$5:$D$1504,"تسليم"))</f>
        <v/>
      </c>
      <c r="O205" s="34" t="str">
        <f aca="false">IF($A205="","",IF(M205&gt;0,"تم القبول",IF(F205="معلق","معلق",IF(AND(L205&gt;0,L205&gt;=K205),"مُعاد بملاحظات",IF(K205&gt;0,"في انتظار القبول",IF(AND(ISNUMBER(E205),E205&lt;تاريخ_الاحتساب),"متأخر",IF(F205="","لم يبدأ",F205)))))))</f>
        <v/>
      </c>
      <c r="P205" s="26" t="str">
        <f aca="false">IF($A205="","",SUMIFS('سجل المراجعات'!$L$5:$L$1504,'سجل المراجعات'!$A$5:$A$1504,$A205))</f>
        <v/>
      </c>
      <c r="Q205" s="26" t="str">
        <f aca="false">IF($A205="","",SUMIFS('سجل المراجعات'!$M$5:$M$1504,'سجل المراجعات'!$A$5:$A$1504,$A205))</f>
        <v/>
      </c>
      <c r="R205" s="26" t="str">
        <f aca="false">IF(OR($A205="",NOT(ISNUMBER(E205))),"",MAX(0,NETWORKDAYS.INTL(E205,IF(J205&gt;0,J205,تاريخ_الاحتساب),رمز_العطلة,أيام_الأجازات)-1))</f>
        <v/>
      </c>
      <c r="S205" s="22"/>
    </row>
    <row r="206" customFormat="false" ht="15" hidden="false" customHeight="false" outlineLevel="0" collapsed="false">
      <c r="A206" s="20"/>
      <c r="B206" s="20"/>
      <c r="C206" s="30" t="str">
        <f aca="false">IF($A206="","",IFERROR(INDEX(بند_الاسم,MATCH($B206,قائمة_البنود,0)),"⚠ بند غير موجود"))</f>
        <v/>
      </c>
      <c r="D206" s="22"/>
      <c r="E206" s="31"/>
      <c r="F206" s="21"/>
      <c r="G206" s="32"/>
      <c r="H206" s="25" t="str">
        <f aca="false">IF($A206="","",IFERROR(INDEX(بند_سعر_الوحدة,MATCH($B206,قائمة_البنود,0)),0))</f>
        <v/>
      </c>
      <c r="I206" s="25" t="str">
        <f aca="false">IF($A206="","",H206*(1+نسبة_الضريبة))</f>
        <v/>
      </c>
      <c r="J206" s="33" t="str">
        <f aca="false">IF($A206="","",_xlfn.MINIFS('سجل المراجعات'!$E$5:$E$1504,'سجل المراجعات'!$A$5:$A$1504,$A206,'سجل المراجعات'!$D$5:$D$1504,"تسليم"))</f>
        <v/>
      </c>
      <c r="K206" s="33" t="str">
        <f aca="false">IF($A206="","",_xlfn.MAXIFS('سجل المراجعات'!$E$5:$E$1504,'سجل المراجعات'!$A$5:$A$1504,$A206,'سجل المراجعات'!$D$5:$D$1504,"تسليم"))</f>
        <v/>
      </c>
      <c r="L206" s="33" t="str">
        <f aca="false">IF($A206="","",_xlfn.MAXIFS('سجل المراجعات'!$E$5:$E$1504,'سجل المراجعات'!$A$5:$A$1504,$A206,'سجل المراجعات'!$D$5:$D$1504,"رد بملاحظات"))</f>
        <v/>
      </c>
      <c r="M206" s="33" t="str">
        <f aca="false">IF($A206="","",_xlfn.MAXIFS('سجل المراجعات'!$E$5:$E$1504,'سجل المراجعات'!$A$5:$A$1504,$A206,'سجل المراجعات'!$D$5:$D$1504,"قبول"))</f>
        <v/>
      </c>
      <c r="N206" s="26" t="str">
        <f aca="false">IF($A206="","",COUNTIFS('سجل المراجعات'!$A$5:$A$1504,$A206,'سجل المراجعات'!$D$5:$D$1504,"تسليم"))</f>
        <v/>
      </c>
      <c r="O206" s="34" t="str">
        <f aca="false">IF($A206="","",IF(M206&gt;0,"تم القبول",IF(F206="معلق","معلق",IF(AND(L206&gt;0,L206&gt;=K206),"مُعاد بملاحظات",IF(K206&gt;0,"في انتظار القبول",IF(AND(ISNUMBER(E206),E206&lt;تاريخ_الاحتساب),"متأخر",IF(F206="","لم يبدأ",F206)))))))</f>
        <v/>
      </c>
      <c r="P206" s="26" t="str">
        <f aca="false">IF($A206="","",SUMIFS('سجل المراجعات'!$L$5:$L$1504,'سجل المراجعات'!$A$5:$A$1504,$A206))</f>
        <v/>
      </c>
      <c r="Q206" s="26" t="str">
        <f aca="false">IF($A206="","",SUMIFS('سجل المراجعات'!$M$5:$M$1504,'سجل المراجعات'!$A$5:$A$1504,$A206))</f>
        <v/>
      </c>
      <c r="R206" s="26" t="str">
        <f aca="false">IF(OR($A206="",NOT(ISNUMBER(E206))),"",MAX(0,NETWORKDAYS.INTL(E206,IF(J206&gt;0,J206,تاريخ_الاحتساب),رمز_العطلة,أيام_الأجازات)-1))</f>
        <v/>
      </c>
      <c r="S206" s="22"/>
    </row>
    <row r="207" customFormat="false" ht="15" hidden="false" customHeight="false" outlineLevel="0" collapsed="false">
      <c r="A207" s="20"/>
      <c r="B207" s="20"/>
      <c r="C207" s="30" t="str">
        <f aca="false">IF($A207="","",IFERROR(INDEX(بند_الاسم,MATCH($B207,قائمة_البنود,0)),"⚠ بند غير موجود"))</f>
        <v/>
      </c>
      <c r="D207" s="22"/>
      <c r="E207" s="31"/>
      <c r="F207" s="21"/>
      <c r="G207" s="32"/>
      <c r="H207" s="25" t="str">
        <f aca="false">IF($A207="","",IFERROR(INDEX(بند_سعر_الوحدة,MATCH($B207,قائمة_البنود,0)),0))</f>
        <v/>
      </c>
      <c r="I207" s="25" t="str">
        <f aca="false">IF($A207="","",H207*(1+نسبة_الضريبة))</f>
        <v/>
      </c>
      <c r="J207" s="33" t="str">
        <f aca="false">IF($A207="","",_xlfn.MINIFS('سجل المراجعات'!$E$5:$E$1504,'سجل المراجعات'!$A$5:$A$1504,$A207,'سجل المراجعات'!$D$5:$D$1504,"تسليم"))</f>
        <v/>
      </c>
      <c r="K207" s="33" t="str">
        <f aca="false">IF($A207="","",_xlfn.MAXIFS('سجل المراجعات'!$E$5:$E$1504,'سجل المراجعات'!$A$5:$A$1504,$A207,'سجل المراجعات'!$D$5:$D$1504,"تسليم"))</f>
        <v/>
      </c>
      <c r="L207" s="33" t="str">
        <f aca="false">IF($A207="","",_xlfn.MAXIFS('سجل المراجعات'!$E$5:$E$1504,'سجل المراجعات'!$A$5:$A$1504,$A207,'سجل المراجعات'!$D$5:$D$1504,"رد بملاحظات"))</f>
        <v/>
      </c>
      <c r="M207" s="33" t="str">
        <f aca="false">IF($A207="","",_xlfn.MAXIFS('سجل المراجعات'!$E$5:$E$1504,'سجل المراجعات'!$A$5:$A$1504,$A207,'سجل المراجعات'!$D$5:$D$1504,"قبول"))</f>
        <v/>
      </c>
      <c r="N207" s="26" t="str">
        <f aca="false">IF($A207="","",COUNTIFS('سجل المراجعات'!$A$5:$A$1504,$A207,'سجل المراجعات'!$D$5:$D$1504,"تسليم"))</f>
        <v/>
      </c>
      <c r="O207" s="34" t="str">
        <f aca="false">IF($A207="","",IF(M207&gt;0,"تم القبول",IF(F207="معلق","معلق",IF(AND(L207&gt;0,L207&gt;=K207),"مُعاد بملاحظات",IF(K207&gt;0,"في انتظار القبول",IF(AND(ISNUMBER(E207),E207&lt;تاريخ_الاحتساب),"متأخر",IF(F207="","لم يبدأ",F207)))))))</f>
        <v/>
      </c>
      <c r="P207" s="26" t="str">
        <f aca="false">IF($A207="","",SUMIFS('سجل المراجعات'!$L$5:$L$1504,'سجل المراجعات'!$A$5:$A$1504,$A207))</f>
        <v/>
      </c>
      <c r="Q207" s="26" t="str">
        <f aca="false">IF($A207="","",SUMIFS('سجل المراجعات'!$M$5:$M$1504,'سجل المراجعات'!$A$5:$A$1504,$A207))</f>
        <v/>
      </c>
      <c r="R207" s="26" t="str">
        <f aca="false">IF(OR($A207="",NOT(ISNUMBER(E207))),"",MAX(0,NETWORKDAYS.INTL(E207,IF(J207&gt;0,J207,تاريخ_الاحتساب),رمز_العطلة,أيام_الأجازات)-1))</f>
        <v/>
      </c>
      <c r="S207" s="22"/>
    </row>
    <row r="208" customFormat="false" ht="15" hidden="false" customHeight="false" outlineLevel="0" collapsed="false">
      <c r="A208" s="20"/>
      <c r="B208" s="20"/>
      <c r="C208" s="30" t="str">
        <f aca="false">IF($A208="","",IFERROR(INDEX(بند_الاسم,MATCH($B208,قائمة_البنود,0)),"⚠ بند غير موجود"))</f>
        <v/>
      </c>
      <c r="D208" s="22"/>
      <c r="E208" s="31"/>
      <c r="F208" s="21"/>
      <c r="G208" s="32"/>
      <c r="H208" s="25" t="str">
        <f aca="false">IF($A208="","",IFERROR(INDEX(بند_سعر_الوحدة,MATCH($B208,قائمة_البنود,0)),0))</f>
        <v/>
      </c>
      <c r="I208" s="25" t="str">
        <f aca="false">IF($A208="","",H208*(1+نسبة_الضريبة))</f>
        <v/>
      </c>
      <c r="J208" s="33" t="str">
        <f aca="false">IF($A208="","",_xlfn.MINIFS('سجل المراجعات'!$E$5:$E$1504,'سجل المراجعات'!$A$5:$A$1504,$A208,'سجل المراجعات'!$D$5:$D$1504,"تسليم"))</f>
        <v/>
      </c>
      <c r="K208" s="33" t="str">
        <f aca="false">IF($A208="","",_xlfn.MAXIFS('سجل المراجعات'!$E$5:$E$1504,'سجل المراجعات'!$A$5:$A$1504,$A208,'سجل المراجعات'!$D$5:$D$1504,"تسليم"))</f>
        <v/>
      </c>
      <c r="L208" s="33" t="str">
        <f aca="false">IF($A208="","",_xlfn.MAXIFS('سجل المراجعات'!$E$5:$E$1504,'سجل المراجعات'!$A$5:$A$1504,$A208,'سجل المراجعات'!$D$5:$D$1504,"رد بملاحظات"))</f>
        <v/>
      </c>
      <c r="M208" s="33" t="str">
        <f aca="false">IF($A208="","",_xlfn.MAXIFS('سجل المراجعات'!$E$5:$E$1504,'سجل المراجعات'!$A$5:$A$1504,$A208,'سجل المراجعات'!$D$5:$D$1504,"قبول"))</f>
        <v/>
      </c>
      <c r="N208" s="26" t="str">
        <f aca="false">IF($A208="","",COUNTIFS('سجل المراجعات'!$A$5:$A$1504,$A208,'سجل المراجعات'!$D$5:$D$1504,"تسليم"))</f>
        <v/>
      </c>
      <c r="O208" s="34" t="str">
        <f aca="false">IF($A208="","",IF(M208&gt;0,"تم القبول",IF(F208="معلق","معلق",IF(AND(L208&gt;0,L208&gt;=K208),"مُعاد بملاحظات",IF(K208&gt;0,"في انتظار القبول",IF(AND(ISNUMBER(E208),E208&lt;تاريخ_الاحتساب),"متأخر",IF(F208="","لم يبدأ",F208)))))))</f>
        <v/>
      </c>
      <c r="P208" s="26" t="str">
        <f aca="false">IF($A208="","",SUMIFS('سجل المراجعات'!$L$5:$L$1504,'سجل المراجعات'!$A$5:$A$1504,$A208))</f>
        <v/>
      </c>
      <c r="Q208" s="26" t="str">
        <f aca="false">IF($A208="","",SUMIFS('سجل المراجعات'!$M$5:$M$1504,'سجل المراجعات'!$A$5:$A$1504,$A208))</f>
        <v/>
      </c>
      <c r="R208" s="26" t="str">
        <f aca="false">IF(OR($A208="",NOT(ISNUMBER(E208))),"",MAX(0,NETWORKDAYS.INTL(E208,IF(J208&gt;0,J208,تاريخ_الاحتساب),رمز_العطلة,أيام_الأجازات)-1))</f>
        <v/>
      </c>
      <c r="S208" s="22"/>
    </row>
    <row r="209" customFormat="false" ht="15" hidden="false" customHeight="false" outlineLevel="0" collapsed="false">
      <c r="A209" s="20"/>
      <c r="B209" s="20"/>
      <c r="C209" s="30" t="str">
        <f aca="false">IF($A209="","",IFERROR(INDEX(بند_الاسم,MATCH($B209,قائمة_البنود,0)),"⚠ بند غير موجود"))</f>
        <v/>
      </c>
      <c r="D209" s="22"/>
      <c r="E209" s="31"/>
      <c r="F209" s="21"/>
      <c r="G209" s="32"/>
      <c r="H209" s="25" t="str">
        <f aca="false">IF($A209="","",IFERROR(INDEX(بند_سعر_الوحدة,MATCH($B209,قائمة_البنود,0)),0))</f>
        <v/>
      </c>
      <c r="I209" s="25" t="str">
        <f aca="false">IF($A209="","",H209*(1+نسبة_الضريبة))</f>
        <v/>
      </c>
      <c r="J209" s="33" t="str">
        <f aca="false">IF($A209="","",_xlfn.MINIFS('سجل المراجعات'!$E$5:$E$1504,'سجل المراجعات'!$A$5:$A$1504,$A209,'سجل المراجعات'!$D$5:$D$1504,"تسليم"))</f>
        <v/>
      </c>
      <c r="K209" s="33" t="str">
        <f aca="false">IF($A209="","",_xlfn.MAXIFS('سجل المراجعات'!$E$5:$E$1504,'سجل المراجعات'!$A$5:$A$1504,$A209,'سجل المراجعات'!$D$5:$D$1504,"تسليم"))</f>
        <v/>
      </c>
      <c r="L209" s="33" t="str">
        <f aca="false">IF($A209="","",_xlfn.MAXIFS('سجل المراجعات'!$E$5:$E$1504,'سجل المراجعات'!$A$5:$A$1504,$A209,'سجل المراجعات'!$D$5:$D$1504,"رد بملاحظات"))</f>
        <v/>
      </c>
      <c r="M209" s="33" t="str">
        <f aca="false">IF($A209="","",_xlfn.MAXIFS('سجل المراجعات'!$E$5:$E$1504,'سجل المراجعات'!$A$5:$A$1504,$A209,'سجل المراجعات'!$D$5:$D$1504,"قبول"))</f>
        <v/>
      </c>
      <c r="N209" s="26" t="str">
        <f aca="false">IF($A209="","",COUNTIFS('سجل المراجعات'!$A$5:$A$1504,$A209,'سجل المراجعات'!$D$5:$D$1504,"تسليم"))</f>
        <v/>
      </c>
      <c r="O209" s="34" t="str">
        <f aca="false">IF($A209="","",IF(M209&gt;0,"تم القبول",IF(F209="معلق","معلق",IF(AND(L209&gt;0,L209&gt;=K209),"مُعاد بملاحظات",IF(K209&gt;0,"في انتظار القبول",IF(AND(ISNUMBER(E209),E209&lt;تاريخ_الاحتساب),"متأخر",IF(F209="","لم يبدأ",F209)))))))</f>
        <v/>
      </c>
      <c r="P209" s="26" t="str">
        <f aca="false">IF($A209="","",SUMIFS('سجل المراجعات'!$L$5:$L$1504,'سجل المراجعات'!$A$5:$A$1504,$A209))</f>
        <v/>
      </c>
      <c r="Q209" s="26" t="str">
        <f aca="false">IF($A209="","",SUMIFS('سجل المراجعات'!$M$5:$M$1504,'سجل المراجعات'!$A$5:$A$1504,$A209))</f>
        <v/>
      </c>
      <c r="R209" s="26" t="str">
        <f aca="false">IF(OR($A209="",NOT(ISNUMBER(E209))),"",MAX(0,NETWORKDAYS.INTL(E209,IF(J209&gt;0,J209,تاريخ_الاحتساب),رمز_العطلة,أيام_الأجازات)-1))</f>
        <v/>
      </c>
      <c r="S209" s="22"/>
    </row>
    <row r="210" customFormat="false" ht="15" hidden="false" customHeight="false" outlineLevel="0" collapsed="false">
      <c r="A210" s="20"/>
      <c r="B210" s="20"/>
      <c r="C210" s="30" t="str">
        <f aca="false">IF($A210="","",IFERROR(INDEX(بند_الاسم,MATCH($B210,قائمة_البنود,0)),"⚠ بند غير موجود"))</f>
        <v/>
      </c>
      <c r="D210" s="22"/>
      <c r="E210" s="31"/>
      <c r="F210" s="21"/>
      <c r="G210" s="32"/>
      <c r="H210" s="25" t="str">
        <f aca="false">IF($A210="","",IFERROR(INDEX(بند_سعر_الوحدة,MATCH($B210,قائمة_البنود,0)),0))</f>
        <v/>
      </c>
      <c r="I210" s="25" t="str">
        <f aca="false">IF($A210="","",H210*(1+نسبة_الضريبة))</f>
        <v/>
      </c>
      <c r="J210" s="33" t="str">
        <f aca="false">IF($A210="","",_xlfn.MINIFS('سجل المراجعات'!$E$5:$E$1504,'سجل المراجعات'!$A$5:$A$1504,$A210,'سجل المراجعات'!$D$5:$D$1504,"تسليم"))</f>
        <v/>
      </c>
      <c r="K210" s="33" t="str">
        <f aca="false">IF($A210="","",_xlfn.MAXIFS('سجل المراجعات'!$E$5:$E$1504,'سجل المراجعات'!$A$5:$A$1504,$A210,'سجل المراجعات'!$D$5:$D$1504,"تسليم"))</f>
        <v/>
      </c>
      <c r="L210" s="33" t="str">
        <f aca="false">IF($A210="","",_xlfn.MAXIFS('سجل المراجعات'!$E$5:$E$1504,'سجل المراجعات'!$A$5:$A$1504,$A210,'سجل المراجعات'!$D$5:$D$1504,"رد بملاحظات"))</f>
        <v/>
      </c>
      <c r="M210" s="33" t="str">
        <f aca="false">IF($A210="","",_xlfn.MAXIFS('سجل المراجعات'!$E$5:$E$1504,'سجل المراجعات'!$A$5:$A$1504,$A210,'سجل المراجعات'!$D$5:$D$1504,"قبول"))</f>
        <v/>
      </c>
      <c r="N210" s="26" t="str">
        <f aca="false">IF($A210="","",COUNTIFS('سجل المراجعات'!$A$5:$A$1504,$A210,'سجل المراجعات'!$D$5:$D$1504,"تسليم"))</f>
        <v/>
      </c>
      <c r="O210" s="34" t="str">
        <f aca="false">IF($A210="","",IF(M210&gt;0,"تم القبول",IF(F210="معلق","معلق",IF(AND(L210&gt;0,L210&gt;=K210),"مُعاد بملاحظات",IF(K210&gt;0,"في انتظار القبول",IF(AND(ISNUMBER(E210),E210&lt;تاريخ_الاحتساب),"متأخر",IF(F210="","لم يبدأ",F210)))))))</f>
        <v/>
      </c>
      <c r="P210" s="26" t="str">
        <f aca="false">IF($A210="","",SUMIFS('سجل المراجعات'!$L$5:$L$1504,'سجل المراجعات'!$A$5:$A$1504,$A210))</f>
        <v/>
      </c>
      <c r="Q210" s="26" t="str">
        <f aca="false">IF($A210="","",SUMIFS('سجل المراجعات'!$M$5:$M$1504,'سجل المراجعات'!$A$5:$A$1504,$A210))</f>
        <v/>
      </c>
      <c r="R210" s="26" t="str">
        <f aca="false">IF(OR($A210="",NOT(ISNUMBER(E210))),"",MAX(0,NETWORKDAYS.INTL(E210,IF(J210&gt;0,J210,تاريخ_الاحتساب),رمز_العطلة,أيام_الأجازات)-1))</f>
        <v/>
      </c>
      <c r="S210" s="22"/>
    </row>
    <row r="211" customFormat="false" ht="15" hidden="false" customHeight="false" outlineLevel="0" collapsed="false">
      <c r="A211" s="20"/>
      <c r="B211" s="20"/>
      <c r="C211" s="30" t="str">
        <f aca="false">IF($A211="","",IFERROR(INDEX(بند_الاسم,MATCH($B211,قائمة_البنود,0)),"⚠ بند غير موجود"))</f>
        <v/>
      </c>
      <c r="D211" s="22"/>
      <c r="E211" s="31"/>
      <c r="F211" s="21"/>
      <c r="G211" s="32"/>
      <c r="H211" s="25" t="str">
        <f aca="false">IF($A211="","",IFERROR(INDEX(بند_سعر_الوحدة,MATCH($B211,قائمة_البنود,0)),0))</f>
        <v/>
      </c>
      <c r="I211" s="25" t="str">
        <f aca="false">IF($A211="","",H211*(1+نسبة_الضريبة))</f>
        <v/>
      </c>
      <c r="J211" s="33" t="str">
        <f aca="false">IF($A211="","",_xlfn.MINIFS('سجل المراجعات'!$E$5:$E$1504,'سجل المراجعات'!$A$5:$A$1504,$A211,'سجل المراجعات'!$D$5:$D$1504,"تسليم"))</f>
        <v/>
      </c>
      <c r="K211" s="33" t="str">
        <f aca="false">IF($A211="","",_xlfn.MAXIFS('سجل المراجعات'!$E$5:$E$1504,'سجل المراجعات'!$A$5:$A$1504,$A211,'سجل المراجعات'!$D$5:$D$1504,"تسليم"))</f>
        <v/>
      </c>
      <c r="L211" s="33" t="str">
        <f aca="false">IF($A211="","",_xlfn.MAXIFS('سجل المراجعات'!$E$5:$E$1504,'سجل المراجعات'!$A$5:$A$1504,$A211,'سجل المراجعات'!$D$5:$D$1504,"رد بملاحظات"))</f>
        <v/>
      </c>
      <c r="M211" s="33" t="str">
        <f aca="false">IF($A211="","",_xlfn.MAXIFS('سجل المراجعات'!$E$5:$E$1504,'سجل المراجعات'!$A$5:$A$1504,$A211,'سجل المراجعات'!$D$5:$D$1504,"قبول"))</f>
        <v/>
      </c>
      <c r="N211" s="26" t="str">
        <f aca="false">IF($A211="","",COUNTIFS('سجل المراجعات'!$A$5:$A$1504,$A211,'سجل المراجعات'!$D$5:$D$1504,"تسليم"))</f>
        <v/>
      </c>
      <c r="O211" s="34" t="str">
        <f aca="false">IF($A211="","",IF(M211&gt;0,"تم القبول",IF(F211="معلق","معلق",IF(AND(L211&gt;0,L211&gt;=K211),"مُعاد بملاحظات",IF(K211&gt;0,"في انتظار القبول",IF(AND(ISNUMBER(E211),E211&lt;تاريخ_الاحتساب),"متأخر",IF(F211="","لم يبدأ",F211)))))))</f>
        <v/>
      </c>
      <c r="P211" s="26" t="str">
        <f aca="false">IF($A211="","",SUMIFS('سجل المراجعات'!$L$5:$L$1504,'سجل المراجعات'!$A$5:$A$1504,$A211))</f>
        <v/>
      </c>
      <c r="Q211" s="26" t="str">
        <f aca="false">IF($A211="","",SUMIFS('سجل المراجعات'!$M$5:$M$1504,'سجل المراجعات'!$A$5:$A$1504,$A211))</f>
        <v/>
      </c>
      <c r="R211" s="26" t="str">
        <f aca="false">IF(OR($A211="",NOT(ISNUMBER(E211))),"",MAX(0,NETWORKDAYS.INTL(E211,IF(J211&gt;0,J211,تاريخ_الاحتساب),رمز_العطلة,أيام_الأجازات)-1))</f>
        <v/>
      </c>
      <c r="S211" s="22"/>
    </row>
    <row r="212" customFormat="false" ht="15" hidden="false" customHeight="false" outlineLevel="0" collapsed="false">
      <c r="A212" s="20"/>
      <c r="B212" s="20"/>
      <c r="C212" s="30" t="str">
        <f aca="false">IF($A212="","",IFERROR(INDEX(بند_الاسم,MATCH($B212,قائمة_البنود,0)),"⚠ بند غير موجود"))</f>
        <v/>
      </c>
      <c r="D212" s="22"/>
      <c r="E212" s="31"/>
      <c r="F212" s="21"/>
      <c r="G212" s="32"/>
      <c r="H212" s="25" t="str">
        <f aca="false">IF($A212="","",IFERROR(INDEX(بند_سعر_الوحدة,MATCH($B212,قائمة_البنود,0)),0))</f>
        <v/>
      </c>
      <c r="I212" s="25" t="str">
        <f aca="false">IF($A212="","",H212*(1+نسبة_الضريبة))</f>
        <v/>
      </c>
      <c r="J212" s="33" t="str">
        <f aca="false">IF($A212="","",_xlfn.MINIFS('سجل المراجعات'!$E$5:$E$1504,'سجل المراجعات'!$A$5:$A$1504,$A212,'سجل المراجعات'!$D$5:$D$1504,"تسليم"))</f>
        <v/>
      </c>
      <c r="K212" s="33" t="str">
        <f aca="false">IF($A212="","",_xlfn.MAXIFS('سجل المراجعات'!$E$5:$E$1504,'سجل المراجعات'!$A$5:$A$1504,$A212,'سجل المراجعات'!$D$5:$D$1504,"تسليم"))</f>
        <v/>
      </c>
      <c r="L212" s="33" t="str">
        <f aca="false">IF($A212="","",_xlfn.MAXIFS('سجل المراجعات'!$E$5:$E$1504,'سجل المراجعات'!$A$5:$A$1504,$A212,'سجل المراجعات'!$D$5:$D$1504,"رد بملاحظات"))</f>
        <v/>
      </c>
      <c r="M212" s="33" t="str">
        <f aca="false">IF($A212="","",_xlfn.MAXIFS('سجل المراجعات'!$E$5:$E$1504,'سجل المراجعات'!$A$5:$A$1504,$A212,'سجل المراجعات'!$D$5:$D$1504,"قبول"))</f>
        <v/>
      </c>
      <c r="N212" s="26" t="str">
        <f aca="false">IF($A212="","",COUNTIFS('سجل المراجعات'!$A$5:$A$1504,$A212,'سجل المراجعات'!$D$5:$D$1504,"تسليم"))</f>
        <v/>
      </c>
      <c r="O212" s="34" t="str">
        <f aca="false">IF($A212="","",IF(M212&gt;0,"تم القبول",IF(F212="معلق","معلق",IF(AND(L212&gt;0,L212&gt;=K212),"مُعاد بملاحظات",IF(K212&gt;0,"في انتظار القبول",IF(AND(ISNUMBER(E212),E212&lt;تاريخ_الاحتساب),"متأخر",IF(F212="","لم يبدأ",F212)))))))</f>
        <v/>
      </c>
      <c r="P212" s="26" t="str">
        <f aca="false">IF($A212="","",SUMIFS('سجل المراجعات'!$L$5:$L$1504,'سجل المراجعات'!$A$5:$A$1504,$A212))</f>
        <v/>
      </c>
      <c r="Q212" s="26" t="str">
        <f aca="false">IF($A212="","",SUMIFS('سجل المراجعات'!$M$5:$M$1504,'سجل المراجعات'!$A$5:$A$1504,$A212))</f>
        <v/>
      </c>
      <c r="R212" s="26" t="str">
        <f aca="false">IF(OR($A212="",NOT(ISNUMBER(E212))),"",MAX(0,NETWORKDAYS.INTL(E212,IF(J212&gt;0,J212,تاريخ_الاحتساب),رمز_العطلة,أيام_الأجازات)-1))</f>
        <v/>
      </c>
      <c r="S212" s="22"/>
    </row>
    <row r="213" customFormat="false" ht="15" hidden="false" customHeight="false" outlineLevel="0" collapsed="false">
      <c r="A213" s="20"/>
      <c r="B213" s="20"/>
      <c r="C213" s="30" t="str">
        <f aca="false">IF($A213="","",IFERROR(INDEX(بند_الاسم,MATCH($B213,قائمة_البنود,0)),"⚠ بند غير موجود"))</f>
        <v/>
      </c>
      <c r="D213" s="22"/>
      <c r="E213" s="31"/>
      <c r="F213" s="21"/>
      <c r="G213" s="32"/>
      <c r="H213" s="25" t="str">
        <f aca="false">IF($A213="","",IFERROR(INDEX(بند_سعر_الوحدة,MATCH($B213,قائمة_البنود,0)),0))</f>
        <v/>
      </c>
      <c r="I213" s="25" t="str">
        <f aca="false">IF($A213="","",H213*(1+نسبة_الضريبة))</f>
        <v/>
      </c>
      <c r="J213" s="33" t="str">
        <f aca="false">IF($A213="","",_xlfn.MINIFS('سجل المراجعات'!$E$5:$E$1504,'سجل المراجعات'!$A$5:$A$1504,$A213,'سجل المراجعات'!$D$5:$D$1504,"تسليم"))</f>
        <v/>
      </c>
      <c r="K213" s="33" t="str">
        <f aca="false">IF($A213="","",_xlfn.MAXIFS('سجل المراجعات'!$E$5:$E$1504,'سجل المراجعات'!$A$5:$A$1504,$A213,'سجل المراجعات'!$D$5:$D$1504,"تسليم"))</f>
        <v/>
      </c>
      <c r="L213" s="33" t="str">
        <f aca="false">IF($A213="","",_xlfn.MAXIFS('سجل المراجعات'!$E$5:$E$1504,'سجل المراجعات'!$A$5:$A$1504,$A213,'سجل المراجعات'!$D$5:$D$1504,"رد بملاحظات"))</f>
        <v/>
      </c>
      <c r="M213" s="33" t="str">
        <f aca="false">IF($A213="","",_xlfn.MAXIFS('سجل المراجعات'!$E$5:$E$1504,'سجل المراجعات'!$A$5:$A$1504,$A213,'سجل المراجعات'!$D$5:$D$1504,"قبول"))</f>
        <v/>
      </c>
      <c r="N213" s="26" t="str">
        <f aca="false">IF($A213="","",COUNTIFS('سجل المراجعات'!$A$5:$A$1504,$A213,'سجل المراجعات'!$D$5:$D$1504,"تسليم"))</f>
        <v/>
      </c>
      <c r="O213" s="34" t="str">
        <f aca="false">IF($A213="","",IF(M213&gt;0,"تم القبول",IF(F213="معلق","معلق",IF(AND(L213&gt;0,L213&gt;=K213),"مُعاد بملاحظات",IF(K213&gt;0,"في انتظار القبول",IF(AND(ISNUMBER(E213),E213&lt;تاريخ_الاحتساب),"متأخر",IF(F213="","لم يبدأ",F213)))))))</f>
        <v/>
      </c>
      <c r="P213" s="26" t="str">
        <f aca="false">IF($A213="","",SUMIFS('سجل المراجعات'!$L$5:$L$1504,'سجل المراجعات'!$A$5:$A$1504,$A213))</f>
        <v/>
      </c>
      <c r="Q213" s="26" t="str">
        <f aca="false">IF($A213="","",SUMIFS('سجل المراجعات'!$M$5:$M$1504,'سجل المراجعات'!$A$5:$A$1504,$A213))</f>
        <v/>
      </c>
      <c r="R213" s="26" t="str">
        <f aca="false">IF(OR($A213="",NOT(ISNUMBER(E213))),"",MAX(0,NETWORKDAYS.INTL(E213,IF(J213&gt;0,J213,تاريخ_الاحتساب),رمز_العطلة,أيام_الأجازات)-1))</f>
        <v/>
      </c>
      <c r="S213" s="22"/>
    </row>
    <row r="214" customFormat="false" ht="15" hidden="false" customHeight="false" outlineLevel="0" collapsed="false">
      <c r="A214" s="20"/>
      <c r="B214" s="20"/>
      <c r="C214" s="30" t="str">
        <f aca="false">IF($A214="","",IFERROR(INDEX(بند_الاسم,MATCH($B214,قائمة_البنود,0)),"⚠ بند غير موجود"))</f>
        <v/>
      </c>
      <c r="D214" s="22"/>
      <c r="E214" s="31"/>
      <c r="F214" s="21"/>
      <c r="G214" s="32"/>
      <c r="H214" s="25" t="str">
        <f aca="false">IF($A214="","",IFERROR(INDEX(بند_سعر_الوحدة,MATCH($B214,قائمة_البنود,0)),0))</f>
        <v/>
      </c>
      <c r="I214" s="25" t="str">
        <f aca="false">IF($A214="","",H214*(1+نسبة_الضريبة))</f>
        <v/>
      </c>
      <c r="J214" s="33" t="str">
        <f aca="false">IF($A214="","",_xlfn.MINIFS('سجل المراجعات'!$E$5:$E$1504,'سجل المراجعات'!$A$5:$A$1504,$A214,'سجل المراجعات'!$D$5:$D$1504,"تسليم"))</f>
        <v/>
      </c>
      <c r="K214" s="33" t="str">
        <f aca="false">IF($A214="","",_xlfn.MAXIFS('سجل المراجعات'!$E$5:$E$1504,'سجل المراجعات'!$A$5:$A$1504,$A214,'سجل المراجعات'!$D$5:$D$1504,"تسليم"))</f>
        <v/>
      </c>
      <c r="L214" s="33" t="str">
        <f aca="false">IF($A214="","",_xlfn.MAXIFS('سجل المراجعات'!$E$5:$E$1504,'سجل المراجعات'!$A$5:$A$1504,$A214,'سجل المراجعات'!$D$5:$D$1504,"رد بملاحظات"))</f>
        <v/>
      </c>
      <c r="M214" s="33" t="str">
        <f aca="false">IF($A214="","",_xlfn.MAXIFS('سجل المراجعات'!$E$5:$E$1504,'سجل المراجعات'!$A$5:$A$1504,$A214,'سجل المراجعات'!$D$5:$D$1504,"قبول"))</f>
        <v/>
      </c>
      <c r="N214" s="26" t="str">
        <f aca="false">IF($A214="","",COUNTIFS('سجل المراجعات'!$A$5:$A$1504,$A214,'سجل المراجعات'!$D$5:$D$1504,"تسليم"))</f>
        <v/>
      </c>
      <c r="O214" s="34" t="str">
        <f aca="false">IF($A214="","",IF(M214&gt;0,"تم القبول",IF(F214="معلق","معلق",IF(AND(L214&gt;0,L214&gt;=K214),"مُعاد بملاحظات",IF(K214&gt;0,"في انتظار القبول",IF(AND(ISNUMBER(E214),E214&lt;تاريخ_الاحتساب),"متأخر",IF(F214="","لم يبدأ",F214)))))))</f>
        <v/>
      </c>
      <c r="P214" s="26" t="str">
        <f aca="false">IF($A214="","",SUMIFS('سجل المراجعات'!$L$5:$L$1504,'سجل المراجعات'!$A$5:$A$1504,$A214))</f>
        <v/>
      </c>
      <c r="Q214" s="26" t="str">
        <f aca="false">IF($A214="","",SUMIFS('سجل المراجعات'!$M$5:$M$1504,'سجل المراجعات'!$A$5:$A$1504,$A214))</f>
        <v/>
      </c>
      <c r="R214" s="26" t="str">
        <f aca="false">IF(OR($A214="",NOT(ISNUMBER(E214))),"",MAX(0,NETWORKDAYS.INTL(E214,IF(J214&gt;0,J214,تاريخ_الاحتساب),رمز_العطلة,أيام_الأجازات)-1))</f>
        <v/>
      </c>
      <c r="S214" s="22"/>
    </row>
    <row r="215" customFormat="false" ht="15" hidden="false" customHeight="false" outlineLevel="0" collapsed="false">
      <c r="A215" s="20"/>
      <c r="B215" s="20"/>
      <c r="C215" s="30" t="str">
        <f aca="false">IF($A215="","",IFERROR(INDEX(بند_الاسم,MATCH($B215,قائمة_البنود,0)),"⚠ بند غير موجود"))</f>
        <v/>
      </c>
      <c r="D215" s="22"/>
      <c r="E215" s="31"/>
      <c r="F215" s="21"/>
      <c r="G215" s="32"/>
      <c r="H215" s="25" t="str">
        <f aca="false">IF($A215="","",IFERROR(INDEX(بند_سعر_الوحدة,MATCH($B215,قائمة_البنود,0)),0))</f>
        <v/>
      </c>
      <c r="I215" s="25" t="str">
        <f aca="false">IF($A215="","",H215*(1+نسبة_الضريبة))</f>
        <v/>
      </c>
      <c r="J215" s="33" t="str">
        <f aca="false">IF($A215="","",_xlfn.MINIFS('سجل المراجعات'!$E$5:$E$1504,'سجل المراجعات'!$A$5:$A$1504,$A215,'سجل المراجعات'!$D$5:$D$1504,"تسليم"))</f>
        <v/>
      </c>
      <c r="K215" s="33" t="str">
        <f aca="false">IF($A215="","",_xlfn.MAXIFS('سجل المراجعات'!$E$5:$E$1504,'سجل المراجعات'!$A$5:$A$1504,$A215,'سجل المراجعات'!$D$5:$D$1504,"تسليم"))</f>
        <v/>
      </c>
      <c r="L215" s="33" t="str">
        <f aca="false">IF($A215="","",_xlfn.MAXIFS('سجل المراجعات'!$E$5:$E$1504,'سجل المراجعات'!$A$5:$A$1504,$A215,'سجل المراجعات'!$D$5:$D$1504,"رد بملاحظات"))</f>
        <v/>
      </c>
      <c r="M215" s="33" t="str">
        <f aca="false">IF($A215="","",_xlfn.MAXIFS('سجل المراجعات'!$E$5:$E$1504,'سجل المراجعات'!$A$5:$A$1504,$A215,'سجل المراجعات'!$D$5:$D$1504,"قبول"))</f>
        <v/>
      </c>
      <c r="N215" s="26" t="str">
        <f aca="false">IF($A215="","",COUNTIFS('سجل المراجعات'!$A$5:$A$1504,$A215,'سجل المراجعات'!$D$5:$D$1504,"تسليم"))</f>
        <v/>
      </c>
      <c r="O215" s="34" t="str">
        <f aca="false">IF($A215="","",IF(M215&gt;0,"تم القبول",IF(F215="معلق","معلق",IF(AND(L215&gt;0,L215&gt;=K215),"مُعاد بملاحظات",IF(K215&gt;0,"في انتظار القبول",IF(AND(ISNUMBER(E215),E215&lt;تاريخ_الاحتساب),"متأخر",IF(F215="","لم يبدأ",F215)))))))</f>
        <v/>
      </c>
      <c r="P215" s="26" t="str">
        <f aca="false">IF($A215="","",SUMIFS('سجل المراجعات'!$L$5:$L$1504,'سجل المراجعات'!$A$5:$A$1504,$A215))</f>
        <v/>
      </c>
      <c r="Q215" s="26" t="str">
        <f aca="false">IF($A215="","",SUMIFS('سجل المراجعات'!$M$5:$M$1504,'سجل المراجعات'!$A$5:$A$1504,$A215))</f>
        <v/>
      </c>
      <c r="R215" s="26" t="str">
        <f aca="false">IF(OR($A215="",NOT(ISNUMBER(E215))),"",MAX(0,NETWORKDAYS.INTL(E215,IF(J215&gt;0,J215,تاريخ_الاحتساب),رمز_العطلة,أيام_الأجازات)-1))</f>
        <v/>
      </c>
      <c r="S215" s="22"/>
    </row>
    <row r="216" customFormat="false" ht="15" hidden="false" customHeight="false" outlineLevel="0" collapsed="false">
      <c r="A216" s="20"/>
      <c r="B216" s="20"/>
      <c r="C216" s="30" t="str">
        <f aca="false">IF($A216="","",IFERROR(INDEX(بند_الاسم,MATCH($B216,قائمة_البنود,0)),"⚠ بند غير موجود"))</f>
        <v/>
      </c>
      <c r="D216" s="22"/>
      <c r="E216" s="31"/>
      <c r="F216" s="21"/>
      <c r="G216" s="32"/>
      <c r="H216" s="25" t="str">
        <f aca="false">IF($A216="","",IFERROR(INDEX(بند_سعر_الوحدة,MATCH($B216,قائمة_البنود,0)),0))</f>
        <v/>
      </c>
      <c r="I216" s="25" t="str">
        <f aca="false">IF($A216="","",H216*(1+نسبة_الضريبة))</f>
        <v/>
      </c>
      <c r="J216" s="33" t="str">
        <f aca="false">IF($A216="","",_xlfn.MINIFS('سجل المراجعات'!$E$5:$E$1504,'سجل المراجعات'!$A$5:$A$1504,$A216,'سجل المراجعات'!$D$5:$D$1504,"تسليم"))</f>
        <v/>
      </c>
      <c r="K216" s="33" t="str">
        <f aca="false">IF($A216="","",_xlfn.MAXIFS('سجل المراجعات'!$E$5:$E$1504,'سجل المراجعات'!$A$5:$A$1504,$A216,'سجل المراجعات'!$D$5:$D$1504,"تسليم"))</f>
        <v/>
      </c>
      <c r="L216" s="33" t="str">
        <f aca="false">IF($A216="","",_xlfn.MAXIFS('سجل المراجعات'!$E$5:$E$1504,'سجل المراجعات'!$A$5:$A$1504,$A216,'سجل المراجعات'!$D$5:$D$1504,"رد بملاحظات"))</f>
        <v/>
      </c>
      <c r="M216" s="33" t="str">
        <f aca="false">IF($A216="","",_xlfn.MAXIFS('سجل المراجعات'!$E$5:$E$1504,'سجل المراجعات'!$A$5:$A$1504,$A216,'سجل المراجعات'!$D$5:$D$1504,"قبول"))</f>
        <v/>
      </c>
      <c r="N216" s="26" t="str">
        <f aca="false">IF($A216="","",COUNTIFS('سجل المراجعات'!$A$5:$A$1504,$A216,'سجل المراجعات'!$D$5:$D$1504,"تسليم"))</f>
        <v/>
      </c>
      <c r="O216" s="34" t="str">
        <f aca="false">IF($A216="","",IF(M216&gt;0,"تم القبول",IF(F216="معلق","معلق",IF(AND(L216&gt;0,L216&gt;=K216),"مُعاد بملاحظات",IF(K216&gt;0,"في انتظار القبول",IF(AND(ISNUMBER(E216),E216&lt;تاريخ_الاحتساب),"متأخر",IF(F216="","لم يبدأ",F216)))))))</f>
        <v/>
      </c>
      <c r="P216" s="26" t="str">
        <f aca="false">IF($A216="","",SUMIFS('سجل المراجعات'!$L$5:$L$1504,'سجل المراجعات'!$A$5:$A$1504,$A216))</f>
        <v/>
      </c>
      <c r="Q216" s="26" t="str">
        <f aca="false">IF($A216="","",SUMIFS('سجل المراجعات'!$M$5:$M$1504,'سجل المراجعات'!$A$5:$A$1504,$A216))</f>
        <v/>
      </c>
      <c r="R216" s="26" t="str">
        <f aca="false">IF(OR($A216="",NOT(ISNUMBER(E216))),"",MAX(0,NETWORKDAYS.INTL(E216,IF(J216&gt;0,J216,تاريخ_الاحتساب),رمز_العطلة,أيام_الأجازات)-1))</f>
        <v/>
      </c>
      <c r="S216" s="22"/>
    </row>
    <row r="217" customFormat="false" ht="15" hidden="false" customHeight="false" outlineLevel="0" collapsed="false">
      <c r="A217" s="20"/>
      <c r="B217" s="20"/>
      <c r="C217" s="30" t="str">
        <f aca="false">IF($A217="","",IFERROR(INDEX(بند_الاسم,MATCH($B217,قائمة_البنود,0)),"⚠ بند غير موجود"))</f>
        <v/>
      </c>
      <c r="D217" s="22"/>
      <c r="E217" s="31"/>
      <c r="F217" s="21"/>
      <c r="G217" s="32"/>
      <c r="H217" s="25" t="str">
        <f aca="false">IF($A217="","",IFERROR(INDEX(بند_سعر_الوحدة,MATCH($B217,قائمة_البنود,0)),0))</f>
        <v/>
      </c>
      <c r="I217" s="25" t="str">
        <f aca="false">IF($A217="","",H217*(1+نسبة_الضريبة))</f>
        <v/>
      </c>
      <c r="J217" s="33" t="str">
        <f aca="false">IF($A217="","",_xlfn.MINIFS('سجل المراجعات'!$E$5:$E$1504,'سجل المراجعات'!$A$5:$A$1504,$A217,'سجل المراجعات'!$D$5:$D$1504,"تسليم"))</f>
        <v/>
      </c>
      <c r="K217" s="33" t="str">
        <f aca="false">IF($A217="","",_xlfn.MAXIFS('سجل المراجعات'!$E$5:$E$1504,'سجل المراجعات'!$A$5:$A$1504,$A217,'سجل المراجعات'!$D$5:$D$1504,"تسليم"))</f>
        <v/>
      </c>
      <c r="L217" s="33" t="str">
        <f aca="false">IF($A217="","",_xlfn.MAXIFS('سجل المراجعات'!$E$5:$E$1504,'سجل المراجعات'!$A$5:$A$1504,$A217,'سجل المراجعات'!$D$5:$D$1504,"رد بملاحظات"))</f>
        <v/>
      </c>
      <c r="M217" s="33" t="str">
        <f aca="false">IF($A217="","",_xlfn.MAXIFS('سجل المراجعات'!$E$5:$E$1504,'سجل المراجعات'!$A$5:$A$1504,$A217,'سجل المراجعات'!$D$5:$D$1504,"قبول"))</f>
        <v/>
      </c>
      <c r="N217" s="26" t="str">
        <f aca="false">IF($A217="","",COUNTIFS('سجل المراجعات'!$A$5:$A$1504,$A217,'سجل المراجعات'!$D$5:$D$1504,"تسليم"))</f>
        <v/>
      </c>
      <c r="O217" s="34" t="str">
        <f aca="false">IF($A217="","",IF(M217&gt;0,"تم القبول",IF(F217="معلق","معلق",IF(AND(L217&gt;0,L217&gt;=K217),"مُعاد بملاحظات",IF(K217&gt;0,"في انتظار القبول",IF(AND(ISNUMBER(E217),E217&lt;تاريخ_الاحتساب),"متأخر",IF(F217="","لم يبدأ",F217)))))))</f>
        <v/>
      </c>
      <c r="P217" s="26" t="str">
        <f aca="false">IF($A217="","",SUMIFS('سجل المراجعات'!$L$5:$L$1504,'سجل المراجعات'!$A$5:$A$1504,$A217))</f>
        <v/>
      </c>
      <c r="Q217" s="26" t="str">
        <f aca="false">IF($A217="","",SUMIFS('سجل المراجعات'!$M$5:$M$1504,'سجل المراجعات'!$A$5:$A$1504,$A217))</f>
        <v/>
      </c>
      <c r="R217" s="26" t="str">
        <f aca="false">IF(OR($A217="",NOT(ISNUMBER(E217))),"",MAX(0,NETWORKDAYS.INTL(E217,IF(J217&gt;0,J217,تاريخ_الاحتساب),رمز_العطلة,أيام_الأجازات)-1))</f>
        <v/>
      </c>
      <c r="S217" s="22"/>
    </row>
    <row r="218" customFormat="false" ht="15" hidden="false" customHeight="false" outlineLevel="0" collapsed="false">
      <c r="A218" s="20"/>
      <c r="B218" s="20"/>
      <c r="C218" s="30" t="str">
        <f aca="false">IF($A218="","",IFERROR(INDEX(بند_الاسم,MATCH($B218,قائمة_البنود,0)),"⚠ بند غير موجود"))</f>
        <v/>
      </c>
      <c r="D218" s="22"/>
      <c r="E218" s="31"/>
      <c r="F218" s="21"/>
      <c r="G218" s="32"/>
      <c r="H218" s="25" t="str">
        <f aca="false">IF($A218="","",IFERROR(INDEX(بند_سعر_الوحدة,MATCH($B218,قائمة_البنود,0)),0))</f>
        <v/>
      </c>
      <c r="I218" s="25" t="str">
        <f aca="false">IF($A218="","",H218*(1+نسبة_الضريبة))</f>
        <v/>
      </c>
      <c r="J218" s="33" t="str">
        <f aca="false">IF($A218="","",_xlfn.MINIFS('سجل المراجعات'!$E$5:$E$1504,'سجل المراجعات'!$A$5:$A$1504,$A218,'سجل المراجعات'!$D$5:$D$1504,"تسليم"))</f>
        <v/>
      </c>
      <c r="K218" s="33" t="str">
        <f aca="false">IF($A218="","",_xlfn.MAXIFS('سجل المراجعات'!$E$5:$E$1504,'سجل المراجعات'!$A$5:$A$1504,$A218,'سجل المراجعات'!$D$5:$D$1504,"تسليم"))</f>
        <v/>
      </c>
      <c r="L218" s="33" t="str">
        <f aca="false">IF($A218="","",_xlfn.MAXIFS('سجل المراجعات'!$E$5:$E$1504,'سجل المراجعات'!$A$5:$A$1504,$A218,'سجل المراجعات'!$D$5:$D$1504,"رد بملاحظات"))</f>
        <v/>
      </c>
      <c r="M218" s="33" t="str">
        <f aca="false">IF($A218="","",_xlfn.MAXIFS('سجل المراجعات'!$E$5:$E$1504,'سجل المراجعات'!$A$5:$A$1504,$A218,'سجل المراجعات'!$D$5:$D$1504,"قبول"))</f>
        <v/>
      </c>
      <c r="N218" s="26" t="str">
        <f aca="false">IF($A218="","",COUNTIFS('سجل المراجعات'!$A$5:$A$1504,$A218,'سجل المراجعات'!$D$5:$D$1504,"تسليم"))</f>
        <v/>
      </c>
      <c r="O218" s="34" t="str">
        <f aca="false">IF($A218="","",IF(M218&gt;0,"تم القبول",IF(F218="معلق","معلق",IF(AND(L218&gt;0,L218&gt;=K218),"مُعاد بملاحظات",IF(K218&gt;0,"في انتظار القبول",IF(AND(ISNUMBER(E218),E218&lt;تاريخ_الاحتساب),"متأخر",IF(F218="","لم يبدأ",F218)))))))</f>
        <v/>
      </c>
      <c r="P218" s="26" t="str">
        <f aca="false">IF($A218="","",SUMIFS('سجل المراجعات'!$L$5:$L$1504,'سجل المراجعات'!$A$5:$A$1504,$A218))</f>
        <v/>
      </c>
      <c r="Q218" s="26" t="str">
        <f aca="false">IF($A218="","",SUMIFS('سجل المراجعات'!$M$5:$M$1504,'سجل المراجعات'!$A$5:$A$1504,$A218))</f>
        <v/>
      </c>
      <c r="R218" s="26" t="str">
        <f aca="false">IF(OR($A218="",NOT(ISNUMBER(E218))),"",MAX(0,NETWORKDAYS.INTL(E218,IF(J218&gt;0,J218,تاريخ_الاحتساب),رمز_العطلة,أيام_الأجازات)-1))</f>
        <v/>
      </c>
      <c r="S218" s="22"/>
    </row>
    <row r="219" customFormat="false" ht="15" hidden="false" customHeight="false" outlineLevel="0" collapsed="false">
      <c r="A219" s="20"/>
      <c r="B219" s="20"/>
      <c r="C219" s="30" t="str">
        <f aca="false">IF($A219="","",IFERROR(INDEX(بند_الاسم,MATCH($B219,قائمة_البنود,0)),"⚠ بند غير موجود"))</f>
        <v/>
      </c>
      <c r="D219" s="22"/>
      <c r="E219" s="31"/>
      <c r="F219" s="21"/>
      <c r="G219" s="32"/>
      <c r="H219" s="25" t="str">
        <f aca="false">IF($A219="","",IFERROR(INDEX(بند_سعر_الوحدة,MATCH($B219,قائمة_البنود,0)),0))</f>
        <v/>
      </c>
      <c r="I219" s="25" t="str">
        <f aca="false">IF($A219="","",H219*(1+نسبة_الضريبة))</f>
        <v/>
      </c>
      <c r="J219" s="33" t="str">
        <f aca="false">IF($A219="","",_xlfn.MINIFS('سجل المراجعات'!$E$5:$E$1504,'سجل المراجعات'!$A$5:$A$1504,$A219,'سجل المراجعات'!$D$5:$D$1504,"تسليم"))</f>
        <v/>
      </c>
      <c r="K219" s="33" t="str">
        <f aca="false">IF($A219="","",_xlfn.MAXIFS('سجل المراجعات'!$E$5:$E$1504,'سجل المراجعات'!$A$5:$A$1504,$A219,'سجل المراجعات'!$D$5:$D$1504,"تسليم"))</f>
        <v/>
      </c>
      <c r="L219" s="33" t="str">
        <f aca="false">IF($A219="","",_xlfn.MAXIFS('سجل المراجعات'!$E$5:$E$1504,'سجل المراجعات'!$A$5:$A$1504,$A219,'سجل المراجعات'!$D$5:$D$1504,"رد بملاحظات"))</f>
        <v/>
      </c>
      <c r="M219" s="33" t="str">
        <f aca="false">IF($A219="","",_xlfn.MAXIFS('سجل المراجعات'!$E$5:$E$1504,'سجل المراجعات'!$A$5:$A$1504,$A219,'سجل المراجعات'!$D$5:$D$1504,"قبول"))</f>
        <v/>
      </c>
      <c r="N219" s="26" t="str">
        <f aca="false">IF($A219="","",COUNTIFS('سجل المراجعات'!$A$5:$A$1504,$A219,'سجل المراجعات'!$D$5:$D$1504,"تسليم"))</f>
        <v/>
      </c>
      <c r="O219" s="34" t="str">
        <f aca="false">IF($A219="","",IF(M219&gt;0,"تم القبول",IF(F219="معلق","معلق",IF(AND(L219&gt;0,L219&gt;=K219),"مُعاد بملاحظات",IF(K219&gt;0,"في انتظار القبول",IF(AND(ISNUMBER(E219),E219&lt;تاريخ_الاحتساب),"متأخر",IF(F219="","لم يبدأ",F219)))))))</f>
        <v/>
      </c>
      <c r="P219" s="26" t="str">
        <f aca="false">IF($A219="","",SUMIFS('سجل المراجعات'!$L$5:$L$1504,'سجل المراجعات'!$A$5:$A$1504,$A219))</f>
        <v/>
      </c>
      <c r="Q219" s="26" t="str">
        <f aca="false">IF($A219="","",SUMIFS('سجل المراجعات'!$M$5:$M$1504,'سجل المراجعات'!$A$5:$A$1504,$A219))</f>
        <v/>
      </c>
      <c r="R219" s="26" t="str">
        <f aca="false">IF(OR($A219="",NOT(ISNUMBER(E219))),"",MAX(0,NETWORKDAYS.INTL(E219,IF(J219&gt;0,J219,تاريخ_الاحتساب),رمز_العطلة,أيام_الأجازات)-1))</f>
        <v/>
      </c>
      <c r="S219" s="22"/>
    </row>
    <row r="220" customFormat="false" ht="15" hidden="false" customHeight="false" outlineLevel="0" collapsed="false">
      <c r="A220" s="20"/>
      <c r="B220" s="20"/>
      <c r="C220" s="30" t="str">
        <f aca="false">IF($A220="","",IFERROR(INDEX(بند_الاسم,MATCH($B220,قائمة_البنود,0)),"⚠ بند غير موجود"))</f>
        <v/>
      </c>
      <c r="D220" s="22"/>
      <c r="E220" s="31"/>
      <c r="F220" s="21"/>
      <c r="G220" s="32"/>
      <c r="H220" s="25" t="str">
        <f aca="false">IF($A220="","",IFERROR(INDEX(بند_سعر_الوحدة,MATCH($B220,قائمة_البنود,0)),0))</f>
        <v/>
      </c>
      <c r="I220" s="25" t="str">
        <f aca="false">IF($A220="","",H220*(1+نسبة_الضريبة))</f>
        <v/>
      </c>
      <c r="J220" s="33" t="str">
        <f aca="false">IF($A220="","",_xlfn.MINIFS('سجل المراجعات'!$E$5:$E$1504,'سجل المراجعات'!$A$5:$A$1504,$A220,'سجل المراجعات'!$D$5:$D$1504,"تسليم"))</f>
        <v/>
      </c>
      <c r="K220" s="33" t="str">
        <f aca="false">IF($A220="","",_xlfn.MAXIFS('سجل المراجعات'!$E$5:$E$1504,'سجل المراجعات'!$A$5:$A$1504,$A220,'سجل المراجعات'!$D$5:$D$1504,"تسليم"))</f>
        <v/>
      </c>
      <c r="L220" s="33" t="str">
        <f aca="false">IF($A220="","",_xlfn.MAXIFS('سجل المراجعات'!$E$5:$E$1504,'سجل المراجعات'!$A$5:$A$1504,$A220,'سجل المراجعات'!$D$5:$D$1504,"رد بملاحظات"))</f>
        <v/>
      </c>
      <c r="M220" s="33" t="str">
        <f aca="false">IF($A220="","",_xlfn.MAXIFS('سجل المراجعات'!$E$5:$E$1504,'سجل المراجعات'!$A$5:$A$1504,$A220,'سجل المراجعات'!$D$5:$D$1504,"قبول"))</f>
        <v/>
      </c>
      <c r="N220" s="26" t="str">
        <f aca="false">IF($A220="","",COUNTIFS('سجل المراجعات'!$A$5:$A$1504,$A220,'سجل المراجعات'!$D$5:$D$1504,"تسليم"))</f>
        <v/>
      </c>
      <c r="O220" s="34" t="str">
        <f aca="false">IF($A220="","",IF(M220&gt;0,"تم القبول",IF(F220="معلق","معلق",IF(AND(L220&gt;0,L220&gt;=K220),"مُعاد بملاحظات",IF(K220&gt;0,"في انتظار القبول",IF(AND(ISNUMBER(E220),E220&lt;تاريخ_الاحتساب),"متأخر",IF(F220="","لم يبدأ",F220)))))))</f>
        <v/>
      </c>
      <c r="P220" s="26" t="str">
        <f aca="false">IF($A220="","",SUMIFS('سجل المراجعات'!$L$5:$L$1504,'سجل المراجعات'!$A$5:$A$1504,$A220))</f>
        <v/>
      </c>
      <c r="Q220" s="26" t="str">
        <f aca="false">IF($A220="","",SUMIFS('سجل المراجعات'!$M$5:$M$1504,'سجل المراجعات'!$A$5:$A$1504,$A220))</f>
        <v/>
      </c>
      <c r="R220" s="26" t="str">
        <f aca="false">IF(OR($A220="",NOT(ISNUMBER(E220))),"",MAX(0,NETWORKDAYS.INTL(E220,IF(J220&gt;0,J220,تاريخ_الاحتساب),رمز_العطلة,أيام_الأجازات)-1))</f>
        <v/>
      </c>
      <c r="S220" s="22"/>
    </row>
    <row r="221" customFormat="false" ht="15" hidden="false" customHeight="false" outlineLevel="0" collapsed="false">
      <c r="A221" s="20"/>
      <c r="B221" s="20"/>
      <c r="C221" s="30" t="str">
        <f aca="false">IF($A221="","",IFERROR(INDEX(بند_الاسم,MATCH($B221,قائمة_البنود,0)),"⚠ بند غير موجود"))</f>
        <v/>
      </c>
      <c r="D221" s="22"/>
      <c r="E221" s="31"/>
      <c r="F221" s="21"/>
      <c r="G221" s="32"/>
      <c r="H221" s="25" t="str">
        <f aca="false">IF($A221="","",IFERROR(INDEX(بند_سعر_الوحدة,MATCH($B221,قائمة_البنود,0)),0))</f>
        <v/>
      </c>
      <c r="I221" s="25" t="str">
        <f aca="false">IF($A221="","",H221*(1+نسبة_الضريبة))</f>
        <v/>
      </c>
      <c r="J221" s="33" t="str">
        <f aca="false">IF($A221="","",_xlfn.MINIFS('سجل المراجعات'!$E$5:$E$1504,'سجل المراجعات'!$A$5:$A$1504,$A221,'سجل المراجعات'!$D$5:$D$1504,"تسليم"))</f>
        <v/>
      </c>
      <c r="K221" s="33" t="str">
        <f aca="false">IF($A221="","",_xlfn.MAXIFS('سجل المراجعات'!$E$5:$E$1504,'سجل المراجعات'!$A$5:$A$1504,$A221,'سجل المراجعات'!$D$5:$D$1504,"تسليم"))</f>
        <v/>
      </c>
      <c r="L221" s="33" t="str">
        <f aca="false">IF($A221="","",_xlfn.MAXIFS('سجل المراجعات'!$E$5:$E$1504,'سجل المراجعات'!$A$5:$A$1504,$A221,'سجل المراجعات'!$D$5:$D$1504,"رد بملاحظات"))</f>
        <v/>
      </c>
      <c r="M221" s="33" t="str">
        <f aca="false">IF($A221="","",_xlfn.MAXIFS('سجل المراجعات'!$E$5:$E$1504,'سجل المراجعات'!$A$5:$A$1504,$A221,'سجل المراجعات'!$D$5:$D$1504,"قبول"))</f>
        <v/>
      </c>
      <c r="N221" s="26" t="str">
        <f aca="false">IF($A221="","",COUNTIFS('سجل المراجعات'!$A$5:$A$1504,$A221,'سجل المراجعات'!$D$5:$D$1504,"تسليم"))</f>
        <v/>
      </c>
      <c r="O221" s="34" t="str">
        <f aca="false">IF($A221="","",IF(M221&gt;0,"تم القبول",IF(F221="معلق","معلق",IF(AND(L221&gt;0,L221&gt;=K221),"مُعاد بملاحظات",IF(K221&gt;0,"في انتظار القبول",IF(AND(ISNUMBER(E221),E221&lt;تاريخ_الاحتساب),"متأخر",IF(F221="","لم يبدأ",F221)))))))</f>
        <v/>
      </c>
      <c r="P221" s="26" t="str">
        <f aca="false">IF($A221="","",SUMIFS('سجل المراجعات'!$L$5:$L$1504,'سجل المراجعات'!$A$5:$A$1504,$A221))</f>
        <v/>
      </c>
      <c r="Q221" s="26" t="str">
        <f aca="false">IF($A221="","",SUMIFS('سجل المراجعات'!$M$5:$M$1504,'سجل المراجعات'!$A$5:$A$1504,$A221))</f>
        <v/>
      </c>
      <c r="R221" s="26" t="str">
        <f aca="false">IF(OR($A221="",NOT(ISNUMBER(E221))),"",MAX(0,NETWORKDAYS.INTL(E221,IF(J221&gt;0,J221,تاريخ_الاحتساب),رمز_العطلة,أيام_الأجازات)-1))</f>
        <v/>
      </c>
      <c r="S221" s="22"/>
    </row>
    <row r="222" customFormat="false" ht="15" hidden="false" customHeight="false" outlineLevel="0" collapsed="false">
      <c r="A222" s="20"/>
      <c r="B222" s="20"/>
      <c r="C222" s="30" t="str">
        <f aca="false">IF($A222="","",IFERROR(INDEX(بند_الاسم,MATCH($B222,قائمة_البنود,0)),"⚠ بند غير موجود"))</f>
        <v/>
      </c>
      <c r="D222" s="22"/>
      <c r="E222" s="31"/>
      <c r="F222" s="21"/>
      <c r="G222" s="32"/>
      <c r="H222" s="25" t="str">
        <f aca="false">IF($A222="","",IFERROR(INDEX(بند_سعر_الوحدة,MATCH($B222,قائمة_البنود,0)),0))</f>
        <v/>
      </c>
      <c r="I222" s="25" t="str">
        <f aca="false">IF($A222="","",H222*(1+نسبة_الضريبة))</f>
        <v/>
      </c>
      <c r="J222" s="33" t="str">
        <f aca="false">IF($A222="","",_xlfn.MINIFS('سجل المراجعات'!$E$5:$E$1504,'سجل المراجعات'!$A$5:$A$1504,$A222,'سجل المراجعات'!$D$5:$D$1504,"تسليم"))</f>
        <v/>
      </c>
      <c r="K222" s="33" t="str">
        <f aca="false">IF($A222="","",_xlfn.MAXIFS('سجل المراجعات'!$E$5:$E$1504,'سجل المراجعات'!$A$5:$A$1504,$A222,'سجل المراجعات'!$D$5:$D$1504,"تسليم"))</f>
        <v/>
      </c>
      <c r="L222" s="33" t="str">
        <f aca="false">IF($A222="","",_xlfn.MAXIFS('سجل المراجعات'!$E$5:$E$1504,'سجل المراجعات'!$A$5:$A$1504,$A222,'سجل المراجعات'!$D$5:$D$1504,"رد بملاحظات"))</f>
        <v/>
      </c>
      <c r="M222" s="33" t="str">
        <f aca="false">IF($A222="","",_xlfn.MAXIFS('سجل المراجعات'!$E$5:$E$1504,'سجل المراجعات'!$A$5:$A$1504,$A222,'سجل المراجعات'!$D$5:$D$1504,"قبول"))</f>
        <v/>
      </c>
      <c r="N222" s="26" t="str">
        <f aca="false">IF($A222="","",COUNTIFS('سجل المراجعات'!$A$5:$A$1504,$A222,'سجل المراجعات'!$D$5:$D$1504,"تسليم"))</f>
        <v/>
      </c>
      <c r="O222" s="34" t="str">
        <f aca="false">IF($A222="","",IF(M222&gt;0,"تم القبول",IF(F222="معلق","معلق",IF(AND(L222&gt;0,L222&gt;=K222),"مُعاد بملاحظات",IF(K222&gt;0,"في انتظار القبول",IF(AND(ISNUMBER(E222),E222&lt;تاريخ_الاحتساب),"متأخر",IF(F222="","لم يبدأ",F222)))))))</f>
        <v/>
      </c>
      <c r="P222" s="26" t="str">
        <f aca="false">IF($A222="","",SUMIFS('سجل المراجعات'!$L$5:$L$1504,'سجل المراجعات'!$A$5:$A$1504,$A222))</f>
        <v/>
      </c>
      <c r="Q222" s="26" t="str">
        <f aca="false">IF($A222="","",SUMIFS('سجل المراجعات'!$M$5:$M$1504,'سجل المراجعات'!$A$5:$A$1504,$A222))</f>
        <v/>
      </c>
      <c r="R222" s="26" t="str">
        <f aca="false">IF(OR($A222="",NOT(ISNUMBER(E222))),"",MAX(0,NETWORKDAYS.INTL(E222,IF(J222&gt;0,J222,تاريخ_الاحتساب),رمز_العطلة,أيام_الأجازات)-1))</f>
        <v/>
      </c>
      <c r="S222" s="22"/>
    </row>
    <row r="223" customFormat="false" ht="15" hidden="false" customHeight="false" outlineLevel="0" collapsed="false">
      <c r="A223" s="20"/>
      <c r="B223" s="20"/>
      <c r="C223" s="30" t="str">
        <f aca="false">IF($A223="","",IFERROR(INDEX(بند_الاسم,MATCH($B223,قائمة_البنود,0)),"⚠ بند غير موجود"))</f>
        <v/>
      </c>
      <c r="D223" s="22"/>
      <c r="E223" s="31"/>
      <c r="F223" s="21"/>
      <c r="G223" s="32"/>
      <c r="H223" s="25" t="str">
        <f aca="false">IF($A223="","",IFERROR(INDEX(بند_سعر_الوحدة,MATCH($B223,قائمة_البنود,0)),0))</f>
        <v/>
      </c>
      <c r="I223" s="25" t="str">
        <f aca="false">IF($A223="","",H223*(1+نسبة_الضريبة))</f>
        <v/>
      </c>
      <c r="J223" s="33" t="str">
        <f aca="false">IF($A223="","",_xlfn.MINIFS('سجل المراجعات'!$E$5:$E$1504,'سجل المراجعات'!$A$5:$A$1504,$A223,'سجل المراجعات'!$D$5:$D$1504,"تسليم"))</f>
        <v/>
      </c>
      <c r="K223" s="33" t="str">
        <f aca="false">IF($A223="","",_xlfn.MAXIFS('سجل المراجعات'!$E$5:$E$1504,'سجل المراجعات'!$A$5:$A$1504,$A223,'سجل المراجعات'!$D$5:$D$1504,"تسليم"))</f>
        <v/>
      </c>
      <c r="L223" s="33" t="str">
        <f aca="false">IF($A223="","",_xlfn.MAXIFS('سجل المراجعات'!$E$5:$E$1504,'سجل المراجعات'!$A$5:$A$1504,$A223,'سجل المراجعات'!$D$5:$D$1504,"رد بملاحظات"))</f>
        <v/>
      </c>
      <c r="M223" s="33" t="str">
        <f aca="false">IF($A223="","",_xlfn.MAXIFS('سجل المراجعات'!$E$5:$E$1504,'سجل المراجعات'!$A$5:$A$1504,$A223,'سجل المراجعات'!$D$5:$D$1504,"قبول"))</f>
        <v/>
      </c>
      <c r="N223" s="26" t="str">
        <f aca="false">IF($A223="","",COUNTIFS('سجل المراجعات'!$A$5:$A$1504,$A223,'سجل المراجعات'!$D$5:$D$1504,"تسليم"))</f>
        <v/>
      </c>
      <c r="O223" s="34" t="str">
        <f aca="false">IF($A223="","",IF(M223&gt;0,"تم القبول",IF(F223="معلق","معلق",IF(AND(L223&gt;0,L223&gt;=K223),"مُعاد بملاحظات",IF(K223&gt;0,"في انتظار القبول",IF(AND(ISNUMBER(E223),E223&lt;تاريخ_الاحتساب),"متأخر",IF(F223="","لم يبدأ",F223)))))))</f>
        <v/>
      </c>
      <c r="P223" s="26" t="str">
        <f aca="false">IF($A223="","",SUMIFS('سجل المراجعات'!$L$5:$L$1504,'سجل المراجعات'!$A$5:$A$1504,$A223))</f>
        <v/>
      </c>
      <c r="Q223" s="26" t="str">
        <f aca="false">IF($A223="","",SUMIFS('سجل المراجعات'!$M$5:$M$1504,'سجل المراجعات'!$A$5:$A$1504,$A223))</f>
        <v/>
      </c>
      <c r="R223" s="26" t="str">
        <f aca="false">IF(OR($A223="",NOT(ISNUMBER(E223))),"",MAX(0,NETWORKDAYS.INTL(E223,IF(J223&gt;0,J223,تاريخ_الاحتساب),رمز_العطلة,أيام_الأجازات)-1))</f>
        <v/>
      </c>
      <c r="S223" s="22"/>
    </row>
    <row r="224" customFormat="false" ht="15" hidden="false" customHeight="false" outlineLevel="0" collapsed="false">
      <c r="A224" s="20"/>
      <c r="B224" s="20"/>
      <c r="C224" s="30" t="str">
        <f aca="false">IF($A224="","",IFERROR(INDEX(بند_الاسم,MATCH($B224,قائمة_البنود,0)),"⚠ بند غير موجود"))</f>
        <v/>
      </c>
      <c r="D224" s="22"/>
      <c r="E224" s="31"/>
      <c r="F224" s="21"/>
      <c r="G224" s="32"/>
      <c r="H224" s="25" t="str">
        <f aca="false">IF($A224="","",IFERROR(INDEX(بند_سعر_الوحدة,MATCH($B224,قائمة_البنود,0)),0))</f>
        <v/>
      </c>
      <c r="I224" s="25" t="str">
        <f aca="false">IF($A224="","",H224*(1+نسبة_الضريبة))</f>
        <v/>
      </c>
      <c r="J224" s="33" t="str">
        <f aca="false">IF($A224="","",_xlfn.MINIFS('سجل المراجعات'!$E$5:$E$1504,'سجل المراجعات'!$A$5:$A$1504,$A224,'سجل المراجعات'!$D$5:$D$1504,"تسليم"))</f>
        <v/>
      </c>
      <c r="K224" s="33" t="str">
        <f aca="false">IF($A224="","",_xlfn.MAXIFS('سجل المراجعات'!$E$5:$E$1504,'سجل المراجعات'!$A$5:$A$1504,$A224,'سجل المراجعات'!$D$5:$D$1504,"تسليم"))</f>
        <v/>
      </c>
      <c r="L224" s="33" t="str">
        <f aca="false">IF($A224="","",_xlfn.MAXIFS('سجل المراجعات'!$E$5:$E$1504,'سجل المراجعات'!$A$5:$A$1504,$A224,'سجل المراجعات'!$D$5:$D$1504,"رد بملاحظات"))</f>
        <v/>
      </c>
      <c r="M224" s="33" t="str">
        <f aca="false">IF($A224="","",_xlfn.MAXIFS('سجل المراجعات'!$E$5:$E$1504,'سجل المراجعات'!$A$5:$A$1504,$A224,'سجل المراجعات'!$D$5:$D$1504,"قبول"))</f>
        <v/>
      </c>
      <c r="N224" s="26" t="str">
        <f aca="false">IF($A224="","",COUNTIFS('سجل المراجعات'!$A$5:$A$1504,$A224,'سجل المراجعات'!$D$5:$D$1504,"تسليم"))</f>
        <v/>
      </c>
      <c r="O224" s="34" t="str">
        <f aca="false">IF($A224="","",IF(M224&gt;0,"تم القبول",IF(F224="معلق","معلق",IF(AND(L224&gt;0,L224&gt;=K224),"مُعاد بملاحظات",IF(K224&gt;0,"في انتظار القبول",IF(AND(ISNUMBER(E224),E224&lt;تاريخ_الاحتساب),"متأخر",IF(F224="","لم يبدأ",F224)))))))</f>
        <v/>
      </c>
      <c r="P224" s="26" t="str">
        <f aca="false">IF($A224="","",SUMIFS('سجل المراجعات'!$L$5:$L$1504,'سجل المراجعات'!$A$5:$A$1504,$A224))</f>
        <v/>
      </c>
      <c r="Q224" s="26" t="str">
        <f aca="false">IF($A224="","",SUMIFS('سجل المراجعات'!$M$5:$M$1504,'سجل المراجعات'!$A$5:$A$1504,$A224))</f>
        <v/>
      </c>
      <c r="R224" s="26" t="str">
        <f aca="false">IF(OR($A224="",NOT(ISNUMBER(E224))),"",MAX(0,NETWORKDAYS.INTL(E224,IF(J224&gt;0,J224,تاريخ_الاحتساب),رمز_العطلة,أيام_الأجازات)-1))</f>
        <v/>
      </c>
      <c r="S224" s="22"/>
    </row>
    <row r="225" customFormat="false" ht="15" hidden="false" customHeight="false" outlineLevel="0" collapsed="false">
      <c r="A225" s="20"/>
      <c r="B225" s="20"/>
      <c r="C225" s="30" t="str">
        <f aca="false">IF($A225="","",IFERROR(INDEX(بند_الاسم,MATCH($B225,قائمة_البنود,0)),"⚠ بند غير موجود"))</f>
        <v/>
      </c>
      <c r="D225" s="22"/>
      <c r="E225" s="31"/>
      <c r="F225" s="21"/>
      <c r="G225" s="32"/>
      <c r="H225" s="25" t="str">
        <f aca="false">IF($A225="","",IFERROR(INDEX(بند_سعر_الوحدة,MATCH($B225,قائمة_البنود,0)),0))</f>
        <v/>
      </c>
      <c r="I225" s="25" t="str">
        <f aca="false">IF($A225="","",H225*(1+نسبة_الضريبة))</f>
        <v/>
      </c>
      <c r="J225" s="33" t="str">
        <f aca="false">IF($A225="","",_xlfn.MINIFS('سجل المراجعات'!$E$5:$E$1504,'سجل المراجعات'!$A$5:$A$1504,$A225,'سجل المراجعات'!$D$5:$D$1504,"تسليم"))</f>
        <v/>
      </c>
      <c r="K225" s="33" t="str">
        <f aca="false">IF($A225="","",_xlfn.MAXIFS('سجل المراجعات'!$E$5:$E$1504,'سجل المراجعات'!$A$5:$A$1504,$A225,'سجل المراجعات'!$D$5:$D$1504,"تسليم"))</f>
        <v/>
      </c>
      <c r="L225" s="33" t="str">
        <f aca="false">IF($A225="","",_xlfn.MAXIFS('سجل المراجعات'!$E$5:$E$1504,'سجل المراجعات'!$A$5:$A$1504,$A225,'سجل المراجعات'!$D$5:$D$1504,"رد بملاحظات"))</f>
        <v/>
      </c>
      <c r="M225" s="33" t="str">
        <f aca="false">IF($A225="","",_xlfn.MAXIFS('سجل المراجعات'!$E$5:$E$1504,'سجل المراجعات'!$A$5:$A$1504,$A225,'سجل المراجعات'!$D$5:$D$1504,"قبول"))</f>
        <v/>
      </c>
      <c r="N225" s="26" t="str">
        <f aca="false">IF($A225="","",COUNTIFS('سجل المراجعات'!$A$5:$A$1504,$A225,'سجل المراجعات'!$D$5:$D$1504,"تسليم"))</f>
        <v/>
      </c>
      <c r="O225" s="34" t="str">
        <f aca="false">IF($A225="","",IF(M225&gt;0,"تم القبول",IF(F225="معلق","معلق",IF(AND(L225&gt;0,L225&gt;=K225),"مُعاد بملاحظات",IF(K225&gt;0,"في انتظار القبول",IF(AND(ISNUMBER(E225),E225&lt;تاريخ_الاحتساب),"متأخر",IF(F225="","لم يبدأ",F225)))))))</f>
        <v/>
      </c>
      <c r="P225" s="26" t="str">
        <f aca="false">IF($A225="","",SUMIFS('سجل المراجعات'!$L$5:$L$1504,'سجل المراجعات'!$A$5:$A$1504,$A225))</f>
        <v/>
      </c>
      <c r="Q225" s="26" t="str">
        <f aca="false">IF($A225="","",SUMIFS('سجل المراجعات'!$M$5:$M$1504,'سجل المراجعات'!$A$5:$A$1504,$A225))</f>
        <v/>
      </c>
      <c r="R225" s="26" t="str">
        <f aca="false">IF(OR($A225="",NOT(ISNUMBER(E225))),"",MAX(0,NETWORKDAYS.INTL(E225,IF(J225&gt;0,J225,تاريخ_الاحتساب),رمز_العطلة,أيام_الأجازات)-1))</f>
        <v/>
      </c>
      <c r="S225" s="22"/>
    </row>
    <row r="226" customFormat="false" ht="15" hidden="false" customHeight="false" outlineLevel="0" collapsed="false">
      <c r="A226" s="20"/>
      <c r="B226" s="20"/>
      <c r="C226" s="30" t="str">
        <f aca="false">IF($A226="","",IFERROR(INDEX(بند_الاسم,MATCH($B226,قائمة_البنود,0)),"⚠ بند غير موجود"))</f>
        <v/>
      </c>
      <c r="D226" s="22"/>
      <c r="E226" s="31"/>
      <c r="F226" s="21"/>
      <c r="G226" s="32"/>
      <c r="H226" s="25" t="str">
        <f aca="false">IF($A226="","",IFERROR(INDEX(بند_سعر_الوحدة,MATCH($B226,قائمة_البنود,0)),0))</f>
        <v/>
      </c>
      <c r="I226" s="25" t="str">
        <f aca="false">IF($A226="","",H226*(1+نسبة_الضريبة))</f>
        <v/>
      </c>
      <c r="J226" s="33" t="str">
        <f aca="false">IF($A226="","",_xlfn.MINIFS('سجل المراجعات'!$E$5:$E$1504,'سجل المراجعات'!$A$5:$A$1504,$A226,'سجل المراجعات'!$D$5:$D$1504,"تسليم"))</f>
        <v/>
      </c>
      <c r="K226" s="33" t="str">
        <f aca="false">IF($A226="","",_xlfn.MAXIFS('سجل المراجعات'!$E$5:$E$1504,'سجل المراجعات'!$A$5:$A$1504,$A226,'سجل المراجعات'!$D$5:$D$1504,"تسليم"))</f>
        <v/>
      </c>
      <c r="L226" s="33" t="str">
        <f aca="false">IF($A226="","",_xlfn.MAXIFS('سجل المراجعات'!$E$5:$E$1504,'سجل المراجعات'!$A$5:$A$1504,$A226,'سجل المراجعات'!$D$5:$D$1504,"رد بملاحظات"))</f>
        <v/>
      </c>
      <c r="M226" s="33" t="str">
        <f aca="false">IF($A226="","",_xlfn.MAXIFS('سجل المراجعات'!$E$5:$E$1504,'سجل المراجعات'!$A$5:$A$1504,$A226,'سجل المراجعات'!$D$5:$D$1504,"قبول"))</f>
        <v/>
      </c>
      <c r="N226" s="26" t="str">
        <f aca="false">IF($A226="","",COUNTIFS('سجل المراجعات'!$A$5:$A$1504,$A226,'سجل المراجعات'!$D$5:$D$1504,"تسليم"))</f>
        <v/>
      </c>
      <c r="O226" s="34" t="str">
        <f aca="false">IF($A226="","",IF(M226&gt;0,"تم القبول",IF(F226="معلق","معلق",IF(AND(L226&gt;0,L226&gt;=K226),"مُعاد بملاحظات",IF(K226&gt;0,"في انتظار القبول",IF(AND(ISNUMBER(E226),E226&lt;تاريخ_الاحتساب),"متأخر",IF(F226="","لم يبدأ",F226)))))))</f>
        <v/>
      </c>
      <c r="P226" s="26" t="str">
        <f aca="false">IF($A226="","",SUMIFS('سجل المراجعات'!$L$5:$L$1504,'سجل المراجعات'!$A$5:$A$1504,$A226))</f>
        <v/>
      </c>
      <c r="Q226" s="26" t="str">
        <f aca="false">IF($A226="","",SUMIFS('سجل المراجعات'!$M$5:$M$1504,'سجل المراجعات'!$A$5:$A$1504,$A226))</f>
        <v/>
      </c>
      <c r="R226" s="26" t="str">
        <f aca="false">IF(OR($A226="",NOT(ISNUMBER(E226))),"",MAX(0,NETWORKDAYS.INTL(E226,IF(J226&gt;0,J226,تاريخ_الاحتساب),رمز_العطلة,أيام_الأجازات)-1))</f>
        <v/>
      </c>
      <c r="S226" s="22"/>
    </row>
    <row r="227" customFormat="false" ht="15" hidden="false" customHeight="false" outlineLevel="0" collapsed="false">
      <c r="A227" s="20"/>
      <c r="B227" s="20"/>
      <c r="C227" s="30" t="str">
        <f aca="false">IF($A227="","",IFERROR(INDEX(بند_الاسم,MATCH($B227,قائمة_البنود,0)),"⚠ بند غير موجود"))</f>
        <v/>
      </c>
      <c r="D227" s="22"/>
      <c r="E227" s="31"/>
      <c r="F227" s="21"/>
      <c r="G227" s="32"/>
      <c r="H227" s="25" t="str">
        <f aca="false">IF($A227="","",IFERROR(INDEX(بند_سعر_الوحدة,MATCH($B227,قائمة_البنود,0)),0))</f>
        <v/>
      </c>
      <c r="I227" s="25" t="str">
        <f aca="false">IF($A227="","",H227*(1+نسبة_الضريبة))</f>
        <v/>
      </c>
      <c r="J227" s="33" t="str">
        <f aca="false">IF($A227="","",_xlfn.MINIFS('سجل المراجعات'!$E$5:$E$1504,'سجل المراجعات'!$A$5:$A$1504,$A227,'سجل المراجعات'!$D$5:$D$1504,"تسليم"))</f>
        <v/>
      </c>
      <c r="K227" s="33" t="str">
        <f aca="false">IF($A227="","",_xlfn.MAXIFS('سجل المراجعات'!$E$5:$E$1504,'سجل المراجعات'!$A$5:$A$1504,$A227,'سجل المراجعات'!$D$5:$D$1504,"تسليم"))</f>
        <v/>
      </c>
      <c r="L227" s="33" t="str">
        <f aca="false">IF($A227="","",_xlfn.MAXIFS('سجل المراجعات'!$E$5:$E$1504,'سجل المراجعات'!$A$5:$A$1504,$A227,'سجل المراجعات'!$D$5:$D$1504,"رد بملاحظات"))</f>
        <v/>
      </c>
      <c r="M227" s="33" t="str">
        <f aca="false">IF($A227="","",_xlfn.MAXIFS('سجل المراجعات'!$E$5:$E$1504,'سجل المراجعات'!$A$5:$A$1504,$A227,'سجل المراجعات'!$D$5:$D$1504,"قبول"))</f>
        <v/>
      </c>
      <c r="N227" s="26" t="str">
        <f aca="false">IF($A227="","",COUNTIFS('سجل المراجعات'!$A$5:$A$1504,$A227,'سجل المراجعات'!$D$5:$D$1504,"تسليم"))</f>
        <v/>
      </c>
      <c r="O227" s="34" t="str">
        <f aca="false">IF($A227="","",IF(M227&gt;0,"تم القبول",IF(F227="معلق","معلق",IF(AND(L227&gt;0,L227&gt;=K227),"مُعاد بملاحظات",IF(K227&gt;0,"في انتظار القبول",IF(AND(ISNUMBER(E227),E227&lt;تاريخ_الاحتساب),"متأخر",IF(F227="","لم يبدأ",F227)))))))</f>
        <v/>
      </c>
      <c r="P227" s="26" t="str">
        <f aca="false">IF($A227="","",SUMIFS('سجل المراجعات'!$L$5:$L$1504,'سجل المراجعات'!$A$5:$A$1504,$A227))</f>
        <v/>
      </c>
      <c r="Q227" s="26" t="str">
        <f aca="false">IF($A227="","",SUMIFS('سجل المراجعات'!$M$5:$M$1504,'سجل المراجعات'!$A$5:$A$1504,$A227))</f>
        <v/>
      </c>
      <c r="R227" s="26" t="str">
        <f aca="false">IF(OR($A227="",NOT(ISNUMBER(E227))),"",MAX(0,NETWORKDAYS.INTL(E227,IF(J227&gt;0,J227,تاريخ_الاحتساب),رمز_العطلة,أيام_الأجازات)-1))</f>
        <v/>
      </c>
      <c r="S227" s="22"/>
    </row>
    <row r="228" customFormat="false" ht="15" hidden="false" customHeight="false" outlineLevel="0" collapsed="false">
      <c r="A228" s="20"/>
      <c r="B228" s="20"/>
      <c r="C228" s="30" t="str">
        <f aca="false">IF($A228="","",IFERROR(INDEX(بند_الاسم,MATCH($B228,قائمة_البنود,0)),"⚠ بند غير موجود"))</f>
        <v/>
      </c>
      <c r="D228" s="22"/>
      <c r="E228" s="31"/>
      <c r="F228" s="21"/>
      <c r="G228" s="32"/>
      <c r="H228" s="25" t="str">
        <f aca="false">IF($A228="","",IFERROR(INDEX(بند_سعر_الوحدة,MATCH($B228,قائمة_البنود,0)),0))</f>
        <v/>
      </c>
      <c r="I228" s="25" t="str">
        <f aca="false">IF($A228="","",H228*(1+نسبة_الضريبة))</f>
        <v/>
      </c>
      <c r="J228" s="33" t="str">
        <f aca="false">IF($A228="","",_xlfn.MINIFS('سجل المراجعات'!$E$5:$E$1504,'سجل المراجعات'!$A$5:$A$1504,$A228,'سجل المراجعات'!$D$5:$D$1504,"تسليم"))</f>
        <v/>
      </c>
      <c r="K228" s="33" t="str">
        <f aca="false">IF($A228="","",_xlfn.MAXIFS('سجل المراجعات'!$E$5:$E$1504,'سجل المراجعات'!$A$5:$A$1504,$A228,'سجل المراجعات'!$D$5:$D$1504,"تسليم"))</f>
        <v/>
      </c>
      <c r="L228" s="33" t="str">
        <f aca="false">IF($A228="","",_xlfn.MAXIFS('سجل المراجعات'!$E$5:$E$1504,'سجل المراجعات'!$A$5:$A$1504,$A228,'سجل المراجعات'!$D$5:$D$1504,"رد بملاحظات"))</f>
        <v/>
      </c>
      <c r="M228" s="33" t="str">
        <f aca="false">IF($A228="","",_xlfn.MAXIFS('سجل المراجعات'!$E$5:$E$1504,'سجل المراجعات'!$A$5:$A$1504,$A228,'سجل المراجعات'!$D$5:$D$1504,"قبول"))</f>
        <v/>
      </c>
      <c r="N228" s="26" t="str">
        <f aca="false">IF($A228="","",COUNTIFS('سجل المراجعات'!$A$5:$A$1504,$A228,'سجل المراجعات'!$D$5:$D$1504,"تسليم"))</f>
        <v/>
      </c>
      <c r="O228" s="34" t="str">
        <f aca="false">IF($A228="","",IF(M228&gt;0,"تم القبول",IF(F228="معلق","معلق",IF(AND(L228&gt;0,L228&gt;=K228),"مُعاد بملاحظات",IF(K228&gt;0,"في انتظار القبول",IF(AND(ISNUMBER(E228),E228&lt;تاريخ_الاحتساب),"متأخر",IF(F228="","لم يبدأ",F228)))))))</f>
        <v/>
      </c>
      <c r="P228" s="26" t="str">
        <f aca="false">IF($A228="","",SUMIFS('سجل المراجعات'!$L$5:$L$1504,'سجل المراجعات'!$A$5:$A$1504,$A228))</f>
        <v/>
      </c>
      <c r="Q228" s="26" t="str">
        <f aca="false">IF($A228="","",SUMIFS('سجل المراجعات'!$M$5:$M$1504,'سجل المراجعات'!$A$5:$A$1504,$A228))</f>
        <v/>
      </c>
      <c r="R228" s="26" t="str">
        <f aca="false">IF(OR($A228="",NOT(ISNUMBER(E228))),"",MAX(0,NETWORKDAYS.INTL(E228,IF(J228&gt;0,J228,تاريخ_الاحتساب),رمز_العطلة,أيام_الأجازات)-1))</f>
        <v/>
      </c>
      <c r="S228" s="22"/>
    </row>
    <row r="229" customFormat="false" ht="15" hidden="false" customHeight="false" outlineLevel="0" collapsed="false">
      <c r="A229" s="20"/>
      <c r="B229" s="20"/>
      <c r="C229" s="30" t="str">
        <f aca="false">IF($A229="","",IFERROR(INDEX(بند_الاسم,MATCH($B229,قائمة_البنود,0)),"⚠ بند غير موجود"))</f>
        <v/>
      </c>
      <c r="D229" s="22"/>
      <c r="E229" s="31"/>
      <c r="F229" s="21"/>
      <c r="G229" s="32"/>
      <c r="H229" s="25" t="str">
        <f aca="false">IF($A229="","",IFERROR(INDEX(بند_سعر_الوحدة,MATCH($B229,قائمة_البنود,0)),0))</f>
        <v/>
      </c>
      <c r="I229" s="25" t="str">
        <f aca="false">IF($A229="","",H229*(1+نسبة_الضريبة))</f>
        <v/>
      </c>
      <c r="J229" s="33" t="str">
        <f aca="false">IF($A229="","",_xlfn.MINIFS('سجل المراجعات'!$E$5:$E$1504,'سجل المراجعات'!$A$5:$A$1504,$A229,'سجل المراجعات'!$D$5:$D$1504,"تسليم"))</f>
        <v/>
      </c>
      <c r="K229" s="33" t="str">
        <f aca="false">IF($A229="","",_xlfn.MAXIFS('سجل المراجعات'!$E$5:$E$1504,'سجل المراجعات'!$A$5:$A$1504,$A229,'سجل المراجعات'!$D$5:$D$1504,"تسليم"))</f>
        <v/>
      </c>
      <c r="L229" s="33" t="str">
        <f aca="false">IF($A229="","",_xlfn.MAXIFS('سجل المراجعات'!$E$5:$E$1504,'سجل المراجعات'!$A$5:$A$1504,$A229,'سجل المراجعات'!$D$5:$D$1504,"رد بملاحظات"))</f>
        <v/>
      </c>
      <c r="M229" s="33" t="str">
        <f aca="false">IF($A229="","",_xlfn.MAXIFS('سجل المراجعات'!$E$5:$E$1504,'سجل المراجعات'!$A$5:$A$1504,$A229,'سجل المراجعات'!$D$5:$D$1504,"قبول"))</f>
        <v/>
      </c>
      <c r="N229" s="26" t="str">
        <f aca="false">IF($A229="","",COUNTIFS('سجل المراجعات'!$A$5:$A$1504,$A229,'سجل المراجعات'!$D$5:$D$1504,"تسليم"))</f>
        <v/>
      </c>
      <c r="O229" s="34" t="str">
        <f aca="false">IF($A229="","",IF(M229&gt;0,"تم القبول",IF(F229="معلق","معلق",IF(AND(L229&gt;0,L229&gt;=K229),"مُعاد بملاحظات",IF(K229&gt;0,"في انتظار القبول",IF(AND(ISNUMBER(E229),E229&lt;تاريخ_الاحتساب),"متأخر",IF(F229="","لم يبدأ",F229)))))))</f>
        <v/>
      </c>
      <c r="P229" s="26" t="str">
        <f aca="false">IF($A229="","",SUMIFS('سجل المراجعات'!$L$5:$L$1504,'سجل المراجعات'!$A$5:$A$1504,$A229))</f>
        <v/>
      </c>
      <c r="Q229" s="26" t="str">
        <f aca="false">IF($A229="","",SUMIFS('سجل المراجعات'!$M$5:$M$1504,'سجل المراجعات'!$A$5:$A$1504,$A229))</f>
        <v/>
      </c>
      <c r="R229" s="26" t="str">
        <f aca="false">IF(OR($A229="",NOT(ISNUMBER(E229))),"",MAX(0,NETWORKDAYS.INTL(E229,IF(J229&gt;0,J229,تاريخ_الاحتساب),رمز_العطلة,أيام_الأجازات)-1))</f>
        <v/>
      </c>
      <c r="S229" s="22"/>
    </row>
    <row r="230" customFormat="false" ht="15" hidden="false" customHeight="false" outlineLevel="0" collapsed="false">
      <c r="A230" s="20"/>
      <c r="B230" s="20"/>
      <c r="C230" s="30" t="str">
        <f aca="false">IF($A230="","",IFERROR(INDEX(بند_الاسم,MATCH($B230,قائمة_البنود,0)),"⚠ بند غير موجود"))</f>
        <v/>
      </c>
      <c r="D230" s="22"/>
      <c r="E230" s="31"/>
      <c r="F230" s="21"/>
      <c r="G230" s="32"/>
      <c r="H230" s="25" t="str">
        <f aca="false">IF($A230="","",IFERROR(INDEX(بند_سعر_الوحدة,MATCH($B230,قائمة_البنود,0)),0))</f>
        <v/>
      </c>
      <c r="I230" s="25" t="str">
        <f aca="false">IF($A230="","",H230*(1+نسبة_الضريبة))</f>
        <v/>
      </c>
      <c r="J230" s="33" t="str">
        <f aca="false">IF($A230="","",_xlfn.MINIFS('سجل المراجعات'!$E$5:$E$1504,'سجل المراجعات'!$A$5:$A$1504,$A230,'سجل المراجعات'!$D$5:$D$1504,"تسليم"))</f>
        <v/>
      </c>
      <c r="K230" s="33" t="str">
        <f aca="false">IF($A230="","",_xlfn.MAXIFS('سجل المراجعات'!$E$5:$E$1504,'سجل المراجعات'!$A$5:$A$1504,$A230,'سجل المراجعات'!$D$5:$D$1504,"تسليم"))</f>
        <v/>
      </c>
      <c r="L230" s="33" t="str">
        <f aca="false">IF($A230="","",_xlfn.MAXIFS('سجل المراجعات'!$E$5:$E$1504,'سجل المراجعات'!$A$5:$A$1504,$A230,'سجل المراجعات'!$D$5:$D$1504,"رد بملاحظات"))</f>
        <v/>
      </c>
      <c r="M230" s="33" t="str">
        <f aca="false">IF($A230="","",_xlfn.MAXIFS('سجل المراجعات'!$E$5:$E$1504,'سجل المراجعات'!$A$5:$A$1504,$A230,'سجل المراجعات'!$D$5:$D$1504,"قبول"))</f>
        <v/>
      </c>
      <c r="N230" s="26" t="str">
        <f aca="false">IF($A230="","",COUNTIFS('سجل المراجعات'!$A$5:$A$1504,$A230,'سجل المراجعات'!$D$5:$D$1504,"تسليم"))</f>
        <v/>
      </c>
      <c r="O230" s="34" t="str">
        <f aca="false">IF($A230="","",IF(M230&gt;0,"تم القبول",IF(F230="معلق","معلق",IF(AND(L230&gt;0,L230&gt;=K230),"مُعاد بملاحظات",IF(K230&gt;0,"في انتظار القبول",IF(AND(ISNUMBER(E230),E230&lt;تاريخ_الاحتساب),"متأخر",IF(F230="","لم يبدأ",F230)))))))</f>
        <v/>
      </c>
      <c r="P230" s="26" t="str">
        <f aca="false">IF($A230="","",SUMIFS('سجل المراجعات'!$L$5:$L$1504,'سجل المراجعات'!$A$5:$A$1504,$A230))</f>
        <v/>
      </c>
      <c r="Q230" s="26" t="str">
        <f aca="false">IF($A230="","",SUMIFS('سجل المراجعات'!$M$5:$M$1504,'سجل المراجعات'!$A$5:$A$1504,$A230))</f>
        <v/>
      </c>
      <c r="R230" s="26" t="str">
        <f aca="false">IF(OR($A230="",NOT(ISNUMBER(E230))),"",MAX(0,NETWORKDAYS.INTL(E230,IF(J230&gt;0,J230,تاريخ_الاحتساب),رمز_العطلة,أيام_الأجازات)-1))</f>
        <v/>
      </c>
      <c r="S230" s="22"/>
    </row>
    <row r="231" customFormat="false" ht="15" hidden="false" customHeight="false" outlineLevel="0" collapsed="false">
      <c r="A231" s="20"/>
      <c r="B231" s="20"/>
      <c r="C231" s="30" t="str">
        <f aca="false">IF($A231="","",IFERROR(INDEX(بند_الاسم,MATCH($B231,قائمة_البنود,0)),"⚠ بند غير موجود"))</f>
        <v/>
      </c>
      <c r="D231" s="22"/>
      <c r="E231" s="31"/>
      <c r="F231" s="21"/>
      <c r="G231" s="32"/>
      <c r="H231" s="25" t="str">
        <f aca="false">IF($A231="","",IFERROR(INDEX(بند_سعر_الوحدة,MATCH($B231,قائمة_البنود,0)),0))</f>
        <v/>
      </c>
      <c r="I231" s="25" t="str">
        <f aca="false">IF($A231="","",H231*(1+نسبة_الضريبة))</f>
        <v/>
      </c>
      <c r="J231" s="33" t="str">
        <f aca="false">IF($A231="","",_xlfn.MINIFS('سجل المراجعات'!$E$5:$E$1504,'سجل المراجعات'!$A$5:$A$1504,$A231,'سجل المراجعات'!$D$5:$D$1504,"تسليم"))</f>
        <v/>
      </c>
      <c r="K231" s="33" t="str">
        <f aca="false">IF($A231="","",_xlfn.MAXIFS('سجل المراجعات'!$E$5:$E$1504,'سجل المراجعات'!$A$5:$A$1504,$A231,'سجل المراجعات'!$D$5:$D$1504,"تسليم"))</f>
        <v/>
      </c>
      <c r="L231" s="33" t="str">
        <f aca="false">IF($A231="","",_xlfn.MAXIFS('سجل المراجعات'!$E$5:$E$1504,'سجل المراجعات'!$A$5:$A$1504,$A231,'سجل المراجعات'!$D$5:$D$1504,"رد بملاحظات"))</f>
        <v/>
      </c>
      <c r="M231" s="33" t="str">
        <f aca="false">IF($A231="","",_xlfn.MAXIFS('سجل المراجعات'!$E$5:$E$1504,'سجل المراجعات'!$A$5:$A$1504,$A231,'سجل المراجعات'!$D$5:$D$1504,"قبول"))</f>
        <v/>
      </c>
      <c r="N231" s="26" t="str">
        <f aca="false">IF($A231="","",COUNTIFS('سجل المراجعات'!$A$5:$A$1504,$A231,'سجل المراجعات'!$D$5:$D$1504,"تسليم"))</f>
        <v/>
      </c>
      <c r="O231" s="34" t="str">
        <f aca="false">IF($A231="","",IF(M231&gt;0,"تم القبول",IF(F231="معلق","معلق",IF(AND(L231&gt;0,L231&gt;=K231),"مُعاد بملاحظات",IF(K231&gt;0,"في انتظار القبول",IF(AND(ISNUMBER(E231),E231&lt;تاريخ_الاحتساب),"متأخر",IF(F231="","لم يبدأ",F231)))))))</f>
        <v/>
      </c>
      <c r="P231" s="26" t="str">
        <f aca="false">IF($A231="","",SUMIFS('سجل المراجعات'!$L$5:$L$1504,'سجل المراجعات'!$A$5:$A$1504,$A231))</f>
        <v/>
      </c>
      <c r="Q231" s="26" t="str">
        <f aca="false">IF($A231="","",SUMIFS('سجل المراجعات'!$M$5:$M$1504,'سجل المراجعات'!$A$5:$A$1504,$A231))</f>
        <v/>
      </c>
      <c r="R231" s="26" t="str">
        <f aca="false">IF(OR($A231="",NOT(ISNUMBER(E231))),"",MAX(0,NETWORKDAYS.INTL(E231,IF(J231&gt;0,J231,تاريخ_الاحتساب),رمز_العطلة,أيام_الأجازات)-1))</f>
        <v/>
      </c>
      <c r="S231" s="22"/>
    </row>
    <row r="232" customFormat="false" ht="15" hidden="false" customHeight="false" outlineLevel="0" collapsed="false">
      <c r="A232" s="20"/>
      <c r="B232" s="20"/>
      <c r="C232" s="30" t="str">
        <f aca="false">IF($A232="","",IFERROR(INDEX(بند_الاسم,MATCH($B232,قائمة_البنود,0)),"⚠ بند غير موجود"))</f>
        <v/>
      </c>
      <c r="D232" s="22"/>
      <c r="E232" s="31"/>
      <c r="F232" s="21"/>
      <c r="G232" s="32"/>
      <c r="H232" s="25" t="str">
        <f aca="false">IF($A232="","",IFERROR(INDEX(بند_سعر_الوحدة,MATCH($B232,قائمة_البنود,0)),0))</f>
        <v/>
      </c>
      <c r="I232" s="25" t="str">
        <f aca="false">IF($A232="","",H232*(1+نسبة_الضريبة))</f>
        <v/>
      </c>
      <c r="J232" s="33" t="str">
        <f aca="false">IF($A232="","",_xlfn.MINIFS('سجل المراجعات'!$E$5:$E$1504,'سجل المراجعات'!$A$5:$A$1504,$A232,'سجل المراجعات'!$D$5:$D$1504,"تسليم"))</f>
        <v/>
      </c>
      <c r="K232" s="33" t="str">
        <f aca="false">IF($A232="","",_xlfn.MAXIFS('سجل المراجعات'!$E$5:$E$1504,'سجل المراجعات'!$A$5:$A$1504,$A232,'سجل المراجعات'!$D$5:$D$1504,"تسليم"))</f>
        <v/>
      </c>
      <c r="L232" s="33" t="str">
        <f aca="false">IF($A232="","",_xlfn.MAXIFS('سجل المراجعات'!$E$5:$E$1504,'سجل المراجعات'!$A$5:$A$1504,$A232,'سجل المراجعات'!$D$5:$D$1504,"رد بملاحظات"))</f>
        <v/>
      </c>
      <c r="M232" s="33" t="str">
        <f aca="false">IF($A232="","",_xlfn.MAXIFS('سجل المراجعات'!$E$5:$E$1504,'سجل المراجعات'!$A$5:$A$1504,$A232,'سجل المراجعات'!$D$5:$D$1504,"قبول"))</f>
        <v/>
      </c>
      <c r="N232" s="26" t="str">
        <f aca="false">IF($A232="","",COUNTIFS('سجل المراجعات'!$A$5:$A$1504,$A232,'سجل المراجعات'!$D$5:$D$1504,"تسليم"))</f>
        <v/>
      </c>
      <c r="O232" s="34" t="str">
        <f aca="false">IF($A232="","",IF(M232&gt;0,"تم القبول",IF(F232="معلق","معلق",IF(AND(L232&gt;0,L232&gt;=K232),"مُعاد بملاحظات",IF(K232&gt;0,"في انتظار القبول",IF(AND(ISNUMBER(E232),E232&lt;تاريخ_الاحتساب),"متأخر",IF(F232="","لم يبدأ",F232)))))))</f>
        <v/>
      </c>
      <c r="P232" s="26" t="str">
        <f aca="false">IF($A232="","",SUMIFS('سجل المراجعات'!$L$5:$L$1504,'سجل المراجعات'!$A$5:$A$1504,$A232))</f>
        <v/>
      </c>
      <c r="Q232" s="26" t="str">
        <f aca="false">IF($A232="","",SUMIFS('سجل المراجعات'!$M$5:$M$1504,'سجل المراجعات'!$A$5:$A$1504,$A232))</f>
        <v/>
      </c>
      <c r="R232" s="26" t="str">
        <f aca="false">IF(OR($A232="",NOT(ISNUMBER(E232))),"",MAX(0,NETWORKDAYS.INTL(E232,IF(J232&gt;0,J232,تاريخ_الاحتساب),رمز_العطلة,أيام_الأجازات)-1))</f>
        <v/>
      </c>
      <c r="S232" s="22"/>
    </row>
    <row r="233" customFormat="false" ht="15" hidden="false" customHeight="false" outlineLevel="0" collapsed="false">
      <c r="A233" s="20"/>
      <c r="B233" s="20"/>
      <c r="C233" s="30" t="str">
        <f aca="false">IF($A233="","",IFERROR(INDEX(بند_الاسم,MATCH($B233,قائمة_البنود,0)),"⚠ بند غير موجود"))</f>
        <v/>
      </c>
      <c r="D233" s="22"/>
      <c r="E233" s="31"/>
      <c r="F233" s="21"/>
      <c r="G233" s="32"/>
      <c r="H233" s="25" t="str">
        <f aca="false">IF($A233="","",IFERROR(INDEX(بند_سعر_الوحدة,MATCH($B233,قائمة_البنود,0)),0))</f>
        <v/>
      </c>
      <c r="I233" s="25" t="str">
        <f aca="false">IF($A233="","",H233*(1+نسبة_الضريبة))</f>
        <v/>
      </c>
      <c r="J233" s="33" t="str">
        <f aca="false">IF($A233="","",_xlfn.MINIFS('سجل المراجعات'!$E$5:$E$1504,'سجل المراجعات'!$A$5:$A$1504,$A233,'سجل المراجعات'!$D$5:$D$1504,"تسليم"))</f>
        <v/>
      </c>
      <c r="K233" s="33" t="str">
        <f aca="false">IF($A233="","",_xlfn.MAXIFS('سجل المراجعات'!$E$5:$E$1504,'سجل المراجعات'!$A$5:$A$1504,$A233,'سجل المراجعات'!$D$5:$D$1504,"تسليم"))</f>
        <v/>
      </c>
      <c r="L233" s="33" t="str">
        <f aca="false">IF($A233="","",_xlfn.MAXIFS('سجل المراجعات'!$E$5:$E$1504,'سجل المراجعات'!$A$5:$A$1504,$A233,'سجل المراجعات'!$D$5:$D$1504,"رد بملاحظات"))</f>
        <v/>
      </c>
      <c r="M233" s="33" t="str">
        <f aca="false">IF($A233="","",_xlfn.MAXIFS('سجل المراجعات'!$E$5:$E$1504,'سجل المراجعات'!$A$5:$A$1504,$A233,'سجل المراجعات'!$D$5:$D$1504,"قبول"))</f>
        <v/>
      </c>
      <c r="N233" s="26" t="str">
        <f aca="false">IF($A233="","",COUNTIFS('سجل المراجعات'!$A$5:$A$1504,$A233,'سجل المراجعات'!$D$5:$D$1504,"تسليم"))</f>
        <v/>
      </c>
      <c r="O233" s="34" t="str">
        <f aca="false">IF($A233="","",IF(M233&gt;0,"تم القبول",IF(F233="معلق","معلق",IF(AND(L233&gt;0,L233&gt;=K233),"مُعاد بملاحظات",IF(K233&gt;0,"في انتظار القبول",IF(AND(ISNUMBER(E233),E233&lt;تاريخ_الاحتساب),"متأخر",IF(F233="","لم يبدأ",F233)))))))</f>
        <v/>
      </c>
      <c r="P233" s="26" t="str">
        <f aca="false">IF($A233="","",SUMIFS('سجل المراجعات'!$L$5:$L$1504,'سجل المراجعات'!$A$5:$A$1504,$A233))</f>
        <v/>
      </c>
      <c r="Q233" s="26" t="str">
        <f aca="false">IF($A233="","",SUMIFS('سجل المراجعات'!$M$5:$M$1504,'سجل المراجعات'!$A$5:$A$1504,$A233))</f>
        <v/>
      </c>
      <c r="R233" s="26" t="str">
        <f aca="false">IF(OR($A233="",NOT(ISNUMBER(E233))),"",MAX(0,NETWORKDAYS.INTL(E233,IF(J233&gt;0,J233,تاريخ_الاحتساب),رمز_العطلة,أيام_الأجازات)-1))</f>
        <v/>
      </c>
      <c r="S233" s="22"/>
    </row>
    <row r="234" customFormat="false" ht="15" hidden="false" customHeight="false" outlineLevel="0" collapsed="false">
      <c r="A234" s="20"/>
      <c r="B234" s="20"/>
      <c r="C234" s="30" t="str">
        <f aca="false">IF($A234="","",IFERROR(INDEX(بند_الاسم,MATCH($B234,قائمة_البنود,0)),"⚠ بند غير موجود"))</f>
        <v/>
      </c>
      <c r="D234" s="22"/>
      <c r="E234" s="31"/>
      <c r="F234" s="21"/>
      <c r="G234" s="32"/>
      <c r="H234" s="25" t="str">
        <f aca="false">IF($A234="","",IFERROR(INDEX(بند_سعر_الوحدة,MATCH($B234,قائمة_البنود,0)),0))</f>
        <v/>
      </c>
      <c r="I234" s="25" t="str">
        <f aca="false">IF($A234="","",H234*(1+نسبة_الضريبة))</f>
        <v/>
      </c>
      <c r="J234" s="33" t="str">
        <f aca="false">IF($A234="","",_xlfn.MINIFS('سجل المراجعات'!$E$5:$E$1504,'سجل المراجعات'!$A$5:$A$1504,$A234,'سجل المراجعات'!$D$5:$D$1504,"تسليم"))</f>
        <v/>
      </c>
      <c r="K234" s="33" t="str">
        <f aca="false">IF($A234="","",_xlfn.MAXIFS('سجل المراجعات'!$E$5:$E$1504,'سجل المراجعات'!$A$5:$A$1504,$A234,'سجل المراجعات'!$D$5:$D$1504,"تسليم"))</f>
        <v/>
      </c>
      <c r="L234" s="33" t="str">
        <f aca="false">IF($A234="","",_xlfn.MAXIFS('سجل المراجعات'!$E$5:$E$1504,'سجل المراجعات'!$A$5:$A$1504,$A234,'سجل المراجعات'!$D$5:$D$1504,"رد بملاحظات"))</f>
        <v/>
      </c>
      <c r="M234" s="33" t="str">
        <f aca="false">IF($A234="","",_xlfn.MAXIFS('سجل المراجعات'!$E$5:$E$1504,'سجل المراجعات'!$A$5:$A$1504,$A234,'سجل المراجعات'!$D$5:$D$1504,"قبول"))</f>
        <v/>
      </c>
      <c r="N234" s="26" t="str">
        <f aca="false">IF($A234="","",COUNTIFS('سجل المراجعات'!$A$5:$A$1504,$A234,'سجل المراجعات'!$D$5:$D$1504,"تسليم"))</f>
        <v/>
      </c>
      <c r="O234" s="34" t="str">
        <f aca="false">IF($A234="","",IF(M234&gt;0,"تم القبول",IF(F234="معلق","معلق",IF(AND(L234&gt;0,L234&gt;=K234),"مُعاد بملاحظات",IF(K234&gt;0,"في انتظار القبول",IF(AND(ISNUMBER(E234),E234&lt;تاريخ_الاحتساب),"متأخر",IF(F234="","لم يبدأ",F234)))))))</f>
        <v/>
      </c>
      <c r="P234" s="26" t="str">
        <f aca="false">IF($A234="","",SUMIFS('سجل المراجعات'!$L$5:$L$1504,'سجل المراجعات'!$A$5:$A$1504,$A234))</f>
        <v/>
      </c>
      <c r="Q234" s="26" t="str">
        <f aca="false">IF($A234="","",SUMIFS('سجل المراجعات'!$M$5:$M$1504,'سجل المراجعات'!$A$5:$A$1504,$A234))</f>
        <v/>
      </c>
      <c r="R234" s="26" t="str">
        <f aca="false">IF(OR($A234="",NOT(ISNUMBER(E234))),"",MAX(0,NETWORKDAYS.INTL(E234,IF(J234&gt;0,J234,تاريخ_الاحتساب),رمز_العطلة,أيام_الأجازات)-1))</f>
        <v/>
      </c>
      <c r="S234" s="22"/>
    </row>
    <row r="235" customFormat="false" ht="15" hidden="false" customHeight="false" outlineLevel="0" collapsed="false">
      <c r="A235" s="20"/>
      <c r="B235" s="20"/>
      <c r="C235" s="30" t="str">
        <f aca="false">IF($A235="","",IFERROR(INDEX(بند_الاسم,MATCH($B235,قائمة_البنود,0)),"⚠ بند غير موجود"))</f>
        <v/>
      </c>
      <c r="D235" s="22"/>
      <c r="E235" s="31"/>
      <c r="F235" s="21"/>
      <c r="G235" s="32"/>
      <c r="H235" s="25" t="str">
        <f aca="false">IF($A235="","",IFERROR(INDEX(بند_سعر_الوحدة,MATCH($B235,قائمة_البنود,0)),0))</f>
        <v/>
      </c>
      <c r="I235" s="25" t="str">
        <f aca="false">IF($A235="","",H235*(1+نسبة_الضريبة))</f>
        <v/>
      </c>
      <c r="J235" s="33" t="str">
        <f aca="false">IF($A235="","",_xlfn.MINIFS('سجل المراجعات'!$E$5:$E$1504,'سجل المراجعات'!$A$5:$A$1504,$A235,'سجل المراجعات'!$D$5:$D$1504,"تسليم"))</f>
        <v/>
      </c>
      <c r="K235" s="33" t="str">
        <f aca="false">IF($A235="","",_xlfn.MAXIFS('سجل المراجعات'!$E$5:$E$1504,'سجل المراجعات'!$A$5:$A$1504,$A235,'سجل المراجعات'!$D$5:$D$1504,"تسليم"))</f>
        <v/>
      </c>
      <c r="L235" s="33" t="str">
        <f aca="false">IF($A235="","",_xlfn.MAXIFS('سجل المراجعات'!$E$5:$E$1504,'سجل المراجعات'!$A$5:$A$1504,$A235,'سجل المراجعات'!$D$5:$D$1504,"رد بملاحظات"))</f>
        <v/>
      </c>
      <c r="M235" s="33" t="str">
        <f aca="false">IF($A235="","",_xlfn.MAXIFS('سجل المراجعات'!$E$5:$E$1504,'سجل المراجعات'!$A$5:$A$1504,$A235,'سجل المراجعات'!$D$5:$D$1504,"قبول"))</f>
        <v/>
      </c>
      <c r="N235" s="26" t="str">
        <f aca="false">IF($A235="","",COUNTIFS('سجل المراجعات'!$A$5:$A$1504,$A235,'سجل المراجعات'!$D$5:$D$1504,"تسليم"))</f>
        <v/>
      </c>
      <c r="O235" s="34" t="str">
        <f aca="false">IF($A235="","",IF(M235&gt;0,"تم القبول",IF(F235="معلق","معلق",IF(AND(L235&gt;0,L235&gt;=K235),"مُعاد بملاحظات",IF(K235&gt;0,"في انتظار القبول",IF(AND(ISNUMBER(E235),E235&lt;تاريخ_الاحتساب),"متأخر",IF(F235="","لم يبدأ",F235)))))))</f>
        <v/>
      </c>
      <c r="P235" s="26" t="str">
        <f aca="false">IF($A235="","",SUMIFS('سجل المراجعات'!$L$5:$L$1504,'سجل المراجعات'!$A$5:$A$1504,$A235))</f>
        <v/>
      </c>
      <c r="Q235" s="26" t="str">
        <f aca="false">IF($A235="","",SUMIFS('سجل المراجعات'!$M$5:$M$1504,'سجل المراجعات'!$A$5:$A$1504,$A235))</f>
        <v/>
      </c>
      <c r="R235" s="26" t="str">
        <f aca="false">IF(OR($A235="",NOT(ISNUMBER(E235))),"",MAX(0,NETWORKDAYS.INTL(E235,IF(J235&gt;0,J235,تاريخ_الاحتساب),رمز_العطلة,أيام_الأجازات)-1))</f>
        <v/>
      </c>
      <c r="S235" s="22"/>
    </row>
    <row r="236" customFormat="false" ht="15" hidden="false" customHeight="false" outlineLevel="0" collapsed="false">
      <c r="A236" s="20"/>
      <c r="B236" s="20"/>
      <c r="C236" s="30" t="str">
        <f aca="false">IF($A236="","",IFERROR(INDEX(بند_الاسم,MATCH($B236,قائمة_البنود,0)),"⚠ بند غير موجود"))</f>
        <v/>
      </c>
      <c r="D236" s="22"/>
      <c r="E236" s="31"/>
      <c r="F236" s="21"/>
      <c r="G236" s="32"/>
      <c r="H236" s="25" t="str">
        <f aca="false">IF($A236="","",IFERROR(INDEX(بند_سعر_الوحدة,MATCH($B236,قائمة_البنود,0)),0))</f>
        <v/>
      </c>
      <c r="I236" s="25" t="str">
        <f aca="false">IF($A236="","",H236*(1+نسبة_الضريبة))</f>
        <v/>
      </c>
      <c r="J236" s="33" t="str">
        <f aca="false">IF($A236="","",_xlfn.MINIFS('سجل المراجعات'!$E$5:$E$1504,'سجل المراجعات'!$A$5:$A$1504,$A236,'سجل المراجعات'!$D$5:$D$1504,"تسليم"))</f>
        <v/>
      </c>
      <c r="K236" s="33" t="str">
        <f aca="false">IF($A236="","",_xlfn.MAXIFS('سجل المراجعات'!$E$5:$E$1504,'سجل المراجعات'!$A$5:$A$1504,$A236,'سجل المراجعات'!$D$5:$D$1504,"تسليم"))</f>
        <v/>
      </c>
      <c r="L236" s="33" t="str">
        <f aca="false">IF($A236="","",_xlfn.MAXIFS('سجل المراجعات'!$E$5:$E$1504,'سجل المراجعات'!$A$5:$A$1504,$A236,'سجل المراجعات'!$D$5:$D$1504,"رد بملاحظات"))</f>
        <v/>
      </c>
      <c r="M236" s="33" t="str">
        <f aca="false">IF($A236="","",_xlfn.MAXIFS('سجل المراجعات'!$E$5:$E$1504,'سجل المراجعات'!$A$5:$A$1504,$A236,'سجل المراجعات'!$D$5:$D$1504,"قبول"))</f>
        <v/>
      </c>
      <c r="N236" s="26" t="str">
        <f aca="false">IF($A236="","",COUNTIFS('سجل المراجعات'!$A$5:$A$1504,$A236,'سجل المراجعات'!$D$5:$D$1504,"تسليم"))</f>
        <v/>
      </c>
      <c r="O236" s="34" t="str">
        <f aca="false">IF($A236="","",IF(M236&gt;0,"تم القبول",IF(F236="معلق","معلق",IF(AND(L236&gt;0,L236&gt;=K236),"مُعاد بملاحظات",IF(K236&gt;0,"في انتظار القبول",IF(AND(ISNUMBER(E236),E236&lt;تاريخ_الاحتساب),"متأخر",IF(F236="","لم يبدأ",F236)))))))</f>
        <v/>
      </c>
      <c r="P236" s="26" t="str">
        <f aca="false">IF($A236="","",SUMIFS('سجل المراجعات'!$L$5:$L$1504,'سجل المراجعات'!$A$5:$A$1504,$A236))</f>
        <v/>
      </c>
      <c r="Q236" s="26" t="str">
        <f aca="false">IF($A236="","",SUMIFS('سجل المراجعات'!$M$5:$M$1504,'سجل المراجعات'!$A$5:$A$1504,$A236))</f>
        <v/>
      </c>
      <c r="R236" s="26" t="str">
        <f aca="false">IF(OR($A236="",NOT(ISNUMBER(E236))),"",MAX(0,NETWORKDAYS.INTL(E236,IF(J236&gt;0,J236,تاريخ_الاحتساب),رمز_العطلة,أيام_الأجازات)-1))</f>
        <v/>
      </c>
      <c r="S236" s="22"/>
    </row>
    <row r="237" customFormat="false" ht="15" hidden="false" customHeight="false" outlineLevel="0" collapsed="false">
      <c r="A237" s="20"/>
      <c r="B237" s="20"/>
      <c r="C237" s="30" t="str">
        <f aca="false">IF($A237="","",IFERROR(INDEX(بند_الاسم,MATCH($B237,قائمة_البنود,0)),"⚠ بند غير موجود"))</f>
        <v/>
      </c>
      <c r="D237" s="22"/>
      <c r="E237" s="31"/>
      <c r="F237" s="21"/>
      <c r="G237" s="32"/>
      <c r="H237" s="25" t="str">
        <f aca="false">IF($A237="","",IFERROR(INDEX(بند_سعر_الوحدة,MATCH($B237,قائمة_البنود,0)),0))</f>
        <v/>
      </c>
      <c r="I237" s="25" t="str">
        <f aca="false">IF($A237="","",H237*(1+نسبة_الضريبة))</f>
        <v/>
      </c>
      <c r="J237" s="33" t="str">
        <f aca="false">IF($A237="","",_xlfn.MINIFS('سجل المراجعات'!$E$5:$E$1504,'سجل المراجعات'!$A$5:$A$1504,$A237,'سجل المراجعات'!$D$5:$D$1504,"تسليم"))</f>
        <v/>
      </c>
      <c r="K237" s="33" t="str">
        <f aca="false">IF($A237="","",_xlfn.MAXIFS('سجل المراجعات'!$E$5:$E$1504,'سجل المراجعات'!$A$5:$A$1504,$A237,'سجل المراجعات'!$D$5:$D$1504,"تسليم"))</f>
        <v/>
      </c>
      <c r="L237" s="33" t="str">
        <f aca="false">IF($A237="","",_xlfn.MAXIFS('سجل المراجعات'!$E$5:$E$1504,'سجل المراجعات'!$A$5:$A$1504,$A237,'سجل المراجعات'!$D$5:$D$1504,"رد بملاحظات"))</f>
        <v/>
      </c>
      <c r="M237" s="33" t="str">
        <f aca="false">IF($A237="","",_xlfn.MAXIFS('سجل المراجعات'!$E$5:$E$1504,'سجل المراجعات'!$A$5:$A$1504,$A237,'سجل المراجعات'!$D$5:$D$1504,"قبول"))</f>
        <v/>
      </c>
      <c r="N237" s="26" t="str">
        <f aca="false">IF($A237="","",COUNTIFS('سجل المراجعات'!$A$5:$A$1504,$A237,'سجل المراجعات'!$D$5:$D$1504,"تسليم"))</f>
        <v/>
      </c>
      <c r="O237" s="34" t="str">
        <f aca="false">IF($A237="","",IF(M237&gt;0,"تم القبول",IF(F237="معلق","معلق",IF(AND(L237&gt;0,L237&gt;=K237),"مُعاد بملاحظات",IF(K237&gt;0,"في انتظار القبول",IF(AND(ISNUMBER(E237),E237&lt;تاريخ_الاحتساب),"متأخر",IF(F237="","لم يبدأ",F237)))))))</f>
        <v/>
      </c>
      <c r="P237" s="26" t="str">
        <f aca="false">IF($A237="","",SUMIFS('سجل المراجعات'!$L$5:$L$1504,'سجل المراجعات'!$A$5:$A$1504,$A237))</f>
        <v/>
      </c>
      <c r="Q237" s="26" t="str">
        <f aca="false">IF($A237="","",SUMIFS('سجل المراجعات'!$M$5:$M$1504,'سجل المراجعات'!$A$5:$A$1504,$A237))</f>
        <v/>
      </c>
      <c r="R237" s="26" t="str">
        <f aca="false">IF(OR($A237="",NOT(ISNUMBER(E237))),"",MAX(0,NETWORKDAYS.INTL(E237,IF(J237&gt;0,J237,تاريخ_الاحتساب),رمز_العطلة,أيام_الأجازات)-1))</f>
        <v/>
      </c>
      <c r="S237" s="22"/>
    </row>
    <row r="238" customFormat="false" ht="15" hidden="false" customHeight="false" outlineLevel="0" collapsed="false">
      <c r="A238" s="20"/>
      <c r="B238" s="20"/>
      <c r="C238" s="30" t="str">
        <f aca="false">IF($A238="","",IFERROR(INDEX(بند_الاسم,MATCH($B238,قائمة_البنود,0)),"⚠ بند غير موجود"))</f>
        <v/>
      </c>
      <c r="D238" s="22"/>
      <c r="E238" s="31"/>
      <c r="F238" s="21"/>
      <c r="G238" s="32"/>
      <c r="H238" s="25" t="str">
        <f aca="false">IF($A238="","",IFERROR(INDEX(بند_سعر_الوحدة,MATCH($B238,قائمة_البنود,0)),0))</f>
        <v/>
      </c>
      <c r="I238" s="25" t="str">
        <f aca="false">IF($A238="","",H238*(1+نسبة_الضريبة))</f>
        <v/>
      </c>
      <c r="J238" s="33" t="str">
        <f aca="false">IF($A238="","",_xlfn.MINIFS('سجل المراجعات'!$E$5:$E$1504,'سجل المراجعات'!$A$5:$A$1504,$A238,'سجل المراجعات'!$D$5:$D$1504,"تسليم"))</f>
        <v/>
      </c>
      <c r="K238" s="33" t="str">
        <f aca="false">IF($A238="","",_xlfn.MAXIFS('سجل المراجعات'!$E$5:$E$1504,'سجل المراجعات'!$A$5:$A$1504,$A238,'سجل المراجعات'!$D$5:$D$1504,"تسليم"))</f>
        <v/>
      </c>
      <c r="L238" s="33" t="str">
        <f aca="false">IF($A238="","",_xlfn.MAXIFS('سجل المراجعات'!$E$5:$E$1504,'سجل المراجعات'!$A$5:$A$1504,$A238,'سجل المراجعات'!$D$5:$D$1504,"رد بملاحظات"))</f>
        <v/>
      </c>
      <c r="M238" s="33" t="str">
        <f aca="false">IF($A238="","",_xlfn.MAXIFS('سجل المراجعات'!$E$5:$E$1504,'سجل المراجعات'!$A$5:$A$1504,$A238,'سجل المراجعات'!$D$5:$D$1504,"قبول"))</f>
        <v/>
      </c>
      <c r="N238" s="26" t="str">
        <f aca="false">IF($A238="","",COUNTIFS('سجل المراجعات'!$A$5:$A$1504,$A238,'سجل المراجعات'!$D$5:$D$1504,"تسليم"))</f>
        <v/>
      </c>
      <c r="O238" s="34" t="str">
        <f aca="false">IF($A238="","",IF(M238&gt;0,"تم القبول",IF(F238="معلق","معلق",IF(AND(L238&gt;0,L238&gt;=K238),"مُعاد بملاحظات",IF(K238&gt;0,"في انتظار القبول",IF(AND(ISNUMBER(E238),E238&lt;تاريخ_الاحتساب),"متأخر",IF(F238="","لم يبدأ",F238)))))))</f>
        <v/>
      </c>
      <c r="P238" s="26" t="str">
        <f aca="false">IF($A238="","",SUMIFS('سجل المراجعات'!$L$5:$L$1504,'سجل المراجعات'!$A$5:$A$1504,$A238))</f>
        <v/>
      </c>
      <c r="Q238" s="26" t="str">
        <f aca="false">IF($A238="","",SUMIFS('سجل المراجعات'!$M$5:$M$1504,'سجل المراجعات'!$A$5:$A$1504,$A238))</f>
        <v/>
      </c>
      <c r="R238" s="26" t="str">
        <f aca="false">IF(OR($A238="",NOT(ISNUMBER(E238))),"",MAX(0,NETWORKDAYS.INTL(E238,IF(J238&gt;0,J238,تاريخ_الاحتساب),رمز_العطلة,أيام_الأجازات)-1))</f>
        <v/>
      </c>
      <c r="S238" s="22"/>
    </row>
    <row r="239" customFormat="false" ht="15" hidden="false" customHeight="false" outlineLevel="0" collapsed="false">
      <c r="A239" s="20"/>
      <c r="B239" s="20"/>
      <c r="C239" s="30" t="str">
        <f aca="false">IF($A239="","",IFERROR(INDEX(بند_الاسم,MATCH($B239,قائمة_البنود,0)),"⚠ بند غير موجود"))</f>
        <v/>
      </c>
      <c r="D239" s="22"/>
      <c r="E239" s="31"/>
      <c r="F239" s="21"/>
      <c r="G239" s="32"/>
      <c r="H239" s="25" t="str">
        <f aca="false">IF($A239="","",IFERROR(INDEX(بند_سعر_الوحدة,MATCH($B239,قائمة_البنود,0)),0))</f>
        <v/>
      </c>
      <c r="I239" s="25" t="str">
        <f aca="false">IF($A239="","",H239*(1+نسبة_الضريبة))</f>
        <v/>
      </c>
      <c r="J239" s="33" t="str">
        <f aca="false">IF($A239="","",_xlfn.MINIFS('سجل المراجعات'!$E$5:$E$1504,'سجل المراجعات'!$A$5:$A$1504,$A239,'سجل المراجعات'!$D$5:$D$1504,"تسليم"))</f>
        <v/>
      </c>
      <c r="K239" s="33" t="str">
        <f aca="false">IF($A239="","",_xlfn.MAXIFS('سجل المراجعات'!$E$5:$E$1504,'سجل المراجعات'!$A$5:$A$1504,$A239,'سجل المراجعات'!$D$5:$D$1504,"تسليم"))</f>
        <v/>
      </c>
      <c r="L239" s="33" t="str">
        <f aca="false">IF($A239="","",_xlfn.MAXIFS('سجل المراجعات'!$E$5:$E$1504,'سجل المراجعات'!$A$5:$A$1504,$A239,'سجل المراجعات'!$D$5:$D$1504,"رد بملاحظات"))</f>
        <v/>
      </c>
      <c r="M239" s="33" t="str">
        <f aca="false">IF($A239="","",_xlfn.MAXIFS('سجل المراجعات'!$E$5:$E$1504,'سجل المراجعات'!$A$5:$A$1504,$A239,'سجل المراجعات'!$D$5:$D$1504,"قبول"))</f>
        <v/>
      </c>
      <c r="N239" s="26" t="str">
        <f aca="false">IF($A239="","",COUNTIFS('سجل المراجعات'!$A$5:$A$1504,$A239,'سجل المراجعات'!$D$5:$D$1504,"تسليم"))</f>
        <v/>
      </c>
      <c r="O239" s="34" t="str">
        <f aca="false">IF($A239="","",IF(M239&gt;0,"تم القبول",IF(F239="معلق","معلق",IF(AND(L239&gt;0,L239&gt;=K239),"مُعاد بملاحظات",IF(K239&gt;0,"في انتظار القبول",IF(AND(ISNUMBER(E239),E239&lt;تاريخ_الاحتساب),"متأخر",IF(F239="","لم يبدأ",F239)))))))</f>
        <v/>
      </c>
      <c r="P239" s="26" t="str">
        <f aca="false">IF($A239="","",SUMIFS('سجل المراجعات'!$L$5:$L$1504,'سجل المراجعات'!$A$5:$A$1504,$A239))</f>
        <v/>
      </c>
      <c r="Q239" s="26" t="str">
        <f aca="false">IF($A239="","",SUMIFS('سجل المراجعات'!$M$5:$M$1504,'سجل المراجعات'!$A$5:$A$1504,$A239))</f>
        <v/>
      </c>
      <c r="R239" s="26" t="str">
        <f aca="false">IF(OR($A239="",NOT(ISNUMBER(E239))),"",MAX(0,NETWORKDAYS.INTL(E239,IF(J239&gt;0,J239,تاريخ_الاحتساب),رمز_العطلة,أيام_الأجازات)-1))</f>
        <v/>
      </c>
      <c r="S239" s="22"/>
    </row>
    <row r="240" customFormat="false" ht="15" hidden="false" customHeight="false" outlineLevel="0" collapsed="false">
      <c r="A240" s="20"/>
      <c r="B240" s="20"/>
      <c r="C240" s="30" t="str">
        <f aca="false">IF($A240="","",IFERROR(INDEX(بند_الاسم,MATCH($B240,قائمة_البنود,0)),"⚠ بند غير موجود"))</f>
        <v/>
      </c>
      <c r="D240" s="22"/>
      <c r="E240" s="31"/>
      <c r="F240" s="21"/>
      <c r="G240" s="32"/>
      <c r="H240" s="25" t="str">
        <f aca="false">IF($A240="","",IFERROR(INDEX(بند_سعر_الوحدة,MATCH($B240,قائمة_البنود,0)),0))</f>
        <v/>
      </c>
      <c r="I240" s="25" t="str">
        <f aca="false">IF($A240="","",H240*(1+نسبة_الضريبة))</f>
        <v/>
      </c>
      <c r="J240" s="33" t="str">
        <f aca="false">IF($A240="","",_xlfn.MINIFS('سجل المراجعات'!$E$5:$E$1504,'سجل المراجعات'!$A$5:$A$1504,$A240,'سجل المراجعات'!$D$5:$D$1504,"تسليم"))</f>
        <v/>
      </c>
      <c r="K240" s="33" t="str">
        <f aca="false">IF($A240="","",_xlfn.MAXIFS('سجل المراجعات'!$E$5:$E$1504,'سجل المراجعات'!$A$5:$A$1504,$A240,'سجل المراجعات'!$D$5:$D$1504,"تسليم"))</f>
        <v/>
      </c>
      <c r="L240" s="33" t="str">
        <f aca="false">IF($A240="","",_xlfn.MAXIFS('سجل المراجعات'!$E$5:$E$1504,'سجل المراجعات'!$A$5:$A$1504,$A240,'سجل المراجعات'!$D$5:$D$1504,"رد بملاحظات"))</f>
        <v/>
      </c>
      <c r="M240" s="33" t="str">
        <f aca="false">IF($A240="","",_xlfn.MAXIFS('سجل المراجعات'!$E$5:$E$1504,'سجل المراجعات'!$A$5:$A$1504,$A240,'سجل المراجعات'!$D$5:$D$1504,"قبول"))</f>
        <v/>
      </c>
      <c r="N240" s="26" t="str">
        <f aca="false">IF($A240="","",COUNTIFS('سجل المراجعات'!$A$5:$A$1504,$A240,'سجل المراجعات'!$D$5:$D$1504,"تسليم"))</f>
        <v/>
      </c>
      <c r="O240" s="34" t="str">
        <f aca="false">IF($A240="","",IF(M240&gt;0,"تم القبول",IF(F240="معلق","معلق",IF(AND(L240&gt;0,L240&gt;=K240),"مُعاد بملاحظات",IF(K240&gt;0,"في انتظار القبول",IF(AND(ISNUMBER(E240),E240&lt;تاريخ_الاحتساب),"متأخر",IF(F240="","لم يبدأ",F240)))))))</f>
        <v/>
      </c>
      <c r="P240" s="26" t="str">
        <f aca="false">IF($A240="","",SUMIFS('سجل المراجعات'!$L$5:$L$1504,'سجل المراجعات'!$A$5:$A$1504,$A240))</f>
        <v/>
      </c>
      <c r="Q240" s="26" t="str">
        <f aca="false">IF($A240="","",SUMIFS('سجل المراجعات'!$M$5:$M$1504,'سجل المراجعات'!$A$5:$A$1504,$A240))</f>
        <v/>
      </c>
      <c r="R240" s="26" t="str">
        <f aca="false">IF(OR($A240="",NOT(ISNUMBER(E240))),"",MAX(0,NETWORKDAYS.INTL(E240,IF(J240&gt;0,J240,تاريخ_الاحتساب),رمز_العطلة,أيام_الأجازات)-1))</f>
        <v/>
      </c>
      <c r="S240" s="22"/>
    </row>
    <row r="241" customFormat="false" ht="15" hidden="false" customHeight="false" outlineLevel="0" collapsed="false">
      <c r="A241" s="20"/>
      <c r="B241" s="20"/>
      <c r="C241" s="30" t="str">
        <f aca="false">IF($A241="","",IFERROR(INDEX(بند_الاسم,MATCH($B241,قائمة_البنود,0)),"⚠ بند غير موجود"))</f>
        <v/>
      </c>
      <c r="D241" s="22"/>
      <c r="E241" s="31"/>
      <c r="F241" s="21"/>
      <c r="G241" s="32"/>
      <c r="H241" s="25" t="str">
        <f aca="false">IF($A241="","",IFERROR(INDEX(بند_سعر_الوحدة,MATCH($B241,قائمة_البنود,0)),0))</f>
        <v/>
      </c>
      <c r="I241" s="25" t="str">
        <f aca="false">IF($A241="","",H241*(1+نسبة_الضريبة))</f>
        <v/>
      </c>
      <c r="J241" s="33" t="str">
        <f aca="false">IF($A241="","",_xlfn.MINIFS('سجل المراجعات'!$E$5:$E$1504,'سجل المراجعات'!$A$5:$A$1504,$A241,'سجل المراجعات'!$D$5:$D$1504,"تسليم"))</f>
        <v/>
      </c>
      <c r="K241" s="33" t="str">
        <f aca="false">IF($A241="","",_xlfn.MAXIFS('سجل المراجعات'!$E$5:$E$1504,'سجل المراجعات'!$A$5:$A$1504,$A241,'سجل المراجعات'!$D$5:$D$1504,"تسليم"))</f>
        <v/>
      </c>
      <c r="L241" s="33" t="str">
        <f aca="false">IF($A241="","",_xlfn.MAXIFS('سجل المراجعات'!$E$5:$E$1504,'سجل المراجعات'!$A$5:$A$1504,$A241,'سجل المراجعات'!$D$5:$D$1504,"رد بملاحظات"))</f>
        <v/>
      </c>
      <c r="M241" s="33" t="str">
        <f aca="false">IF($A241="","",_xlfn.MAXIFS('سجل المراجعات'!$E$5:$E$1504,'سجل المراجعات'!$A$5:$A$1504,$A241,'سجل المراجعات'!$D$5:$D$1504,"قبول"))</f>
        <v/>
      </c>
      <c r="N241" s="26" t="str">
        <f aca="false">IF($A241="","",COUNTIFS('سجل المراجعات'!$A$5:$A$1504,$A241,'سجل المراجعات'!$D$5:$D$1504,"تسليم"))</f>
        <v/>
      </c>
      <c r="O241" s="34" t="str">
        <f aca="false">IF($A241="","",IF(M241&gt;0,"تم القبول",IF(F241="معلق","معلق",IF(AND(L241&gt;0,L241&gt;=K241),"مُعاد بملاحظات",IF(K241&gt;0,"في انتظار القبول",IF(AND(ISNUMBER(E241),E241&lt;تاريخ_الاحتساب),"متأخر",IF(F241="","لم يبدأ",F241)))))))</f>
        <v/>
      </c>
      <c r="P241" s="26" t="str">
        <f aca="false">IF($A241="","",SUMIFS('سجل المراجعات'!$L$5:$L$1504,'سجل المراجعات'!$A$5:$A$1504,$A241))</f>
        <v/>
      </c>
      <c r="Q241" s="26" t="str">
        <f aca="false">IF($A241="","",SUMIFS('سجل المراجعات'!$M$5:$M$1504,'سجل المراجعات'!$A$5:$A$1504,$A241))</f>
        <v/>
      </c>
      <c r="R241" s="26" t="str">
        <f aca="false">IF(OR($A241="",NOT(ISNUMBER(E241))),"",MAX(0,NETWORKDAYS.INTL(E241,IF(J241&gt;0,J241,تاريخ_الاحتساب),رمز_العطلة,أيام_الأجازات)-1))</f>
        <v/>
      </c>
      <c r="S241" s="22"/>
    </row>
    <row r="242" customFormat="false" ht="15" hidden="false" customHeight="false" outlineLevel="0" collapsed="false">
      <c r="A242" s="20"/>
      <c r="B242" s="20"/>
      <c r="C242" s="30" t="str">
        <f aca="false">IF($A242="","",IFERROR(INDEX(بند_الاسم,MATCH($B242,قائمة_البنود,0)),"⚠ بند غير موجود"))</f>
        <v/>
      </c>
      <c r="D242" s="22"/>
      <c r="E242" s="31"/>
      <c r="F242" s="21"/>
      <c r="G242" s="32"/>
      <c r="H242" s="25" t="str">
        <f aca="false">IF($A242="","",IFERROR(INDEX(بند_سعر_الوحدة,MATCH($B242,قائمة_البنود,0)),0))</f>
        <v/>
      </c>
      <c r="I242" s="25" t="str">
        <f aca="false">IF($A242="","",H242*(1+نسبة_الضريبة))</f>
        <v/>
      </c>
      <c r="J242" s="33" t="str">
        <f aca="false">IF($A242="","",_xlfn.MINIFS('سجل المراجعات'!$E$5:$E$1504,'سجل المراجعات'!$A$5:$A$1504,$A242,'سجل المراجعات'!$D$5:$D$1504,"تسليم"))</f>
        <v/>
      </c>
      <c r="K242" s="33" t="str">
        <f aca="false">IF($A242="","",_xlfn.MAXIFS('سجل المراجعات'!$E$5:$E$1504,'سجل المراجعات'!$A$5:$A$1504,$A242,'سجل المراجعات'!$D$5:$D$1504,"تسليم"))</f>
        <v/>
      </c>
      <c r="L242" s="33" t="str">
        <f aca="false">IF($A242="","",_xlfn.MAXIFS('سجل المراجعات'!$E$5:$E$1504,'سجل المراجعات'!$A$5:$A$1504,$A242,'سجل المراجعات'!$D$5:$D$1504,"رد بملاحظات"))</f>
        <v/>
      </c>
      <c r="M242" s="33" t="str">
        <f aca="false">IF($A242="","",_xlfn.MAXIFS('سجل المراجعات'!$E$5:$E$1504,'سجل المراجعات'!$A$5:$A$1504,$A242,'سجل المراجعات'!$D$5:$D$1504,"قبول"))</f>
        <v/>
      </c>
      <c r="N242" s="26" t="str">
        <f aca="false">IF($A242="","",COUNTIFS('سجل المراجعات'!$A$5:$A$1504,$A242,'سجل المراجعات'!$D$5:$D$1504,"تسليم"))</f>
        <v/>
      </c>
      <c r="O242" s="34" t="str">
        <f aca="false">IF($A242="","",IF(M242&gt;0,"تم القبول",IF(F242="معلق","معلق",IF(AND(L242&gt;0,L242&gt;=K242),"مُعاد بملاحظات",IF(K242&gt;0,"في انتظار القبول",IF(AND(ISNUMBER(E242),E242&lt;تاريخ_الاحتساب),"متأخر",IF(F242="","لم يبدأ",F242)))))))</f>
        <v/>
      </c>
      <c r="P242" s="26" t="str">
        <f aca="false">IF($A242="","",SUMIFS('سجل المراجعات'!$L$5:$L$1504,'سجل المراجعات'!$A$5:$A$1504,$A242))</f>
        <v/>
      </c>
      <c r="Q242" s="26" t="str">
        <f aca="false">IF($A242="","",SUMIFS('سجل المراجعات'!$M$5:$M$1504,'سجل المراجعات'!$A$5:$A$1504,$A242))</f>
        <v/>
      </c>
      <c r="R242" s="26" t="str">
        <f aca="false">IF(OR($A242="",NOT(ISNUMBER(E242))),"",MAX(0,NETWORKDAYS.INTL(E242,IF(J242&gt;0,J242,تاريخ_الاحتساب),رمز_العطلة,أيام_الأجازات)-1))</f>
        <v/>
      </c>
      <c r="S242" s="22"/>
    </row>
    <row r="243" customFormat="false" ht="15" hidden="false" customHeight="false" outlineLevel="0" collapsed="false">
      <c r="A243" s="20"/>
      <c r="B243" s="20"/>
      <c r="C243" s="30" t="str">
        <f aca="false">IF($A243="","",IFERROR(INDEX(بند_الاسم,MATCH($B243,قائمة_البنود,0)),"⚠ بند غير موجود"))</f>
        <v/>
      </c>
      <c r="D243" s="22"/>
      <c r="E243" s="31"/>
      <c r="F243" s="21"/>
      <c r="G243" s="32"/>
      <c r="H243" s="25" t="str">
        <f aca="false">IF($A243="","",IFERROR(INDEX(بند_سعر_الوحدة,MATCH($B243,قائمة_البنود,0)),0))</f>
        <v/>
      </c>
      <c r="I243" s="25" t="str">
        <f aca="false">IF($A243="","",H243*(1+نسبة_الضريبة))</f>
        <v/>
      </c>
      <c r="J243" s="33" t="str">
        <f aca="false">IF($A243="","",_xlfn.MINIFS('سجل المراجعات'!$E$5:$E$1504,'سجل المراجعات'!$A$5:$A$1504,$A243,'سجل المراجعات'!$D$5:$D$1504,"تسليم"))</f>
        <v/>
      </c>
      <c r="K243" s="33" t="str">
        <f aca="false">IF($A243="","",_xlfn.MAXIFS('سجل المراجعات'!$E$5:$E$1504,'سجل المراجعات'!$A$5:$A$1504,$A243,'سجل المراجعات'!$D$5:$D$1504,"تسليم"))</f>
        <v/>
      </c>
      <c r="L243" s="33" t="str">
        <f aca="false">IF($A243="","",_xlfn.MAXIFS('سجل المراجعات'!$E$5:$E$1504,'سجل المراجعات'!$A$5:$A$1504,$A243,'سجل المراجعات'!$D$5:$D$1504,"رد بملاحظات"))</f>
        <v/>
      </c>
      <c r="M243" s="33" t="str">
        <f aca="false">IF($A243="","",_xlfn.MAXIFS('سجل المراجعات'!$E$5:$E$1504,'سجل المراجعات'!$A$5:$A$1504,$A243,'سجل المراجعات'!$D$5:$D$1504,"قبول"))</f>
        <v/>
      </c>
      <c r="N243" s="26" t="str">
        <f aca="false">IF($A243="","",COUNTIFS('سجل المراجعات'!$A$5:$A$1504,$A243,'سجل المراجعات'!$D$5:$D$1504,"تسليم"))</f>
        <v/>
      </c>
      <c r="O243" s="34" t="str">
        <f aca="false">IF($A243="","",IF(M243&gt;0,"تم القبول",IF(F243="معلق","معلق",IF(AND(L243&gt;0,L243&gt;=K243),"مُعاد بملاحظات",IF(K243&gt;0,"في انتظار القبول",IF(AND(ISNUMBER(E243),E243&lt;تاريخ_الاحتساب),"متأخر",IF(F243="","لم يبدأ",F243)))))))</f>
        <v/>
      </c>
      <c r="P243" s="26" t="str">
        <f aca="false">IF($A243="","",SUMIFS('سجل المراجعات'!$L$5:$L$1504,'سجل المراجعات'!$A$5:$A$1504,$A243))</f>
        <v/>
      </c>
      <c r="Q243" s="26" t="str">
        <f aca="false">IF($A243="","",SUMIFS('سجل المراجعات'!$M$5:$M$1504,'سجل المراجعات'!$A$5:$A$1504,$A243))</f>
        <v/>
      </c>
      <c r="R243" s="26" t="str">
        <f aca="false">IF(OR($A243="",NOT(ISNUMBER(E243))),"",MAX(0,NETWORKDAYS.INTL(E243,IF(J243&gt;0,J243,تاريخ_الاحتساب),رمز_العطلة,أيام_الأجازات)-1))</f>
        <v/>
      </c>
      <c r="S243" s="22"/>
    </row>
    <row r="244" customFormat="false" ht="15" hidden="false" customHeight="false" outlineLevel="0" collapsed="false">
      <c r="A244" s="20"/>
      <c r="B244" s="20"/>
      <c r="C244" s="30" t="str">
        <f aca="false">IF($A244="","",IFERROR(INDEX(بند_الاسم,MATCH($B244,قائمة_البنود,0)),"⚠ بند غير موجود"))</f>
        <v/>
      </c>
      <c r="D244" s="22"/>
      <c r="E244" s="31"/>
      <c r="F244" s="21"/>
      <c r="G244" s="32"/>
      <c r="H244" s="25" t="str">
        <f aca="false">IF($A244="","",IFERROR(INDEX(بند_سعر_الوحدة,MATCH($B244,قائمة_البنود,0)),0))</f>
        <v/>
      </c>
      <c r="I244" s="25" t="str">
        <f aca="false">IF($A244="","",H244*(1+نسبة_الضريبة))</f>
        <v/>
      </c>
      <c r="J244" s="33" t="str">
        <f aca="false">IF($A244="","",_xlfn.MINIFS('سجل المراجعات'!$E$5:$E$1504,'سجل المراجعات'!$A$5:$A$1504,$A244,'سجل المراجعات'!$D$5:$D$1504,"تسليم"))</f>
        <v/>
      </c>
      <c r="K244" s="33" t="str">
        <f aca="false">IF($A244="","",_xlfn.MAXIFS('سجل المراجعات'!$E$5:$E$1504,'سجل المراجعات'!$A$5:$A$1504,$A244,'سجل المراجعات'!$D$5:$D$1504,"تسليم"))</f>
        <v/>
      </c>
      <c r="L244" s="33" t="str">
        <f aca="false">IF($A244="","",_xlfn.MAXIFS('سجل المراجعات'!$E$5:$E$1504,'سجل المراجعات'!$A$5:$A$1504,$A244,'سجل المراجعات'!$D$5:$D$1504,"رد بملاحظات"))</f>
        <v/>
      </c>
      <c r="M244" s="33" t="str">
        <f aca="false">IF($A244="","",_xlfn.MAXIFS('سجل المراجعات'!$E$5:$E$1504,'سجل المراجعات'!$A$5:$A$1504,$A244,'سجل المراجعات'!$D$5:$D$1504,"قبول"))</f>
        <v/>
      </c>
      <c r="N244" s="26" t="str">
        <f aca="false">IF($A244="","",COUNTIFS('سجل المراجعات'!$A$5:$A$1504,$A244,'سجل المراجعات'!$D$5:$D$1504,"تسليم"))</f>
        <v/>
      </c>
      <c r="O244" s="34" t="str">
        <f aca="false">IF($A244="","",IF(M244&gt;0,"تم القبول",IF(F244="معلق","معلق",IF(AND(L244&gt;0,L244&gt;=K244),"مُعاد بملاحظات",IF(K244&gt;0,"في انتظار القبول",IF(AND(ISNUMBER(E244),E244&lt;تاريخ_الاحتساب),"متأخر",IF(F244="","لم يبدأ",F244)))))))</f>
        <v/>
      </c>
      <c r="P244" s="26" t="str">
        <f aca="false">IF($A244="","",SUMIFS('سجل المراجعات'!$L$5:$L$1504,'سجل المراجعات'!$A$5:$A$1504,$A244))</f>
        <v/>
      </c>
      <c r="Q244" s="26" t="str">
        <f aca="false">IF($A244="","",SUMIFS('سجل المراجعات'!$M$5:$M$1504,'سجل المراجعات'!$A$5:$A$1504,$A244))</f>
        <v/>
      </c>
      <c r="R244" s="26" t="str">
        <f aca="false">IF(OR($A244="",NOT(ISNUMBER(E244))),"",MAX(0,NETWORKDAYS.INTL(E244,IF(J244&gt;0,J244,تاريخ_الاحتساب),رمز_العطلة,أيام_الأجازات)-1))</f>
        <v/>
      </c>
      <c r="S244" s="22"/>
    </row>
    <row r="245" customFormat="false" ht="15" hidden="false" customHeight="false" outlineLevel="0" collapsed="false">
      <c r="A245" s="20"/>
      <c r="B245" s="20"/>
      <c r="C245" s="30" t="str">
        <f aca="false">IF($A245="","",IFERROR(INDEX(بند_الاسم,MATCH($B245,قائمة_البنود,0)),"⚠ بند غير موجود"))</f>
        <v/>
      </c>
      <c r="D245" s="22"/>
      <c r="E245" s="31"/>
      <c r="F245" s="21"/>
      <c r="G245" s="32"/>
      <c r="H245" s="25" t="str">
        <f aca="false">IF($A245="","",IFERROR(INDEX(بند_سعر_الوحدة,MATCH($B245,قائمة_البنود,0)),0))</f>
        <v/>
      </c>
      <c r="I245" s="25" t="str">
        <f aca="false">IF($A245="","",H245*(1+نسبة_الضريبة))</f>
        <v/>
      </c>
      <c r="J245" s="33" t="str">
        <f aca="false">IF($A245="","",_xlfn.MINIFS('سجل المراجعات'!$E$5:$E$1504,'سجل المراجعات'!$A$5:$A$1504,$A245,'سجل المراجعات'!$D$5:$D$1504,"تسليم"))</f>
        <v/>
      </c>
      <c r="K245" s="33" t="str">
        <f aca="false">IF($A245="","",_xlfn.MAXIFS('سجل المراجعات'!$E$5:$E$1504,'سجل المراجعات'!$A$5:$A$1504,$A245,'سجل المراجعات'!$D$5:$D$1504,"تسليم"))</f>
        <v/>
      </c>
      <c r="L245" s="33" t="str">
        <f aca="false">IF($A245="","",_xlfn.MAXIFS('سجل المراجعات'!$E$5:$E$1504,'سجل المراجعات'!$A$5:$A$1504,$A245,'سجل المراجعات'!$D$5:$D$1504,"رد بملاحظات"))</f>
        <v/>
      </c>
      <c r="M245" s="33" t="str">
        <f aca="false">IF($A245="","",_xlfn.MAXIFS('سجل المراجعات'!$E$5:$E$1504,'سجل المراجعات'!$A$5:$A$1504,$A245,'سجل المراجعات'!$D$5:$D$1504,"قبول"))</f>
        <v/>
      </c>
      <c r="N245" s="26" t="str">
        <f aca="false">IF($A245="","",COUNTIFS('سجل المراجعات'!$A$5:$A$1504,$A245,'سجل المراجعات'!$D$5:$D$1504,"تسليم"))</f>
        <v/>
      </c>
      <c r="O245" s="34" t="str">
        <f aca="false">IF($A245="","",IF(M245&gt;0,"تم القبول",IF(F245="معلق","معلق",IF(AND(L245&gt;0,L245&gt;=K245),"مُعاد بملاحظات",IF(K245&gt;0,"في انتظار القبول",IF(AND(ISNUMBER(E245),E245&lt;تاريخ_الاحتساب),"متأخر",IF(F245="","لم يبدأ",F245)))))))</f>
        <v/>
      </c>
      <c r="P245" s="26" t="str">
        <f aca="false">IF($A245="","",SUMIFS('سجل المراجعات'!$L$5:$L$1504,'سجل المراجعات'!$A$5:$A$1504,$A245))</f>
        <v/>
      </c>
      <c r="Q245" s="26" t="str">
        <f aca="false">IF($A245="","",SUMIFS('سجل المراجعات'!$M$5:$M$1504,'سجل المراجعات'!$A$5:$A$1504,$A245))</f>
        <v/>
      </c>
      <c r="R245" s="26" t="str">
        <f aca="false">IF(OR($A245="",NOT(ISNUMBER(E245))),"",MAX(0,NETWORKDAYS.INTL(E245,IF(J245&gt;0,J245,تاريخ_الاحتساب),رمز_العطلة,أيام_الأجازات)-1))</f>
        <v/>
      </c>
      <c r="S245" s="22"/>
    </row>
    <row r="246" customFormat="false" ht="15" hidden="false" customHeight="false" outlineLevel="0" collapsed="false">
      <c r="A246" s="20"/>
      <c r="B246" s="20"/>
      <c r="C246" s="30" t="str">
        <f aca="false">IF($A246="","",IFERROR(INDEX(بند_الاسم,MATCH($B246,قائمة_البنود,0)),"⚠ بند غير موجود"))</f>
        <v/>
      </c>
      <c r="D246" s="22"/>
      <c r="E246" s="31"/>
      <c r="F246" s="21"/>
      <c r="G246" s="32"/>
      <c r="H246" s="25" t="str">
        <f aca="false">IF($A246="","",IFERROR(INDEX(بند_سعر_الوحدة,MATCH($B246,قائمة_البنود,0)),0))</f>
        <v/>
      </c>
      <c r="I246" s="25" t="str">
        <f aca="false">IF($A246="","",H246*(1+نسبة_الضريبة))</f>
        <v/>
      </c>
      <c r="J246" s="33" t="str">
        <f aca="false">IF($A246="","",_xlfn.MINIFS('سجل المراجعات'!$E$5:$E$1504,'سجل المراجعات'!$A$5:$A$1504,$A246,'سجل المراجعات'!$D$5:$D$1504,"تسليم"))</f>
        <v/>
      </c>
      <c r="K246" s="33" t="str">
        <f aca="false">IF($A246="","",_xlfn.MAXIFS('سجل المراجعات'!$E$5:$E$1504,'سجل المراجعات'!$A$5:$A$1504,$A246,'سجل المراجعات'!$D$5:$D$1504,"تسليم"))</f>
        <v/>
      </c>
      <c r="L246" s="33" t="str">
        <f aca="false">IF($A246="","",_xlfn.MAXIFS('سجل المراجعات'!$E$5:$E$1504,'سجل المراجعات'!$A$5:$A$1504,$A246,'سجل المراجعات'!$D$5:$D$1504,"رد بملاحظات"))</f>
        <v/>
      </c>
      <c r="M246" s="33" t="str">
        <f aca="false">IF($A246="","",_xlfn.MAXIFS('سجل المراجعات'!$E$5:$E$1504,'سجل المراجعات'!$A$5:$A$1504,$A246,'سجل المراجعات'!$D$5:$D$1504,"قبول"))</f>
        <v/>
      </c>
      <c r="N246" s="26" t="str">
        <f aca="false">IF($A246="","",COUNTIFS('سجل المراجعات'!$A$5:$A$1504,$A246,'سجل المراجعات'!$D$5:$D$1504,"تسليم"))</f>
        <v/>
      </c>
      <c r="O246" s="34" t="str">
        <f aca="false">IF($A246="","",IF(M246&gt;0,"تم القبول",IF(F246="معلق","معلق",IF(AND(L246&gt;0,L246&gt;=K246),"مُعاد بملاحظات",IF(K246&gt;0,"في انتظار القبول",IF(AND(ISNUMBER(E246),E246&lt;تاريخ_الاحتساب),"متأخر",IF(F246="","لم يبدأ",F246)))))))</f>
        <v/>
      </c>
      <c r="P246" s="26" t="str">
        <f aca="false">IF($A246="","",SUMIFS('سجل المراجعات'!$L$5:$L$1504,'سجل المراجعات'!$A$5:$A$1504,$A246))</f>
        <v/>
      </c>
      <c r="Q246" s="26" t="str">
        <f aca="false">IF($A246="","",SUMIFS('سجل المراجعات'!$M$5:$M$1504,'سجل المراجعات'!$A$5:$A$1504,$A246))</f>
        <v/>
      </c>
      <c r="R246" s="26" t="str">
        <f aca="false">IF(OR($A246="",NOT(ISNUMBER(E246))),"",MAX(0,NETWORKDAYS.INTL(E246,IF(J246&gt;0,J246,تاريخ_الاحتساب),رمز_العطلة,أيام_الأجازات)-1))</f>
        <v/>
      </c>
      <c r="S246" s="22"/>
    </row>
    <row r="247" customFormat="false" ht="15" hidden="false" customHeight="false" outlineLevel="0" collapsed="false">
      <c r="A247" s="20"/>
      <c r="B247" s="20"/>
      <c r="C247" s="30" t="str">
        <f aca="false">IF($A247="","",IFERROR(INDEX(بند_الاسم,MATCH($B247,قائمة_البنود,0)),"⚠ بند غير موجود"))</f>
        <v/>
      </c>
      <c r="D247" s="22"/>
      <c r="E247" s="31"/>
      <c r="F247" s="21"/>
      <c r="G247" s="32"/>
      <c r="H247" s="25" t="str">
        <f aca="false">IF($A247="","",IFERROR(INDEX(بند_سعر_الوحدة,MATCH($B247,قائمة_البنود,0)),0))</f>
        <v/>
      </c>
      <c r="I247" s="25" t="str">
        <f aca="false">IF($A247="","",H247*(1+نسبة_الضريبة))</f>
        <v/>
      </c>
      <c r="J247" s="33" t="str">
        <f aca="false">IF($A247="","",_xlfn.MINIFS('سجل المراجعات'!$E$5:$E$1504,'سجل المراجعات'!$A$5:$A$1504,$A247,'سجل المراجعات'!$D$5:$D$1504,"تسليم"))</f>
        <v/>
      </c>
      <c r="K247" s="33" t="str">
        <f aca="false">IF($A247="","",_xlfn.MAXIFS('سجل المراجعات'!$E$5:$E$1504,'سجل المراجعات'!$A$5:$A$1504,$A247,'سجل المراجعات'!$D$5:$D$1504,"تسليم"))</f>
        <v/>
      </c>
      <c r="L247" s="33" t="str">
        <f aca="false">IF($A247="","",_xlfn.MAXIFS('سجل المراجعات'!$E$5:$E$1504,'سجل المراجعات'!$A$5:$A$1504,$A247,'سجل المراجعات'!$D$5:$D$1504,"رد بملاحظات"))</f>
        <v/>
      </c>
      <c r="M247" s="33" t="str">
        <f aca="false">IF($A247="","",_xlfn.MAXIFS('سجل المراجعات'!$E$5:$E$1504,'سجل المراجعات'!$A$5:$A$1504,$A247,'سجل المراجعات'!$D$5:$D$1504,"قبول"))</f>
        <v/>
      </c>
      <c r="N247" s="26" t="str">
        <f aca="false">IF($A247="","",COUNTIFS('سجل المراجعات'!$A$5:$A$1504,$A247,'سجل المراجعات'!$D$5:$D$1504,"تسليم"))</f>
        <v/>
      </c>
      <c r="O247" s="34" t="str">
        <f aca="false">IF($A247="","",IF(M247&gt;0,"تم القبول",IF(F247="معلق","معلق",IF(AND(L247&gt;0,L247&gt;=K247),"مُعاد بملاحظات",IF(K247&gt;0,"في انتظار القبول",IF(AND(ISNUMBER(E247),E247&lt;تاريخ_الاحتساب),"متأخر",IF(F247="","لم يبدأ",F247)))))))</f>
        <v/>
      </c>
      <c r="P247" s="26" t="str">
        <f aca="false">IF($A247="","",SUMIFS('سجل المراجعات'!$L$5:$L$1504,'سجل المراجعات'!$A$5:$A$1504,$A247))</f>
        <v/>
      </c>
      <c r="Q247" s="26" t="str">
        <f aca="false">IF($A247="","",SUMIFS('سجل المراجعات'!$M$5:$M$1504,'سجل المراجعات'!$A$5:$A$1504,$A247))</f>
        <v/>
      </c>
      <c r="R247" s="26" t="str">
        <f aca="false">IF(OR($A247="",NOT(ISNUMBER(E247))),"",MAX(0,NETWORKDAYS.INTL(E247,IF(J247&gt;0,J247,تاريخ_الاحتساب),رمز_العطلة,أيام_الأجازات)-1))</f>
        <v/>
      </c>
      <c r="S247" s="22"/>
    </row>
    <row r="248" customFormat="false" ht="15" hidden="false" customHeight="false" outlineLevel="0" collapsed="false">
      <c r="A248" s="20"/>
      <c r="B248" s="20"/>
      <c r="C248" s="30" t="str">
        <f aca="false">IF($A248="","",IFERROR(INDEX(بند_الاسم,MATCH($B248,قائمة_البنود,0)),"⚠ بند غير موجود"))</f>
        <v/>
      </c>
      <c r="D248" s="22"/>
      <c r="E248" s="31"/>
      <c r="F248" s="21"/>
      <c r="G248" s="32"/>
      <c r="H248" s="25" t="str">
        <f aca="false">IF($A248="","",IFERROR(INDEX(بند_سعر_الوحدة,MATCH($B248,قائمة_البنود,0)),0))</f>
        <v/>
      </c>
      <c r="I248" s="25" t="str">
        <f aca="false">IF($A248="","",H248*(1+نسبة_الضريبة))</f>
        <v/>
      </c>
      <c r="J248" s="33" t="str">
        <f aca="false">IF($A248="","",_xlfn.MINIFS('سجل المراجعات'!$E$5:$E$1504,'سجل المراجعات'!$A$5:$A$1504,$A248,'سجل المراجعات'!$D$5:$D$1504,"تسليم"))</f>
        <v/>
      </c>
      <c r="K248" s="33" t="str">
        <f aca="false">IF($A248="","",_xlfn.MAXIFS('سجل المراجعات'!$E$5:$E$1504,'سجل المراجعات'!$A$5:$A$1504,$A248,'سجل المراجعات'!$D$5:$D$1504,"تسليم"))</f>
        <v/>
      </c>
      <c r="L248" s="33" t="str">
        <f aca="false">IF($A248="","",_xlfn.MAXIFS('سجل المراجعات'!$E$5:$E$1504,'سجل المراجعات'!$A$5:$A$1504,$A248,'سجل المراجعات'!$D$5:$D$1504,"رد بملاحظات"))</f>
        <v/>
      </c>
      <c r="M248" s="33" t="str">
        <f aca="false">IF($A248="","",_xlfn.MAXIFS('سجل المراجعات'!$E$5:$E$1504,'سجل المراجعات'!$A$5:$A$1504,$A248,'سجل المراجعات'!$D$5:$D$1504,"قبول"))</f>
        <v/>
      </c>
      <c r="N248" s="26" t="str">
        <f aca="false">IF($A248="","",COUNTIFS('سجل المراجعات'!$A$5:$A$1504,$A248,'سجل المراجعات'!$D$5:$D$1504,"تسليم"))</f>
        <v/>
      </c>
      <c r="O248" s="34" t="str">
        <f aca="false">IF($A248="","",IF(M248&gt;0,"تم القبول",IF(F248="معلق","معلق",IF(AND(L248&gt;0,L248&gt;=K248),"مُعاد بملاحظات",IF(K248&gt;0,"في انتظار القبول",IF(AND(ISNUMBER(E248),E248&lt;تاريخ_الاحتساب),"متأخر",IF(F248="","لم يبدأ",F248)))))))</f>
        <v/>
      </c>
      <c r="P248" s="26" t="str">
        <f aca="false">IF($A248="","",SUMIFS('سجل المراجعات'!$L$5:$L$1504,'سجل المراجعات'!$A$5:$A$1504,$A248))</f>
        <v/>
      </c>
      <c r="Q248" s="26" t="str">
        <f aca="false">IF($A248="","",SUMIFS('سجل المراجعات'!$M$5:$M$1504,'سجل المراجعات'!$A$5:$A$1504,$A248))</f>
        <v/>
      </c>
      <c r="R248" s="26" t="str">
        <f aca="false">IF(OR($A248="",NOT(ISNUMBER(E248))),"",MAX(0,NETWORKDAYS.INTL(E248,IF(J248&gt;0,J248,تاريخ_الاحتساب),رمز_العطلة,أيام_الأجازات)-1))</f>
        <v/>
      </c>
      <c r="S248" s="22"/>
    </row>
    <row r="249" customFormat="false" ht="15" hidden="false" customHeight="false" outlineLevel="0" collapsed="false">
      <c r="A249" s="20"/>
      <c r="B249" s="20"/>
      <c r="C249" s="30" t="str">
        <f aca="false">IF($A249="","",IFERROR(INDEX(بند_الاسم,MATCH($B249,قائمة_البنود,0)),"⚠ بند غير موجود"))</f>
        <v/>
      </c>
      <c r="D249" s="22"/>
      <c r="E249" s="31"/>
      <c r="F249" s="21"/>
      <c r="G249" s="32"/>
      <c r="H249" s="25" t="str">
        <f aca="false">IF($A249="","",IFERROR(INDEX(بند_سعر_الوحدة,MATCH($B249,قائمة_البنود,0)),0))</f>
        <v/>
      </c>
      <c r="I249" s="25" t="str">
        <f aca="false">IF($A249="","",H249*(1+نسبة_الضريبة))</f>
        <v/>
      </c>
      <c r="J249" s="33" t="str">
        <f aca="false">IF($A249="","",_xlfn.MINIFS('سجل المراجعات'!$E$5:$E$1504,'سجل المراجعات'!$A$5:$A$1504,$A249,'سجل المراجعات'!$D$5:$D$1504,"تسليم"))</f>
        <v/>
      </c>
      <c r="K249" s="33" t="str">
        <f aca="false">IF($A249="","",_xlfn.MAXIFS('سجل المراجعات'!$E$5:$E$1504,'سجل المراجعات'!$A$5:$A$1504,$A249,'سجل المراجعات'!$D$5:$D$1504,"تسليم"))</f>
        <v/>
      </c>
      <c r="L249" s="33" t="str">
        <f aca="false">IF($A249="","",_xlfn.MAXIFS('سجل المراجعات'!$E$5:$E$1504,'سجل المراجعات'!$A$5:$A$1504,$A249,'سجل المراجعات'!$D$5:$D$1504,"رد بملاحظات"))</f>
        <v/>
      </c>
      <c r="M249" s="33" t="str">
        <f aca="false">IF($A249="","",_xlfn.MAXIFS('سجل المراجعات'!$E$5:$E$1504,'سجل المراجعات'!$A$5:$A$1504,$A249,'سجل المراجعات'!$D$5:$D$1504,"قبول"))</f>
        <v/>
      </c>
      <c r="N249" s="26" t="str">
        <f aca="false">IF($A249="","",COUNTIFS('سجل المراجعات'!$A$5:$A$1504,$A249,'سجل المراجعات'!$D$5:$D$1504,"تسليم"))</f>
        <v/>
      </c>
      <c r="O249" s="34" t="str">
        <f aca="false">IF($A249="","",IF(M249&gt;0,"تم القبول",IF(F249="معلق","معلق",IF(AND(L249&gt;0,L249&gt;=K249),"مُعاد بملاحظات",IF(K249&gt;0,"في انتظار القبول",IF(AND(ISNUMBER(E249),E249&lt;تاريخ_الاحتساب),"متأخر",IF(F249="","لم يبدأ",F249)))))))</f>
        <v/>
      </c>
      <c r="P249" s="26" t="str">
        <f aca="false">IF($A249="","",SUMIFS('سجل المراجعات'!$L$5:$L$1504,'سجل المراجعات'!$A$5:$A$1504,$A249))</f>
        <v/>
      </c>
      <c r="Q249" s="26" t="str">
        <f aca="false">IF($A249="","",SUMIFS('سجل المراجعات'!$M$5:$M$1504,'سجل المراجعات'!$A$5:$A$1504,$A249))</f>
        <v/>
      </c>
      <c r="R249" s="26" t="str">
        <f aca="false">IF(OR($A249="",NOT(ISNUMBER(E249))),"",MAX(0,NETWORKDAYS.INTL(E249,IF(J249&gt;0,J249,تاريخ_الاحتساب),رمز_العطلة,أيام_الأجازات)-1))</f>
        <v/>
      </c>
      <c r="S249" s="22"/>
    </row>
    <row r="250" customFormat="false" ht="15" hidden="false" customHeight="false" outlineLevel="0" collapsed="false">
      <c r="A250" s="20"/>
      <c r="B250" s="20"/>
      <c r="C250" s="30" t="str">
        <f aca="false">IF($A250="","",IFERROR(INDEX(بند_الاسم,MATCH($B250,قائمة_البنود,0)),"⚠ بند غير موجود"))</f>
        <v/>
      </c>
      <c r="D250" s="22"/>
      <c r="E250" s="31"/>
      <c r="F250" s="21"/>
      <c r="G250" s="32"/>
      <c r="H250" s="25" t="str">
        <f aca="false">IF($A250="","",IFERROR(INDEX(بند_سعر_الوحدة,MATCH($B250,قائمة_البنود,0)),0))</f>
        <v/>
      </c>
      <c r="I250" s="25" t="str">
        <f aca="false">IF($A250="","",H250*(1+نسبة_الضريبة))</f>
        <v/>
      </c>
      <c r="J250" s="33" t="str">
        <f aca="false">IF($A250="","",_xlfn.MINIFS('سجل المراجعات'!$E$5:$E$1504,'سجل المراجعات'!$A$5:$A$1504,$A250,'سجل المراجعات'!$D$5:$D$1504,"تسليم"))</f>
        <v/>
      </c>
      <c r="K250" s="33" t="str">
        <f aca="false">IF($A250="","",_xlfn.MAXIFS('سجل المراجعات'!$E$5:$E$1504,'سجل المراجعات'!$A$5:$A$1504,$A250,'سجل المراجعات'!$D$5:$D$1504,"تسليم"))</f>
        <v/>
      </c>
      <c r="L250" s="33" t="str">
        <f aca="false">IF($A250="","",_xlfn.MAXIFS('سجل المراجعات'!$E$5:$E$1504,'سجل المراجعات'!$A$5:$A$1504,$A250,'سجل المراجعات'!$D$5:$D$1504,"رد بملاحظات"))</f>
        <v/>
      </c>
      <c r="M250" s="33" t="str">
        <f aca="false">IF($A250="","",_xlfn.MAXIFS('سجل المراجعات'!$E$5:$E$1504,'سجل المراجعات'!$A$5:$A$1504,$A250,'سجل المراجعات'!$D$5:$D$1504,"قبول"))</f>
        <v/>
      </c>
      <c r="N250" s="26" t="str">
        <f aca="false">IF($A250="","",COUNTIFS('سجل المراجعات'!$A$5:$A$1504,$A250,'سجل المراجعات'!$D$5:$D$1504,"تسليم"))</f>
        <v/>
      </c>
      <c r="O250" s="34" t="str">
        <f aca="false">IF($A250="","",IF(M250&gt;0,"تم القبول",IF(F250="معلق","معلق",IF(AND(L250&gt;0,L250&gt;=K250),"مُعاد بملاحظات",IF(K250&gt;0,"في انتظار القبول",IF(AND(ISNUMBER(E250),E250&lt;تاريخ_الاحتساب),"متأخر",IF(F250="","لم يبدأ",F250)))))))</f>
        <v/>
      </c>
      <c r="P250" s="26" t="str">
        <f aca="false">IF($A250="","",SUMIFS('سجل المراجعات'!$L$5:$L$1504,'سجل المراجعات'!$A$5:$A$1504,$A250))</f>
        <v/>
      </c>
      <c r="Q250" s="26" t="str">
        <f aca="false">IF($A250="","",SUMIFS('سجل المراجعات'!$M$5:$M$1504,'سجل المراجعات'!$A$5:$A$1504,$A250))</f>
        <v/>
      </c>
      <c r="R250" s="26" t="str">
        <f aca="false">IF(OR($A250="",NOT(ISNUMBER(E250))),"",MAX(0,NETWORKDAYS.INTL(E250,IF(J250&gt;0,J250,تاريخ_الاحتساب),رمز_العطلة,أيام_الأجازات)-1))</f>
        <v/>
      </c>
      <c r="S250" s="22"/>
    </row>
    <row r="251" customFormat="false" ht="15" hidden="false" customHeight="false" outlineLevel="0" collapsed="false">
      <c r="A251" s="20"/>
      <c r="B251" s="20"/>
      <c r="C251" s="30" t="str">
        <f aca="false">IF($A251="","",IFERROR(INDEX(بند_الاسم,MATCH($B251,قائمة_البنود,0)),"⚠ بند غير موجود"))</f>
        <v/>
      </c>
      <c r="D251" s="22"/>
      <c r="E251" s="31"/>
      <c r="F251" s="21"/>
      <c r="G251" s="32"/>
      <c r="H251" s="25" t="str">
        <f aca="false">IF($A251="","",IFERROR(INDEX(بند_سعر_الوحدة,MATCH($B251,قائمة_البنود,0)),0))</f>
        <v/>
      </c>
      <c r="I251" s="25" t="str">
        <f aca="false">IF($A251="","",H251*(1+نسبة_الضريبة))</f>
        <v/>
      </c>
      <c r="J251" s="33" t="str">
        <f aca="false">IF($A251="","",_xlfn.MINIFS('سجل المراجعات'!$E$5:$E$1504,'سجل المراجعات'!$A$5:$A$1504,$A251,'سجل المراجعات'!$D$5:$D$1504,"تسليم"))</f>
        <v/>
      </c>
      <c r="K251" s="33" t="str">
        <f aca="false">IF($A251="","",_xlfn.MAXIFS('سجل المراجعات'!$E$5:$E$1504,'سجل المراجعات'!$A$5:$A$1504,$A251,'سجل المراجعات'!$D$5:$D$1504,"تسليم"))</f>
        <v/>
      </c>
      <c r="L251" s="33" t="str">
        <f aca="false">IF($A251="","",_xlfn.MAXIFS('سجل المراجعات'!$E$5:$E$1504,'سجل المراجعات'!$A$5:$A$1504,$A251,'سجل المراجعات'!$D$5:$D$1504,"رد بملاحظات"))</f>
        <v/>
      </c>
      <c r="M251" s="33" t="str">
        <f aca="false">IF($A251="","",_xlfn.MAXIFS('سجل المراجعات'!$E$5:$E$1504,'سجل المراجعات'!$A$5:$A$1504,$A251,'سجل المراجعات'!$D$5:$D$1504,"قبول"))</f>
        <v/>
      </c>
      <c r="N251" s="26" t="str">
        <f aca="false">IF($A251="","",COUNTIFS('سجل المراجعات'!$A$5:$A$1504,$A251,'سجل المراجعات'!$D$5:$D$1504,"تسليم"))</f>
        <v/>
      </c>
      <c r="O251" s="34" t="str">
        <f aca="false">IF($A251="","",IF(M251&gt;0,"تم القبول",IF(F251="معلق","معلق",IF(AND(L251&gt;0,L251&gt;=K251),"مُعاد بملاحظات",IF(K251&gt;0,"في انتظار القبول",IF(AND(ISNUMBER(E251),E251&lt;تاريخ_الاحتساب),"متأخر",IF(F251="","لم يبدأ",F251)))))))</f>
        <v/>
      </c>
      <c r="P251" s="26" t="str">
        <f aca="false">IF($A251="","",SUMIFS('سجل المراجعات'!$L$5:$L$1504,'سجل المراجعات'!$A$5:$A$1504,$A251))</f>
        <v/>
      </c>
      <c r="Q251" s="26" t="str">
        <f aca="false">IF($A251="","",SUMIFS('سجل المراجعات'!$M$5:$M$1504,'سجل المراجعات'!$A$5:$A$1504,$A251))</f>
        <v/>
      </c>
      <c r="R251" s="26" t="str">
        <f aca="false">IF(OR($A251="",NOT(ISNUMBER(E251))),"",MAX(0,NETWORKDAYS.INTL(E251,IF(J251&gt;0,J251,تاريخ_الاحتساب),رمز_العطلة,أيام_الأجازات)-1))</f>
        <v/>
      </c>
      <c r="S251" s="22"/>
    </row>
    <row r="252" customFormat="false" ht="15" hidden="false" customHeight="false" outlineLevel="0" collapsed="false">
      <c r="A252" s="20"/>
      <c r="B252" s="20"/>
      <c r="C252" s="30" t="str">
        <f aca="false">IF($A252="","",IFERROR(INDEX(بند_الاسم,MATCH($B252,قائمة_البنود,0)),"⚠ بند غير موجود"))</f>
        <v/>
      </c>
      <c r="D252" s="22"/>
      <c r="E252" s="31"/>
      <c r="F252" s="21"/>
      <c r="G252" s="32"/>
      <c r="H252" s="25" t="str">
        <f aca="false">IF($A252="","",IFERROR(INDEX(بند_سعر_الوحدة,MATCH($B252,قائمة_البنود,0)),0))</f>
        <v/>
      </c>
      <c r="I252" s="25" t="str">
        <f aca="false">IF($A252="","",H252*(1+نسبة_الضريبة))</f>
        <v/>
      </c>
      <c r="J252" s="33" t="str">
        <f aca="false">IF($A252="","",_xlfn.MINIFS('سجل المراجعات'!$E$5:$E$1504,'سجل المراجعات'!$A$5:$A$1504,$A252,'سجل المراجعات'!$D$5:$D$1504,"تسليم"))</f>
        <v/>
      </c>
      <c r="K252" s="33" t="str">
        <f aca="false">IF($A252="","",_xlfn.MAXIFS('سجل المراجعات'!$E$5:$E$1504,'سجل المراجعات'!$A$5:$A$1504,$A252,'سجل المراجعات'!$D$5:$D$1504,"تسليم"))</f>
        <v/>
      </c>
      <c r="L252" s="33" t="str">
        <f aca="false">IF($A252="","",_xlfn.MAXIFS('سجل المراجعات'!$E$5:$E$1504,'سجل المراجعات'!$A$5:$A$1504,$A252,'سجل المراجعات'!$D$5:$D$1504,"رد بملاحظات"))</f>
        <v/>
      </c>
      <c r="M252" s="33" t="str">
        <f aca="false">IF($A252="","",_xlfn.MAXIFS('سجل المراجعات'!$E$5:$E$1504,'سجل المراجعات'!$A$5:$A$1504,$A252,'سجل المراجعات'!$D$5:$D$1504,"قبول"))</f>
        <v/>
      </c>
      <c r="N252" s="26" t="str">
        <f aca="false">IF($A252="","",COUNTIFS('سجل المراجعات'!$A$5:$A$1504,$A252,'سجل المراجعات'!$D$5:$D$1504,"تسليم"))</f>
        <v/>
      </c>
      <c r="O252" s="34" t="str">
        <f aca="false">IF($A252="","",IF(M252&gt;0,"تم القبول",IF(F252="معلق","معلق",IF(AND(L252&gt;0,L252&gt;=K252),"مُعاد بملاحظات",IF(K252&gt;0,"في انتظار القبول",IF(AND(ISNUMBER(E252),E252&lt;تاريخ_الاحتساب),"متأخر",IF(F252="","لم يبدأ",F252)))))))</f>
        <v/>
      </c>
      <c r="P252" s="26" t="str">
        <f aca="false">IF($A252="","",SUMIFS('سجل المراجعات'!$L$5:$L$1504,'سجل المراجعات'!$A$5:$A$1504,$A252))</f>
        <v/>
      </c>
      <c r="Q252" s="26" t="str">
        <f aca="false">IF($A252="","",SUMIFS('سجل المراجعات'!$M$5:$M$1504,'سجل المراجعات'!$A$5:$A$1504,$A252))</f>
        <v/>
      </c>
      <c r="R252" s="26" t="str">
        <f aca="false">IF(OR($A252="",NOT(ISNUMBER(E252))),"",MAX(0,NETWORKDAYS.INTL(E252,IF(J252&gt;0,J252,تاريخ_الاحتساب),رمز_العطلة,أيام_الأجازات)-1))</f>
        <v/>
      </c>
      <c r="S252" s="22"/>
    </row>
    <row r="253" customFormat="false" ht="15" hidden="false" customHeight="false" outlineLevel="0" collapsed="false">
      <c r="A253" s="20"/>
      <c r="B253" s="20"/>
      <c r="C253" s="30" t="str">
        <f aca="false">IF($A253="","",IFERROR(INDEX(بند_الاسم,MATCH($B253,قائمة_البنود,0)),"⚠ بند غير موجود"))</f>
        <v/>
      </c>
      <c r="D253" s="22"/>
      <c r="E253" s="31"/>
      <c r="F253" s="21"/>
      <c r="G253" s="32"/>
      <c r="H253" s="25" t="str">
        <f aca="false">IF($A253="","",IFERROR(INDEX(بند_سعر_الوحدة,MATCH($B253,قائمة_البنود,0)),0))</f>
        <v/>
      </c>
      <c r="I253" s="25" t="str">
        <f aca="false">IF($A253="","",H253*(1+نسبة_الضريبة))</f>
        <v/>
      </c>
      <c r="J253" s="33" t="str">
        <f aca="false">IF($A253="","",_xlfn.MINIFS('سجل المراجعات'!$E$5:$E$1504,'سجل المراجعات'!$A$5:$A$1504,$A253,'سجل المراجعات'!$D$5:$D$1504,"تسليم"))</f>
        <v/>
      </c>
      <c r="K253" s="33" t="str">
        <f aca="false">IF($A253="","",_xlfn.MAXIFS('سجل المراجعات'!$E$5:$E$1504,'سجل المراجعات'!$A$5:$A$1504,$A253,'سجل المراجعات'!$D$5:$D$1504,"تسليم"))</f>
        <v/>
      </c>
      <c r="L253" s="33" t="str">
        <f aca="false">IF($A253="","",_xlfn.MAXIFS('سجل المراجعات'!$E$5:$E$1504,'سجل المراجعات'!$A$5:$A$1504,$A253,'سجل المراجعات'!$D$5:$D$1504,"رد بملاحظات"))</f>
        <v/>
      </c>
      <c r="M253" s="33" t="str">
        <f aca="false">IF($A253="","",_xlfn.MAXIFS('سجل المراجعات'!$E$5:$E$1504,'سجل المراجعات'!$A$5:$A$1504,$A253,'سجل المراجعات'!$D$5:$D$1504,"قبول"))</f>
        <v/>
      </c>
      <c r="N253" s="26" t="str">
        <f aca="false">IF($A253="","",COUNTIFS('سجل المراجعات'!$A$5:$A$1504,$A253,'سجل المراجعات'!$D$5:$D$1504,"تسليم"))</f>
        <v/>
      </c>
      <c r="O253" s="34" t="str">
        <f aca="false">IF($A253="","",IF(M253&gt;0,"تم القبول",IF(F253="معلق","معلق",IF(AND(L253&gt;0,L253&gt;=K253),"مُعاد بملاحظات",IF(K253&gt;0,"في انتظار القبول",IF(AND(ISNUMBER(E253),E253&lt;تاريخ_الاحتساب),"متأخر",IF(F253="","لم يبدأ",F253)))))))</f>
        <v/>
      </c>
      <c r="P253" s="26" t="str">
        <f aca="false">IF($A253="","",SUMIFS('سجل المراجعات'!$L$5:$L$1504,'سجل المراجعات'!$A$5:$A$1504,$A253))</f>
        <v/>
      </c>
      <c r="Q253" s="26" t="str">
        <f aca="false">IF($A253="","",SUMIFS('سجل المراجعات'!$M$5:$M$1504,'سجل المراجعات'!$A$5:$A$1504,$A253))</f>
        <v/>
      </c>
      <c r="R253" s="26" t="str">
        <f aca="false">IF(OR($A253="",NOT(ISNUMBER(E253))),"",MAX(0,NETWORKDAYS.INTL(E253,IF(J253&gt;0,J253,تاريخ_الاحتساب),رمز_العطلة,أيام_الأجازات)-1))</f>
        <v/>
      </c>
      <c r="S253" s="22"/>
    </row>
    <row r="254" customFormat="false" ht="15" hidden="false" customHeight="false" outlineLevel="0" collapsed="false">
      <c r="A254" s="20"/>
      <c r="B254" s="20"/>
      <c r="C254" s="30" t="str">
        <f aca="false">IF($A254="","",IFERROR(INDEX(بند_الاسم,MATCH($B254,قائمة_البنود,0)),"⚠ بند غير موجود"))</f>
        <v/>
      </c>
      <c r="D254" s="22"/>
      <c r="E254" s="31"/>
      <c r="F254" s="21"/>
      <c r="G254" s="32"/>
      <c r="H254" s="25" t="str">
        <f aca="false">IF($A254="","",IFERROR(INDEX(بند_سعر_الوحدة,MATCH($B254,قائمة_البنود,0)),0))</f>
        <v/>
      </c>
      <c r="I254" s="25" t="str">
        <f aca="false">IF($A254="","",H254*(1+نسبة_الضريبة))</f>
        <v/>
      </c>
      <c r="J254" s="33" t="str">
        <f aca="false">IF($A254="","",_xlfn.MINIFS('سجل المراجعات'!$E$5:$E$1504,'سجل المراجعات'!$A$5:$A$1504,$A254,'سجل المراجعات'!$D$5:$D$1504,"تسليم"))</f>
        <v/>
      </c>
      <c r="K254" s="33" t="str">
        <f aca="false">IF($A254="","",_xlfn.MAXIFS('سجل المراجعات'!$E$5:$E$1504,'سجل المراجعات'!$A$5:$A$1504,$A254,'سجل المراجعات'!$D$5:$D$1504,"تسليم"))</f>
        <v/>
      </c>
      <c r="L254" s="33" t="str">
        <f aca="false">IF($A254="","",_xlfn.MAXIFS('سجل المراجعات'!$E$5:$E$1504,'سجل المراجعات'!$A$5:$A$1504,$A254,'سجل المراجعات'!$D$5:$D$1504,"رد بملاحظات"))</f>
        <v/>
      </c>
      <c r="M254" s="33" t="str">
        <f aca="false">IF($A254="","",_xlfn.MAXIFS('سجل المراجعات'!$E$5:$E$1504,'سجل المراجعات'!$A$5:$A$1504,$A254,'سجل المراجعات'!$D$5:$D$1504,"قبول"))</f>
        <v/>
      </c>
      <c r="N254" s="26" t="str">
        <f aca="false">IF($A254="","",COUNTIFS('سجل المراجعات'!$A$5:$A$1504,$A254,'سجل المراجعات'!$D$5:$D$1504,"تسليم"))</f>
        <v/>
      </c>
      <c r="O254" s="34" t="str">
        <f aca="false">IF($A254="","",IF(M254&gt;0,"تم القبول",IF(F254="معلق","معلق",IF(AND(L254&gt;0,L254&gt;=K254),"مُعاد بملاحظات",IF(K254&gt;0,"في انتظار القبول",IF(AND(ISNUMBER(E254),E254&lt;تاريخ_الاحتساب),"متأخر",IF(F254="","لم يبدأ",F254)))))))</f>
        <v/>
      </c>
      <c r="P254" s="26" t="str">
        <f aca="false">IF($A254="","",SUMIFS('سجل المراجعات'!$L$5:$L$1504,'سجل المراجعات'!$A$5:$A$1504,$A254))</f>
        <v/>
      </c>
      <c r="Q254" s="26" t="str">
        <f aca="false">IF($A254="","",SUMIFS('سجل المراجعات'!$M$5:$M$1504,'سجل المراجعات'!$A$5:$A$1504,$A254))</f>
        <v/>
      </c>
      <c r="R254" s="26" t="str">
        <f aca="false">IF(OR($A254="",NOT(ISNUMBER(E254))),"",MAX(0,NETWORKDAYS.INTL(E254,IF(J254&gt;0,J254,تاريخ_الاحتساب),رمز_العطلة,أيام_الأجازات)-1))</f>
        <v/>
      </c>
      <c r="S254" s="22"/>
    </row>
    <row r="255" customFormat="false" ht="15" hidden="false" customHeight="false" outlineLevel="0" collapsed="false">
      <c r="A255" s="20"/>
      <c r="B255" s="20"/>
      <c r="C255" s="30" t="str">
        <f aca="false">IF($A255="","",IFERROR(INDEX(بند_الاسم,MATCH($B255,قائمة_البنود,0)),"⚠ بند غير موجود"))</f>
        <v/>
      </c>
      <c r="D255" s="22"/>
      <c r="E255" s="31"/>
      <c r="F255" s="21"/>
      <c r="G255" s="32"/>
      <c r="H255" s="25" t="str">
        <f aca="false">IF($A255="","",IFERROR(INDEX(بند_سعر_الوحدة,MATCH($B255,قائمة_البنود,0)),0))</f>
        <v/>
      </c>
      <c r="I255" s="25" t="str">
        <f aca="false">IF($A255="","",H255*(1+نسبة_الضريبة))</f>
        <v/>
      </c>
      <c r="J255" s="33" t="str">
        <f aca="false">IF($A255="","",_xlfn.MINIFS('سجل المراجعات'!$E$5:$E$1504,'سجل المراجعات'!$A$5:$A$1504,$A255,'سجل المراجعات'!$D$5:$D$1504,"تسليم"))</f>
        <v/>
      </c>
      <c r="K255" s="33" t="str">
        <f aca="false">IF($A255="","",_xlfn.MAXIFS('سجل المراجعات'!$E$5:$E$1504,'سجل المراجعات'!$A$5:$A$1504,$A255,'سجل المراجعات'!$D$5:$D$1504,"تسليم"))</f>
        <v/>
      </c>
      <c r="L255" s="33" t="str">
        <f aca="false">IF($A255="","",_xlfn.MAXIFS('سجل المراجعات'!$E$5:$E$1504,'سجل المراجعات'!$A$5:$A$1504,$A255,'سجل المراجعات'!$D$5:$D$1504,"رد بملاحظات"))</f>
        <v/>
      </c>
      <c r="M255" s="33" t="str">
        <f aca="false">IF($A255="","",_xlfn.MAXIFS('سجل المراجعات'!$E$5:$E$1504,'سجل المراجعات'!$A$5:$A$1504,$A255,'سجل المراجعات'!$D$5:$D$1504,"قبول"))</f>
        <v/>
      </c>
      <c r="N255" s="26" t="str">
        <f aca="false">IF($A255="","",COUNTIFS('سجل المراجعات'!$A$5:$A$1504,$A255,'سجل المراجعات'!$D$5:$D$1504,"تسليم"))</f>
        <v/>
      </c>
      <c r="O255" s="34" t="str">
        <f aca="false">IF($A255="","",IF(M255&gt;0,"تم القبول",IF(F255="معلق","معلق",IF(AND(L255&gt;0,L255&gt;=K255),"مُعاد بملاحظات",IF(K255&gt;0,"في انتظار القبول",IF(AND(ISNUMBER(E255),E255&lt;تاريخ_الاحتساب),"متأخر",IF(F255="","لم يبدأ",F255)))))))</f>
        <v/>
      </c>
      <c r="P255" s="26" t="str">
        <f aca="false">IF($A255="","",SUMIFS('سجل المراجعات'!$L$5:$L$1504,'سجل المراجعات'!$A$5:$A$1504,$A255))</f>
        <v/>
      </c>
      <c r="Q255" s="26" t="str">
        <f aca="false">IF($A255="","",SUMIFS('سجل المراجعات'!$M$5:$M$1504,'سجل المراجعات'!$A$5:$A$1504,$A255))</f>
        <v/>
      </c>
      <c r="R255" s="26" t="str">
        <f aca="false">IF(OR($A255="",NOT(ISNUMBER(E255))),"",MAX(0,NETWORKDAYS.INTL(E255,IF(J255&gt;0,J255,تاريخ_الاحتساب),رمز_العطلة,أيام_الأجازات)-1))</f>
        <v/>
      </c>
      <c r="S255" s="22"/>
    </row>
    <row r="256" customFormat="false" ht="15" hidden="false" customHeight="false" outlineLevel="0" collapsed="false">
      <c r="A256" s="20"/>
      <c r="B256" s="20"/>
      <c r="C256" s="30" t="str">
        <f aca="false">IF($A256="","",IFERROR(INDEX(بند_الاسم,MATCH($B256,قائمة_البنود,0)),"⚠ بند غير موجود"))</f>
        <v/>
      </c>
      <c r="D256" s="22"/>
      <c r="E256" s="31"/>
      <c r="F256" s="21"/>
      <c r="G256" s="32"/>
      <c r="H256" s="25" t="str">
        <f aca="false">IF($A256="","",IFERROR(INDEX(بند_سعر_الوحدة,MATCH($B256,قائمة_البنود,0)),0))</f>
        <v/>
      </c>
      <c r="I256" s="25" t="str">
        <f aca="false">IF($A256="","",H256*(1+نسبة_الضريبة))</f>
        <v/>
      </c>
      <c r="J256" s="33" t="str">
        <f aca="false">IF($A256="","",_xlfn.MINIFS('سجل المراجعات'!$E$5:$E$1504,'سجل المراجعات'!$A$5:$A$1504,$A256,'سجل المراجعات'!$D$5:$D$1504,"تسليم"))</f>
        <v/>
      </c>
      <c r="K256" s="33" t="str">
        <f aca="false">IF($A256="","",_xlfn.MAXIFS('سجل المراجعات'!$E$5:$E$1504,'سجل المراجعات'!$A$5:$A$1504,$A256,'سجل المراجعات'!$D$5:$D$1504,"تسليم"))</f>
        <v/>
      </c>
      <c r="L256" s="33" t="str">
        <f aca="false">IF($A256="","",_xlfn.MAXIFS('سجل المراجعات'!$E$5:$E$1504,'سجل المراجعات'!$A$5:$A$1504,$A256,'سجل المراجعات'!$D$5:$D$1504,"رد بملاحظات"))</f>
        <v/>
      </c>
      <c r="M256" s="33" t="str">
        <f aca="false">IF($A256="","",_xlfn.MAXIFS('سجل المراجعات'!$E$5:$E$1504,'سجل المراجعات'!$A$5:$A$1504,$A256,'سجل المراجعات'!$D$5:$D$1504,"قبول"))</f>
        <v/>
      </c>
      <c r="N256" s="26" t="str">
        <f aca="false">IF($A256="","",COUNTIFS('سجل المراجعات'!$A$5:$A$1504,$A256,'سجل المراجعات'!$D$5:$D$1504,"تسليم"))</f>
        <v/>
      </c>
      <c r="O256" s="34" t="str">
        <f aca="false">IF($A256="","",IF(M256&gt;0,"تم القبول",IF(F256="معلق","معلق",IF(AND(L256&gt;0,L256&gt;=K256),"مُعاد بملاحظات",IF(K256&gt;0,"في انتظار القبول",IF(AND(ISNUMBER(E256),E256&lt;تاريخ_الاحتساب),"متأخر",IF(F256="","لم يبدأ",F256)))))))</f>
        <v/>
      </c>
      <c r="P256" s="26" t="str">
        <f aca="false">IF($A256="","",SUMIFS('سجل المراجعات'!$L$5:$L$1504,'سجل المراجعات'!$A$5:$A$1504,$A256))</f>
        <v/>
      </c>
      <c r="Q256" s="26" t="str">
        <f aca="false">IF($A256="","",SUMIFS('سجل المراجعات'!$M$5:$M$1504,'سجل المراجعات'!$A$5:$A$1504,$A256))</f>
        <v/>
      </c>
      <c r="R256" s="26" t="str">
        <f aca="false">IF(OR($A256="",NOT(ISNUMBER(E256))),"",MAX(0,NETWORKDAYS.INTL(E256,IF(J256&gt;0,J256,تاريخ_الاحتساب),رمز_العطلة,أيام_الأجازات)-1))</f>
        <v/>
      </c>
      <c r="S256" s="22"/>
    </row>
    <row r="257" customFormat="false" ht="15" hidden="false" customHeight="false" outlineLevel="0" collapsed="false">
      <c r="A257" s="20"/>
      <c r="B257" s="20"/>
      <c r="C257" s="30" t="str">
        <f aca="false">IF($A257="","",IFERROR(INDEX(بند_الاسم,MATCH($B257,قائمة_البنود,0)),"⚠ بند غير موجود"))</f>
        <v/>
      </c>
      <c r="D257" s="22"/>
      <c r="E257" s="31"/>
      <c r="F257" s="21"/>
      <c r="G257" s="32"/>
      <c r="H257" s="25" t="str">
        <f aca="false">IF($A257="","",IFERROR(INDEX(بند_سعر_الوحدة,MATCH($B257,قائمة_البنود,0)),0))</f>
        <v/>
      </c>
      <c r="I257" s="25" t="str">
        <f aca="false">IF($A257="","",H257*(1+نسبة_الضريبة))</f>
        <v/>
      </c>
      <c r="J257" s="33" t="str">
        <f aca="false">IF($A257="","",_xlfn.MINIFS('سجل المراجعات'!$E$5:$E$1504,'سجل المراجعات'!$A$5:$A$1504,$A257,'سجل المراجعات'!$D$5:$D$1504,"تسليم"))</f>
        <v/>
      </c>
      <c r="K257" s="33" t="str">
        <f aca="false">IF($A257="","",_xlfn.MAXIFS('سجل المراجعات'!$E$5:$E$1504,'سجل المراجعات'!$A$5:$A$1504,$A257,'سجل المراجعات'!$D$5:$D$1504,"تسليم"))</f>
        <v/>
      </c>
      <c r="L257" s="33" t="str">
        <f aca="false">IF($A257="","",_xlfn.MAXIFS('سجل المراجعات'!$E$5:$E$1504,'سجل المراجعات'!$A$5:$A$1504,$A257,'سجل المراجعات'!$D$5:$D$1504,"رد بملاحظات"))</f>
        <v/>
      </c>
      <c r="M257" s="33" t="str">
        <f aca="false">IF($A257="","",_xlfn.MAXIFS('سجل المراجعات'!$E$5:$E$1504,'سجل المراجعات'!$A$5:$A$1504,$A257,'سجل المراجعات'!$D$5:$D$1504,"قبول"))</f>
        <v/>
      </c>
      <c r="N257" s="26" t="str">
        <f aca="false">IF($A257="","",COUNTIFS('سجل المراجعات'!$A$5:$A$1504,$A257,'سجل المراجعات'!$D$5:$D$1504,"تسليم"))</f>
        <v/>
      </c>
      <c r="O257" s="34" t="str">
        <f aca="false">IF($A257="","",IF(M257&gt;0,"تم القبول",IF(F257="معلق","معلق",IF(AND(L257&gt;0,L257&gt;=K257),"مُعاد بملاحظات",IF(K257&gt;0,"في انتظار القبول",IF(AND(ISNUMBER(E257),E257&lt;تاريخ_الاحتساب),"متأخر",IF(F257="","لم يبدأ",F257)))))))</f>
        <v/>
      </c>
      <c r="P257" s="26" t="str">
        <f aca="false">IF($A257="","",SUMIFS('سجل المراجعات'!$L$5:$L$1504,'سجل المراجعات'!$A$5:$A$1504,$A257))</f>
        <v/>
      </c>
      <c r="Q257" s="26" t="str">
        <f aca="false">IF($A257="","",SUMIFS('سجل المراجعات'!$M$5:$M$1504,'سجل المراجعات'!$A$5:$A$1504,$A257))</f>
        <v/>
      </c>
      <c r="R257" s="26" t="str">
        <f aca="false">IF(OR($A257="",NOT(ISNUMBER(E257))),"",MAX(0,NETWORKDAYS.INTL(E257,IF(J257&gt;0,J257,تاريخ_الاحتساب),رمز_العطلة,أيام_الأجازات)-1))</f>
        <v/>
      </c>
      <c r="S257" s="22"/>
    </row>
    <row r="258" customFormat="false" ht="15" hidden="false" customHeight="false" outlineLevel="0" collapsed="false">
      <c r="A258" s="20"/>
      <c r="B258" s="20"/>
      <c r="C258" s="30" t="str">
        <f aca="false">IF($A258="","",IFERROR(INDEX(بند_الاسم,MATCH($B258,قائمة_البنود,0)),"⚠ بند غير موجود"))</f>
        <v/>
      </c>
      <c r="D258" s="22"/>
      <c r="E258" s="31"/>
      <c r="F258" s="21"/>
      <c r="G258" s="32"/>
      <c r="H258" s="25" t="str">
        <f aca="false">IF($A258="","",IFERROR(INDEX(بند_سعر_الوحدة,MATCH($B258,قائمة_البنود,0)),0))</f>
        <v/>
      </c>
      <c r="I258" s="25" t="str">
        <f aca="false">IF($A258="","",H258*(1+نسبة_الضريبة))</f>
        <v/>
      </c>
      <c r="J258" s="33" t="str">
        <f aca="false">IF($A258="","",_xlfn.MINIFS('سجل المراجعات'!$E$5:$E$1504,'سجل المراجعات'!$A$5:$A$1504,$A258,'سجل المراجعات'!$D$5:$D$1504,"تسليم"))</f>
        <v/>
      </c>
      <c r="K258" s="33" t="str">
        <f aca="false">IF($A258="","",_xlfn.MAXIFS('سجل المراجعات'!$E$5:$E$1504,'سجل المراجعات'!$A$5:$A$1504,$A258,'سجل المراجعات'!$D$5:$D$1504,"تسليم"))</f>
        <v/>
      </c>
      <c r="L258" s="33" t="str">
        <f aca="false">IF($A258="","",_xlfn.MAXIFS('سجل المراجعات'!$E$5:$E$1504,'سجل المراجعات'!$A$5:$A$1504,$A258,'سجل المراجعات'!$D$5:$D$1504,"رد بملاحظات"))</f>
        <v/>
      </c>
      <c r="M258" s="33" t="str">
        <f aca="false">IF($A258="","",_xlfn.MAXIFS('سجل المراجعات'!$E$5:$E$1504,'سجل المراجعات'!$A$5:$A$1504,$A258,'سجل المراجعات'!$D$5:$D$1504,"قبول"))</f>
        <v/>
      </c>
      <c r="N258" s="26" t="str">
        <f aca="false">IF($A258="","",COUNTIFS('سجل المراجعات'!$A$5:$A$1504,$A258,'سجل المراجعات'!$D$5:$D$1504,"تسليم"))</f>
        <v/>
      </c>
      <c r="O258" s="34" t="str">
        <f aca="false">IF($A258="","",IF(M258&gt;0,"تم القبول",IF(F258="معلق","معلق",IF(AND(L258&gt;0,L258&gt;=K258),"مُعاد بملاحظات",IF(K258&gt;0,"في انتظار القبول",IF(AND(ISNUMBER(E258),E258&lt;تاريخ_الاحتساب),"متأخر",IF(F258="","لم يبدأ",F258)))))))</f>
        <v/>
      </c>
      <c r="P258" s="26" t="str">
        <f aca="false">IF($A258="","",SUMIFS('سجل المراجعات'!$L$5:$L$1504,'سجل المراجعات'!$A$5:$A$1504,$A258))</f>
        <v/>
      </c>
      <c r="Q258" s="26" t="str">
        <f aca="false">IF($A258="","",SUMIFS('سجل المراجعات'!$M$5:$M$1504,'سجل المراجعات'!$A$5:$A$1504,$A258))</f>
        <v/>
      </c>
      <c r="R258" s="26" t="str">
        <f aca="false">IF(OR($A258="",NOT(ISNUMBER(E258))),"",MAX(0,NETWORKDAYS.INTL(E258,IF(J258&gt;0,J258,تاريخ_الاحتساب),رمز_العطلة,أيام_الأجازات)-1))</f>
        <v/>
      </c>
      <c r="S258" s="22"/>
    </row>
    <row r="259" customFormat="false" ht="15" hidden="false" customHeight="false" outlineLevel="0" collapsed="false">
      <c r="A259" s="20"/>
      <c r="B259" s="20"/>
      <c r="C259" s="30" t="str">
        <f aca="false">IF($A259="","",IFERROR(INDEX(بند_الاسم,MATCH($B259,قائمة_البنود,0)),"⚠ بند غير موجود"))</f>
        <v/>
      </c>
      <c r="D259" s="22"/>
      <c r="E259" s="31"/>
      <c r="F259" s="21"/>
      <c r="G259" s="32"/>
      <c r="H259" s="25" t="str">
        <f aca="false">IF($A259="","",IFERROR(INDEX(بند_سعر_الوحدة,MATCH($B259,قائمة_البنود,0)),0))</f>
        <v/>
      </c>
      <c r="I259" s="25" t="str">
        <f aca="false">IF($A259="","",H259*(1+نسبة_الضريبة))</f>
        <v/>
      </c>
      <c r="J259" s="33" t="str">
        <f aca="false">IF($A259="","",_xlfn.MINIFS('سجل المراجعات'!$E$5:$E$1504,'سجل المراجعات'!$A$5:$A$1504,$A259,'سجل المراجعات'!$D$5:$D$1504,"تسليم"))</f>
        <v/>
      </c>
      <c r="K259" s="33" t="str">
        <f aca="false">IF($A259="","",_xlfn.MAXIFS('سجل المراجعات'!$E$5:$E$1504,'سجل المراجعات'!$A$5:$A$1504,$A259,'سجل المراجعات'!$D$5:$D$1504,"تسليم"))</f>
        <v/>
      </c>
      <c r="L259" s="33" t="str">
        <f aca="false">IF($A259="","",_xlfn.MAXIFS('سجل المراجعات'!$E$5:$E$1504,'سجل المراجعات'!$A$5:$A$1504,$A259,'سجل المراجعات'!$D$5:$D$1504,"رد بملاحظات"))</f>
        <v/>
      </c>
      <c r="M259" s="33" t="str">
        <f aca="false">IF($A259="","",_xlfn.MAXIFS('سجل المراجعات'!$E$5:$E$1504,'سجل المراجعات'!$A$5:$A$1504,$A259,'سجل المراجعات'!$D$5:$D$1504,"قبول"))</f>
        <v/>
      </c>
      <c r="N259" s="26" t="str">
        <f aca="false">IF($A259="","",COUNTIFS('سجل المراجعات'!$A$5:$A$1504,$A259,'سجل المراجعات'!$D$5:$D$1504,"تسليم"))</f>
        <v/>
      </c>
      <c r="O259" s="34" t="str">
        <f aca="false">IF($A259="","",IF(M259&gt;0,"تم القبول",IF(F259="معلق","معلق",IF(AND(L259&gt;0,L259&gt;=K259),"مُعاد بملاحظات",IF(K259&gt;0,"في انتظار القبول",IF(AND(ISNUMBER(E259),E259&lt;تاريخ_الاحتساب),"متأخر",IF(F259="","لم يبدأ",F259)))))))</f>
        <v/>
      </c>
      <c r="P259" s="26" t="str">
        <f aca="false">IF($A259="","",SUMIFS('سجل المراجعات'!$L$5:$L$1504,'سجل المراجعات'!$A$5:$A$1504,$A259))</f>
        <v/>
      </c>
      <c r="Q259" s="26" t="str">
        <f aca="false">IF($A259="","",SUMIFS('سجل المراجعات'!$M$5:$M$1504,'سجل المراجعات'!$A$5:$A$1504,$A259))</f>
        <v/>
      </c>
      <c r="R259" s="26" t="str">
        <f aca="false">IF(OR($A259="",NOT(ISNUMBER(E259))),"",MAX(0,NETWORKDAYS.INTL(E259,IF(J259&gt;0,J259,تاريخ_الاحتساب),رمز_العطلة,أيام_الأجازات)-1))</f>
        <v/>
      </c>
      <c r="S259" s="22"/>
    </row>
    <row r="260" customFormat="false" ht="15" hidden="false" customHeight="false" outlineLevel="0" collapsed="false">
      <c r="A260" s="20"/>
      <c r="B260" s="20"/>
      <c r="C260" s="30" t="str">
        <f aca="false">IF($A260="","",IFERROR(INDEX(بند_الاسم,MATCH($B260,قائمة_البنود,0)),"⚠ بند غير موجود"))</f>
        <v/>
      </c>
      <c r="D260" s="22"/>
      <c r="E260" s="31"/>
      <c r="F260" s="21"/>
      <c r="G260" s="32"/>
      <c r="H260" s="25" t="str">
        <f aca="false">IF($A260="","",IFERROR(INDEX(بند_سعر_الوحدة,MATCH($B260,قائمة_البنود,0)),0))</f>
        <v/>
      </c>
      <c r="I260" s="25" t="str">
        <f aca="false">IF($A260="","",H260*(1+نسبة_الضريبة))</f>
        <v/>
      </c>
      <c r="J260" s="33" t="str">
        <f aca="false">IF($A260="","",_xlfn.MINIFS('سجل المراجعات'!$E$5:$E$1504,'سجل المراجعات'!$A$5:$A$1504,$A260,'سجل المراجعات'!$D$5:$D$1504,"تسليم"))</f>
        <v/>
      </c>
      <c r="K260" s="33" t="str">
        <f aca="false">IF($A260="","",_xlfn.MAXIFS('سجل المراجعات'!$E$5:$E$1504,'سجل المراجعات'!$A$5:$A$1504,$A260,'سجل المراجعات'!$D$5:$D$1504,"تسليم"))</f>
        <v/>
      </c>
      <c r="L260" s="33" t="str">
        <f aca="false">IF($A260="","",_xlfn.MAXIFS('سجل المراجعات'!$E$5:$E$1504,'سجل المراجعات'!$A$5:$A$1504,$A260,'سجل المراجعات'!$D$5:$D$1504,"رد بملاحظات"))</f>
        <v/>
      </c>
      <c r="M260" s="33" t="str">
        <f aca="false">IF($A260="","",_xlfn.MAXIFS('سجل المراجعات'!$E$5:$E$1504,'سجل المراجعات'!$A$5:$A$1504,$A260,'سجل المراجعات'!$D$5:$D$1504,"قبول"))</f>
        <v/>
      </c>
      <c r="N260" s="26" t="str">
        <f aca="false">IF($A260="","",COUNTIFS('سجل المراجعات'!$A$5:$A$1504,$A260,'سجل المراجعات'!$D$5:$D$1504,"تسليم"))</f>
        <v/>
      </c>
      <c r="O260" s="34" t="str">
        <f aca="false">IF($A260="","",IF(M260&gt;0,"تم القبول",IF(F260="معلق","معلق",IF(AND(L260&gt;0,L260&gt;=K260),"مُعاد بملاحظات",IF(K260&gt;0,"في انتظار القبول",IF(AND(ISNUMBER(E260),E260&lt;تاريخ_الاحتساب),"متأخر",IF(F260="","لم يبدأ",F260)))))))</f>
        <v/>
      </c>
      <c r="P260" s="26" t="str">
        <f aca="false">IF($A260="","",SUMIFS('سجل المراجعات'!$L$5:$L$1504,'سجل المراجعات'!$A$5:$A$1504,$A260))</f>
        <v/>
      </c>
      <c r="Q260" s="26" t="str">
        <f aca="false">IF($A260="","",SUMIFS('سجل المراجعات'!$M$5:$M$1504,'سجل المراجعات'!$A$5:$A$1504,$A260))</f>
        <v/>
      </c>
      <c r="R260" s="26" t="str">
        <f aca="false">IF(OR($A260="",NOT(ISNUMBER(E260))),"",MAX(0,NETWORKDAYS.INTL(E260,IF(J260&gt;0,J260,تاريخ_الاحتساب),رمز_العطلة,أيام_الأجازات)-1))</f>
        <v/>
      </c>
      <c r="S260" s="22"/>
    </row>
    <row r="261" customFormat="false" ht="15" hidden="false" customHeight="false" outlineLevel="0" collapsed="false">
      <c r="A261" s="20"/>
      <c r="B261" s="20"/>
      <c r="C261" s="30" t="str">
        <f aca="false">IF($A261="","",IFERROR(INDEX(بند_الاسم,MATCH($B261,قائمة_البنود,0)),"⚠ بند غير موجود"))</f>
        <v/>
      </c>
      <c r="D261" s="22"/>
      <c r="E261" s="31"/>
      <c r="F261" s="21"/>
      <c r="G261" s="32"/>
      <c r="H261" s="25" t="str">
        <f aca="false">IF($A261="","",IFERROR(INDEX(بند_سعر_الوحدة,MATCH($B261,قائمة_البنود,0)),0))</f>
        <v/>
      </c>
      <c r="I261" s="25" t="str">
        <f aca="false">IF($A261="","",H261*(1+نسبة_الضريبة))</f>
        <v/>
      </c>
      <c r="J261" s="33" t="str">
        <f aca="false">IF($A261="","",_xlfn.MINIFS('سجل المراجعات'!$E$5:$E$1504,'سجل المراجعات'!$A$5:$A$1504,$A261,'سجل المراجعات'!$D$5:$D$1504,"تسليم"))</f>
        <v/>
      </c>
      <c r="K261" s="33" t="str">
        <f aca="false">IF($A261="","",_xlfn.MAXIFS('سجل المراجعات'!$E$5:$E$1504,'سجل المراجعات'!$A$5:$A$1504,$A261,'سجل المراجعات'!$D$5:$D$1504,"تسليم"))</f>
        <v/>
      </c>
      <c r="L261" s="33" t="str">
        <f aca="false">IF($A261="","",_xlfn.MAXIFS('سجل المراجعات'!$E$5:$E$1504,'سجل المراجعات'!$A$5:$A$1504,$A261,'سجل المراجعات'!$D$5:$D$1504,"رد بملاحظات"))</f>
        <v/>
      </c>
      <c r="M261" s="33" t="str">
        <f aca="false">IF($A261="","",_xlfn.MAXIFS('سجل المراجعات'!$E$5:$E$1504,'سجل المراجعات'!$A$5:$A$1504,$A261,'سجل المراجعات'!$D$5:$D$1504,"قبول"))</f>
        <v/>
      </c>
      <c r="N261" s="26" t="str">
        <f aca="false">IF($A261="","",COUNTIFS('سجل المراجعات'!$A$5:$A$1504,$A261,'سجل المراجعات'!$D$5:$D$1504,"تسليم"))</f>
        <v/>
      </c>
      <c r="O261" s="34" t="str">
        <f aca="false">IF($A261="","",IF(M261&gt;0,"تم القبول",IF(F261="معلق","معلق",IF(AND(L261&gt;0,L261&gt;=K261),"مُعاد بملاحظات",IF(K261&gt;0,"في انتظار القبول",IF(AND(ISNUMBER(E261),E261&lt;تاريخ_الاحتساب),"متأخر",IF(F261="","لم يبدأ",F261)))))))</f>
        <v/>
      </c>
      <c r="P261" s="26" t="str">
        <f aca="false">IF($A261="","",SUMIFS('سجل المراجعات'!$L$5:$L$1504,'سجل المراجعات'!$A$5:$A$1504,$A261))</f>
        <v/>
      </c>
      <c r="Q261" s="26" t="str">
        <f aca="false">IF($A261="","",SUMIFS('سجل المراجعات'!$M$5:$M$1504,'سجل المراجعات'!$A$5:$A$1504,$A261))</f>
        <v/>
      </c>
      <c r="R261" s="26" t="str">
        <f aca="false">IF(OR($A261="",NOT(ISNUMBER(E261))),"",MAX(0,NETWORKDAYS.INTL(E261,IF(J261&gt;0,J261,تاريخ_الاحتساب),رمز_العطلة,أيام_الأجازات)-1))</f>
        <v/>
      </c>
      <c r="S261" s="22"/>
    </row>
    <row r="262" customFormat="false" ht="15" hidden="false" customHeight="false" outlineLevel="0" collapsed="false">
      <c r="A262" s="20"/>
      <c r="B262" s="20"/>
      <c r="C262" s="30" t="str">
        <f aca="false">IF($A262="","",IFERROR(INDEX(بند_الاسم,MATCH($B262,قائمة_البنود,0)),"⚠ بند غير موجود"))</f>
        <v/>
      </c>
      <c r="D262" s="22"/>
      <c r="E262" s="31"/>
      <c r="F262" s="21"/>
      <c r="G262" s="32"/>
      <c r="H262" s="25" t="str">
        <f aca="false">IF($A262="","",IFERROR(INDEX(بند_سعر_الوحدة,MATCH($B262,قائمة_البنود,0)),0))</f>
        <v/>
      </c>
      <c r="I262" s="25" t="str">
        <f aca="false">IF($A262="","",H262*(1+نسبة_الضريبة))</f>
        <v/>
      </c>
      <c r="J262" s="33" t="str">
        <f aca="false">IF($A262="","",_xlfn.MINIFS('سجل المراجعات'!$E$5:$E$1504,'سجل المراجعات'!$A$5:$A$1504,$A262,'سجل المراجعات'!$D$5:$D$1504,"تسليم"))</f>
        <v/>
      </c>
      <c r="K262" s="33" t="str">
        <f aca="false">IF($A262="","",_xlfn.MAXIFS('سجل المراجعات'!$E$5:$E$1504,'سجل المراجعات'!$A$5:$A$1504,$A262,'سجل المراجعات'!$D$5:$D$1504,"تسليم"))</f>
        <v/>
      </c>
      <c r="L262" s="33" t="str">
        <f aca="false">IF($A262="","",_xlfn.MAXIFS('سجل المراجعات'!$E$5:$E$1504,'سجل المراجعات'!$A$5:$A$1504,$A262,'سجل المراجعات'!$D$5:$D$1504,"رد بملاحظات"))</f>
        <v/>
      </c>
      <c r="M262" s="33" t="str">
        <f aca="false">IF($A262="","",_xlfn.MAXIFS('سجل المراجعات'!$E$5:$E$1504,'سجل المراجعات'!$A$5:$A$1504,$A262,'سجل المراجعات'!$D$5:$D$1504,"قبول"))</f>
        <v/>
      </c>
      <c r="N262" s="26" t="str">
        <f aca="false">IF($A262="","",COUNTIFS('سجل المراجعات'!$A$5:$A$1504,$A262,'سجل المراجعات'!$D$5:$D$1504,"تسليم"))</f>
        <v/>
      </c>
      <c r="O262" s="34" t="str">
        <f aca="false">IF($A262="","",IF(M262&gt;0,"تم القبول",IF(F262="معلق","معلق",IF(AND(L262&gt;0,L262&gt;=K262),"مُعاد بملاحظات",IF(K262&gt;0,"في انتظار القبول",IF(AND(ISNUMBER(E262),E262&lt;تاريخ_الاحتساب),"متأخر",IF(F262="","لم يبدأ",F262)))))))</f>
        <v/>
      </c>
      <c r="P262" s="26" t="str">
        <f aca="false">IF($A262="","",SUMIFS('سجل المراجعات'!$L$5:$L$1504,'سجل المراجعات'!$A$5:$A$1504,$A262))</f>
        <v/>
      </c>
      <c r="Q262" s="26" t="str">
        <f aca="false">IF($A262="","",SUMIFS('سجل المراجعات'!$M$5:$M$1504,'سجل المراجعات'!$A$5:$A$1504,$A262))</f>
        <v/>
      </c>
      <c r="R262" s="26" t="str">
        <f aca="false">IF(OR($A262="",NOT(ISNUMBER(E262))),"",MAX(0,NETWORKDAYS.INTL(E262,IF(J262&gt;0,J262,تاريخ_الاحتساب),رمز_العطلة,أيام_الأجازات)-1))</f>
        <v/>
      </c>
      <c r="S262" s="22"/>
    </row>
    <row r="263" customFormat="false" ht="15" hidden="false" customHeight="false" outlineLevel="0" collapsed="false">
      <c r="A263" s="20"/>
      <c r="B263" s="20"/>
      <c r="C263" s="30" t="str">
        <f aca="false">IF($A263="","",IFERROR(INDEX(بند_الاسم,MATCH($B263,قائمة_البنود,0)),"⚠ بند غير موجود"))</f>
        <v/>
      </c>
      <c r="D263" s="22"/>
      <c r="E263" s="31"/>
      <c r="F263" s="21"/>
      <c r="G263" s="32"/>
      <c r="H263" s="25" t="str">
        <f aca="false">IF($A263="","",IFERROR(INDEX(بند_سعر_الوحدة,MATCH($B263,قائمة_البنود,0)),0))</f>
        <v/>
      </c>
      <c r="I263" s="25" t="str">
        <f aca="false">IF($A263="","",H263*(1+نسبة_الضريبة))</f>
        <v/>
      </c>
      <c r="J263" s="33" t="str">
        <f aca="false">IF($A263="","",_xlfn.MINIFS('سجل المراجعات'!$E$5:$E$1504,'سجل المراجعات'!$A$5:$A$1504,$A263,'سجل المراجعات'!$D$5:$D$1504,"تسليم"))</f>
        <v/>
      </c>
      <c r="K263" s="33" t="str">
        <f aca="false">IF($A263="","",_xlfn.MAXIFS('سجل المراجعات'!$E$5:$E$1504,'سجل المراجعات'!$A$5:$A$1504,$A263,'سجل المراجعات'!$D$5:$D$1504,"تسليم"))</f>
        <v/>
      </c>
      <c r="L263" s="33" t="str">
        <f aca="false">IF($A263="","",_xlfn.MAXIFS('سجل المراجعات'!$E$5:$E$1504,'سجل المراجعات'!$A$5:$A$1504,$A263,'سجل المراجعات'!$D$5:$D$1504,"رد بملاحظات"))</f>
        <v/>
      </c>
      <c r="M263" s="33" t="str">
        <f aca="false">IF($A263="","",_xlfn.MAXIFS('سجل المراجعات'!$E$5:$E$1504,'سجل المراجعات'!$A$5:$A$1504,$A263,'سجل المراجعات'!$D$5:$D$1504,"قبول"))</f>
        <v/>
      </c>
      <c r="N263" s="26" t="str">
        <f aca="false">IF($A263="","",COUNTIFS('سجل المراجعات'!$A$5:$A$1504,$A263,'سجل المراجعات'!$D$5:$D$1504,"تسليم"))</f>
        <v/>
      </c>
      <c r="O263" s="34" t="str">
        <f aca="false">IF($A263="","",IF(M263&gt;0,"تم القبول",IF(F263="معلق","معلق",IF(AND(L263&gt;0,L263&gt;=K263),"مُعاد بملاحظات",IF(K263&gt;0,"في انتظار القبول",IF(AND(ISNUMBER(E263),E263&lt;تاريخ_الاحتساب),"متأخر",IF(F263="","لم يبدأ",F263)))))))</f>
        <v/>
      </c>
      <c r="P263" s="26" t="str">
        <f aca="false">IF($A263="","",SUMIFS('سجل المراجعات'!$L$5:$L$1504,'سجل المراجعات'!$A$5:$A$1504,$A263))</f>
        <v/>
      </c>
      <c r="Q263" s="26" t="str">
        <f aca="false">IF($A263="","",SUMIFS('سجل المراجعات'!$M$5:$M$1504,'سجل المراجعات'!$A$5:$A$1504,$A263))</f>
        <v/>
      </c>
      <c r="R263" s="26" t="str">
        <f aca="false">IF(OR($A263="",NOT(ISNUMBER(E263))),"",MAX(0,NETWORKDAYS.INTL(E263,IF(J263&gt;0,J263,تاريخ_الاحتساب),رمز_العطلة,أيام_الأجازات)-1))</f>
        <v/>
      </c>
      <c r="S263" s="22"/>
    </row>
    <row r="264" customFormat="false" ht="15" hidden="false" customHeight="false" outlineLevel="0" collapsed="false">
      <c r="A264" s="20"/>
      <c r="B264" s="20"/>
      <c r="C264" s="30" t="str">
        <f aca="false">IF($A264="","",IFERROR(INDEX(بند_الاسم,MATCH($B264,قائمة_البنود,0)),"⚠ بند غير موجود"))</f>
        <v/>
      </c>
      <c r="D264" s="22"/>
      <c r="E264" s="31"/>
      <c r="F264" s="21"/>
      <c r="G264" s="32"/>
      <c r="H264" s="25" t="str">
        <f aca="false">IF($A264="","",IFERROR(INDEX(بند_سعر_الوحدة,MATCH($B264,قائمة_البنود,0)),0))</f>
        <v/>
      </c>
      <c r="I264" s="25" t="str">
        <f aca="false">IF($A264="","",H264*(1+نسبة_الضريبة))</f>
        <v/>
      </c>
      <c r="J264" s="33" t="str">
        <f aca="false">IF($A264="","",_xlfn.MINIFS('سجل المراجعات'!$E$5:$E$1504,'سجل المراجعات'!$A$5:$A$1504,$A264,'سجل المراجعات'!$D$5:$D$1504,"تسليم"))</f>
        <v/>
      </c>
      <c r="K264" s="33" t="str">
        <f aca="false">IF($A264="","",_xlfn.MAXIFS('سجل المراجعات'!$E$5:$E$1504,'سجل المراجعات'!$A$5:$A$1504,$A264,'سجل المراجعات'!$D$5:$D$1504,"تسليم"))</f>
        <v/>
      </c>
      <c r="L264" s="33" t="str">
        <f aca="false">IF($A264="","",_xlfn.MAXIFS('سجل المراجعات'!$E$5:$E$1504,'سجل المراجعات'!$A$5:$A$1504,$A264,'سجل المراجعات'!$D$5:$D$1504,"رد بملاحظات"))</f>
        <v/>
      </c>
      <c r="M264" s="33" t="str">
        <f aca="false">IF($A264="","",_xlfn.MAXIFS('سجل المراجعات'!$E$5:$E$1504,'سجل المراجعات'!$A$5:$A$1504,$A264,'سجل المراجعات'!$D$5:$D$1504,"قبول"))</f>
        <v/>
      </c>
      <c r="N264" s="26" t="str">
        <f aca="false">IF($A264="","",COUNTIFS('سجل المراجعات'!$A$5:$A$1504,$A264,'سجل المراجعات'!$D$5:$D$1504,"تسليم"))</f>
        <v/>
      </c>
      <c r="O264" s="34" t="str">
        <f aca="false">IF($A264="","",IF(M264&gt;0,"تم القبول",IF(F264="معلق","معلق",IF(AND(L264&gt;0,L264&gt;=K264),"مُعاد بملاحظات",IF(K264&gt;0,"في انتظار القبول",IF(AND(ISNUMBER(E264),E264&lt;تاريخ_الاحتساب),"متأخر",IF(F264="","لم يبدأ",F264)))))))</f>
        <v/>
      </c>
      <c r="P264" s="26" t="str">
        <f aca="false">IF($A264="","",SUMIFS('سجل المراجعات'!$L$5:$L$1504,'سجل المراجعات'!$A$5:$A$1504,$A264))</f>
        <v/>
      </c>
      <c r="Q264" s="26" t="str">
        <f aca="false">IF($A264="","",SUMIFS('سجل المراجعات'!$M$5:$M$1504,'سجل المراجعات'!$A$5:$A$1504,$A264))</f>
        <v/>
      </c>
      <c r="R264" s="26" t="str">
        <f aca="false">IF(OR($A264="",NOT(ISNUMBER(E264))),"",MAX(0,NETWORKDAYS.INTL(E264,IF(J264&gt;0,J264,تاريخ_الاحتساب),رمز_العطلة,أيام_الأجازات)-1))</f>
        <v/>
      </c>
      <c r="S264" s="22"/>
    </row>
    <row r="265" customFormat="false" ht="15" hidden="false" customHeight="false" outlineLevel="0" collapsed="false">
      <c r="A265" s="20"/>
      <c r="B265" s="20"/>
      <c r="C265" s="30" t="str">
        <f aca="false">IF($A265="","",IFERROR(INDEX(بند_الاسم,MATCH($B265,قائمة_البنود,0)),"⚠ بند غير موجود"))</f>
        <v/>
      </c>
      <c r="D265" s="22"/>
      <c r="E265" s="31"/>
      <c r="F265" s="21"/>
      <c r="G265" s="32"/>
      <c r="H265" s="25" t="str">
        <f aca="false">IF($A265="","",IFERROR(INDEX(بند_سعر_الوحدة,MATCH($B265,قائمة_البنود,0)),0))</f>
        <v/>
      </c>
      <c r="I265" s="25" t="str">
        <f aca="false">IF($A265="","",H265*(1+نسبة_الضريبة))</f>
        <v/>
      </c>
      <c r="J265" s="33" t="str">
        <f aca="false">IF($A265="","",_xlfn.MINIFS('سجل المراجعات'!$E$5:$E$1504,'سجل المراجعات'!$A$5:$A$1504,$A265,'سجل المراجعات'!$D$5:$D$1504,"تسليم"))</f>
        <v/>
      </c>
      <c r="K265" s="33" t="str">
        <f aca="false">IF($A265="","",_xlfn.MAXIFS('سجل المراجعات'!$E$5:$E$1504,'سجل المراجعات'!$A$5:$A$1504,$A265,'سجل المراجعات'!$D$5:$D$1504,"تسليم"))</f>
        <v/>
      </c>
      <c r="L265" s="33" t="str">
        <f aca="false">IF($A265="","",_xlfn.MAXIFS('سجل المراجعات'!$E$5:$E$1504,'سجل المراجعات'!$A$5:$A$1504,$A265,'سجل المراجعات'!$D$5:$D$1504,"رد بملاحظات"))</f>
        <v/>
      </c>
      <c r="M265" s="33" t="str">
        <f aca="false">IF($A265="","",_xlfn.MAXIFS('سجل المراجعات'!$E$5:$E$1504,'سجل المراجعات'!$A$5:$A$1504,$A265,'سجل المراجعات'!$D$5:$D$1504,"قبول"))</f>
        <v/>
      </c>
      <c r="N265" s="26" t="str">
        <f aca="false">IF($A265="","",COUNTIFS('سجل المراجعات'!$A$5:$A$1504,$A265,'سجل المراجعات'!$D$5:$D$1504,"تسليم"))</f>
        <v/>
      </c>
      <c r="O265" s="34" t="str">
        <f aca="false">IF($A265="","",IF(M265&gt;0,"تم القبول",IF(F265="معلق","معلق",IF(AND(L265&gt;0,L265&gt;=K265),"مُعاد بملاحظات",IF(K265&gt;0,"في انتظار القبول",IF(AND(ISNUMBER(E265),E265&lt;تاريخ_الاحتساب),"متأخر",IF(F265="","لم يبدأ",F265)))))))</f>
        <v/>
      </c>
      <c r="P265" s="26" t="str">
        <f aca="false">IF($A265="","",SUMIFS('سجل المراجعات'!$L$5:$L$1504,'سجل المراجعات'!$A$5:$A$1504,$A265))</f>
        <v/>
      </c>
      <c r="Q265" s="26" t="str">
        <f aca="false">IF($A265="","",SUMIFS('سجل المراجعات'!$M$5:$M$1504,'سجل المراجعات'!$A$5:$A$1504,$A265))</f>
        <v/>
      </c>
      <c r="R265" s="26" t="str">
        <f aca="false">IF(OR($A265="",NOT(ISNUMBER(E265))),"",MAX(0,NETWORKDAYS.INTL(E265,IF(J265&gt;0,J265,تاريخ_الاحتساب),رمز_العطلة,أيام_الأجازات)-1))</f>
        <v/>
      </c>
      <c r="S265" s="22"/>
    </row>
    <row r="266" customFormat="false" ht="15" hidden="false" customHeight="false" outlineLevel="0" collapsed="false">
      <c r="A266" s="20"/>
      <c r="B266" s="20"/>
      <c r="C266" s="30" t="str">
        <f aca="false">IF($A266="","",IFERROR(INDEX(بند_الاسم,MATCH($B266,قائمة_البنود,0)),"⚠ بند غير موجود"))</f>
        <v/>
      </c>
      <c r="D266" s="22"/>
      <c r="E266" s="31"/>
      <c r="F266" s="21"/>
      <c r="G266" s="32"/>
      <c r="H266" s="25" t="str">
        <f aca="false">IF($A266="","",IFERROR(INDEX(بند_سعر_الوحدة,MATCH($B266,قائمة_البنود,0)),0))</f>
        <v/>
      </c>
      <c r="I266" s="25" t="str">
        <f aca="false">IF($A266="","",H266*(1+نسبة_الضريبة))</f>
        <v/>
      </c>
      <c r="J266" s="33" t="str">
        <f aca="false">IF($A266="","",_xlfn.MINIFS('سجل المراجعات'!$E$5:$E$1504,'سجل المراجعات'!$A$5:$A$1504,$A266,'سجل المراجعات'!$D$5:$D$1504,"تسليم"))</f>
        <v/>
      </c>
      <c r="K266" s="33" t="str">
        <f aca="false">IF($A266="","",_xlfn.MAXIFS('سجل المراجعات'!$E$5:$E$1504,'سجل المراجعات'!$A$5:$A$1504,$A266,'سجل المراجعات'!$D$5:$D$1504,"تسليم"))</f>
        <v/>
      </c>
      <c r="L266" s="33" t="str">
        <f aca="false">IF($A266="","",_xlfn.MAXIFS('سجل المراجعات'!$E$5:$E$1504,'سجل المراجعات'!$A$5:$A$1504,$A266,'سجل المراجعات'!$D$5:$D$1504,"رد بملاحظات"))</f>
        <v/>
      </c>
      <c r="M266" s="33" t="str">
        <f aca="false">IF($A266="","",_xlfn.MAXIFS('سجل المراجعات'!$E$5:$E$1504,'سجل المراجعات'!$A$5:$A$1504,$A266,'سجل المراجعات'!$D$5:$D$1504,"قبول"))</f>
        <v/>
      </c>
      <c r="N266" s="26" t="str">
        <f aca="false">IF($A266="","",COUNTIFS('سجل المراجعات'!$A$5:$A$1504,$A266,'سجل المراجعات'!$D$5:$D$1504,"تسليم"))</f>
        <v/>
      </c>
      <c r="O266" s="34" t="str">
        <f aca="false">IF($A266="","",IF(M266&gt;0,"تم القبول",IF(F266="معلق","معلق",IF(AND(L266&gt;0,L266&gt;=K266),"مُعاد بملاحظات",IF(K266&gt;0,"في انتظار القبول",IF(AND(ISNUMBER(E266),E266&lt;تاريخ_الاحتساب),"متأخر",IF(F266="","لم يبدأ",F266)))))))</f>
        <v/>
      </c>
      <c r="P266" s="26" t="str">
        <f aca="false">IF($A266="","",SUMIFS('سجل المراجعات'!$L$5:$L$1504,'سجل المراجعات'!$A$5:$A$1504,$A266))</f>
        <v/>
      </c>
      <c r="Q266" s="26" t="str">
        <f aca="false">IF($A266="","",SUMIFS('سجل المراجعات'!$M$5:$M$1504,'سجل المراجعات'!$A$5:$A$1504,$A266))</f>
        <v/>
      </c>
      <c r="R266" s="26" t="str">
        <f aca="false">IF(OR($A266="",NOT(ISNUMBER(E266))),"",MAX(0,NETWORKDAYS.INTL(E266,IF(J266&gt;0,J266,تاريخ_الاحتساب),رمز_العطلة,أيام_الأجازات)-1))</f>
        <v/>
      </c>
      <c r="S266" s="22"/>
    </row>
    <row r="267" customFormat="false" ht="15" hidden="false" customHeight="false" outlineLevel="0" collapsed="false">
      <c r="A267" s="20"/>
      <c r="B267" s="20"/>
      <c r="C267" s="30" t="str">
        <f aca="false">IF($A267="","",IFERROR(INDEX(بند_الاسم,MATCH($B267,قائمة_البنود,0)),"⚠ بند غير موجود"))</f>
        <v/>
      </c>
      <c r="D267" s="22"/>
      <c r="E267" s="31"/>
      <c r="F267" s="21"/>
      <c r="G267" s="32"/>
      <c r="H267" s="25" t="str">
        <f aca="false">IF($A267="","",IFERROR(INDEX(بند_سعر_الوحدة,MATCH($B267,قائمة_البنود,0)),0))</f>
        <v/>
      </c>
      <c r="I267" s="25" t="str">
        <f aca="false">IF($A267="","",H267*(1+نسبة_الضريبة))</f>
        <v/>
      </c>
      <c r="J267" s="33" t="str">
        <f aca="false">IF($A267="","",_xlfn.MINIFS('سجل المراجعات'!$E$5:$E$1504,'سجل المراجعات'!$A$5:$A$1504,$A267,'سجل المراجعات'!$D$5:$D$1504,"تسليم"))</f>
        <v/>
      </c>
      <c r="K267" s="33" t="str">
        <f aca="false">IF($A267="","",_xlfn.MAXIFS('سجل المراجعات'!$E$5:$E$1504,'سجل المراجعات'!$A$5:$A$1504,$A267,'سجل المراجعات'!$D$5:$D$1504,"تسليم"))</f>
        <v/>
      </c>
      <c r="L267" s="33" t="str">
        <f aca="false">IF($A267="","",_xlfn.MAXIFS('سجل المراجعات'!$E$5:$E$1504,'سجل المراجعات'!$A$5:$A$1504,$A267,'سجل المراجعات'!$D$5:$D$1504,"رد بملاحظات"))</f>
        <v/>
      </c>
      <c r="M267" s="33" t="str">
        <f aca="false">IF($A267="","",_xlfn.MAXIFS('سجل المراجعات'!$E$5:$E$1504,'سجل المراجعات'!$A$5:$A$1504,$A267,'سجل المراجعات'!$D$5:$D$1504,"قبول"))</f>
        <v/>
      </c>
      <c r="N267" s="26" t="str">
        <f aca="false">IF($A267="","",COUNTIFS('سجل المراجعات'!$A$5:$A$1504,$A267,'سجل المراجعات'!$D$5:$D$1504,"تسليم"))</f>
        <v/>
      </c>
      <c r="O267" s="34" t="str">
        <f aca="false">IF($A267="","",IF(M267&gt;0,"تم القبول",IF(F267="معلق","معلق",IF(AND(L267&gt;0,L267&gt;=K267),"مُعاد بملاحظات",IF(K267&gt;0,"في انتظار القبول",IF(AND(ISNUMBER(E267),E267&lt;تاريخ_الاحتساب),"متأخر",IF(F267="","لم يبدأ",F267)))))))</f>
        <v/>
      </c>
      <c r="P267" s="26" t="str">
        <f aca="false">IF($A267="","",SUMIFS('سجل المراجعات'!$L$5:$L$1504,'سجل المراجعات'!$A$5:$A$1504,$A267))</f>
        <v/>
      </c>
      <c r="Q267" s="26" t="str">
        <f aca="false">IF($A267="","",SUMIFS('سجل المراجعات'!$M$5:$M$1504,'سجل المراجعات'!$A$5:$A$1504,$A267))</f>
        <v/>
      </c>
      <c r="R267" s="26" t="str">
        <f aca="false">IF(OR($A267="",NOT(ISNUMBER(E267))),"",MAX(0,NETWORKDAYS.INTL(E267,IF(J267&gt;0,J267,تاريخ_الاحتساب),رمز_العطلة,أيام_الأجازات)-1))</f>
        <v/>
      </c>
      <c r="S267" s="22"/>
    </row>
    <row r="268" customFormat="false" ht="15" hidden="false" customHeight="false" outlineLevel="0" collapsed="false">
      <c r="A268" s="20"/>
      <c r="B268" s="20"/>
      <c r="C268" s="30" t="str">
        <f aca="false">IF($A268="","",IFERROR(INDEX(بند_الاسم,MATCH($B268,قائمة_البنود,0)),"⚠ بند غير موجود"))</f>
        <v/>
      </c>
      <c r="D268" s="22"/>
      <c r="E268" s="31"/>
      <c r="F268" s="21"/>
      <c r="G268" s="32"/>
      <c r="H268" s="25" t="str">
        <f aca="false">IF($A268="","",IFERROR(INDEX(بند_سعر_الوحدة,MATCH($B268,قائمة_البنود,0)),0))</f>
        <v/>
      </c>
      <c r="I268" s="25" t="str">
        <f aca="false">IF($A268="","",H268*(1+نسبة_الضريبة))</f>
        <v/>
      </c>
      <c r="J268" s="33" t="str">
        <f aca="false">IF($A268="","",_xlfn.MINIFS('سجل المراجعات'!$E$5:$E$1504,'سجل المراجعات'!$A$5:$A$1504,$A268,'سجل المراجعات'!$D$5:$D$1504,"تسليم"))</f>
        <v/>
      </c>
      <c r="K268" s="33" t="str">
        <f aca="false">IF($A268="","",_xlfn.MAXIFS('سجل المراجعات'!$E$5:$E$1504,'سجل المراجعات'!$A$5:$A$1504,$A268,'سجل المراجعات'!$D$5:$D$1504,"تسليم"))</f>
        <v/>
      </c>
      <c r="L268" s="33" t="str">
        <f aca="false">IF($A268="","",_xlfn.MAXIFS('سجل المراجعات'!$E$5:$E$1504,'سجل المراجعات'!$A$5:$A$1504,$A268,'سجل المراجعات'!$D$5:$D$1504,"رد بملاحظات"))</f>
        <v/>
      </c>
      <c r="M268" s="33" t="str">
        <f aca="false">IF($A268="","",_xlfn.MAXIFS('سجل المراجعات'!$E$5:$E$1504,'سجل المراجعات'!$A$5:$A$1504,$A268,'سجل المراجعات'!$D$5:$D$1504,"قبول"))</f>
        <v/>
      </c>
      <c r="N268" s="26" t="str">
        <f aca="false">IF($A268="","",COUNTIFS('سجل المراجعات'!$A$5:$A$1504,$A268,'سجل المراجعات'!$D$5:$D$1504,"تسليم"))</f>
        <v/>
      </c>
      <c r="O268" s="34" t="str">
        <f aca="false">IF($A268="","",IF(M268&gt;0,"تم القبول",IF(F268="معلق","معلق",IF(AND(L268&gt;0,L268&gt;=K268),"مُعاد بملاحظات",IF(K268&gt;0,"في انتظار القبول",IF(AND(ISNUMBER(E268),E268&lt;تاريخ_الاحتساب),"متأخر",IF(F268="","لم يبدأ",F268)))))))</f>
        <v/>
      </c>
      <c r="P268" s="26" t="str">
        <f aca="false">IF($A268="","",SUMIFS('سجل المراجعات'!$L$5:$L$1504,'سجل المراجعات'!$A$5:$A$1504,$A268))</f>
        <v/>
      </c>
      <c r="Q268" s="26" t="str">
        <f aca="false">IF($A268="","",SUMIFS('سجل المراجعات'!$M$5:$M$1504,'سجل المراجعات'!$A$5:$A$1504,$A268))</f>
        <v/>
      </c>
      <c r="R268" s="26" t="str">
        <f aca="false">IF(OR($A268="",NOT(ISNUMBER(E268))),"",MAX(0,NETWORKDAYS.INTL(E268,IF(J268&gt;0,J268,تاريخ_الاحتساب),رمز_العطلة,أيام_الأجازات)-1))</f>
        <v/>
      </c>
      <c r="S268" s="22"/>
    </row>
    <row r="269" customFormat="false" ht="15" hidden="false" customHeight="false" outlineLevel="0" collapsed="false">
      <c r="A269" s="20"/>
      <c r="B269" s="20"/>
      <c r="C269" s="30" t="str">
        <f aca="false">IF($A269="","",IFERROR(INDEX(بند_الاسم,MATCH($B269,قائمة_البنود,0)),"⚠ بند غير موجود"))</f>
        <v/>
      </c>
      <c r="D269" s="22"/>
      <c r="E269" s="31"/>
      <c r="F269" s="21"/>
      <c r="G269" s="32"/>
      <c r="H269" s="25" t="str">
        <f aca="false">IF($A269="","",IFERROR(INDEX(بند_سعر_الوحدة,MATCH($B269,قائمة_البنود,0)),0))</f>
        <v/>
      </c>
      <c r="I269" s="25" t="str">
        <f aca="false">IF($A269="","",H269*(1+نسبة_الضريبة))</f>
        <v/>
      </c>
      <c r="J269" s="33" t="str">
        <f aca="false">IF($A269="","",_xlfn.MINIFS('سجل المراجعات'!$E$5:$E$1504,'سجل المراجعات'!$A$5:$A$1504,$A269,'سجل المراجعات'!$D$5:$D$1504,"تسليم"))</f>
        <v/>
      </c>
      <c r="K269" s="33" t="str">
        <f aca="false">IF($A269="","",_xlfn.MAXIFS('سجل المراجعات'!$E$5:$E$1504,'سجل المراجعات'!$A$5:$A$1504,$A269,'سجل المراجعات'!$D$5:$D$1504,"تسليم"))</f>
        <v/>
      </c>
      <c r="L269" s="33" t="str">
        <f aca="false">IF($A269="","",_xlfn.MAXIFS('سجل المراجعات'!$E$5:$E$1504,'سجل المراجعات'!$A$5:$A$1504,$A269,'سجل المراجعات'!$D$5:$D$1504,"رد بملاحظات"))</f>
        <v/>
      </c>
      <c r="M269" s="33" t="str">
        <f aca="false">IF($A269="","",_xlfn.MAXIFS('سجل المراجعات'!$E$5:$E$1504,'سجل المراجعات'!$A$5:$A$1504,$A269,'سجل المراجعات'!$D$5:$D$1504,"قبول"))</f>
        <v/>
      </c>
      <c r="N269" s="26" t="str">
        <f aca="false">IF($A269="","",COUNTIFS('سجل المراجعات'!$A$5:$A$1504,$A269,'سجل المراجعات'!$D$5:$D$1504,"تسليم"))</f>
        <v/>
      </c>
      <c r="O269" s="34" t="str">
        <f aca="false">IF($A269="","",IF(M269&gt;0,"تم القبول",IF(F269="معلق","معلق",IF(AND(L269&gt;0,L269&gt;=K269),"مُعاد بملاحظات",IF(K269&gt;0,"في انتظار القبول",IF(AND(ISNUMBER(E269),E269&lt;تاريخ_الاحتساب),"متأخر",IF(F269="","لم يبدأ",F269)))))))</f>
        <v/>
      </c>
      <c r="P269" s="26" t="str">
        <f aca="false">IF($A269="","",SUMIFS('سجل المراجعات'!$L$5:$L$1504,'سجل المراجعات'!$A$5:$A$1504,$A269))</f>
        <v/>
      </c>
      <c r="Q269" s="26" t="str">
        <f aca="false">IF($A269="","",SUMIFS('سجل المراجعات'!$M$5:$M$1504,'سجل المراجعات'!$A$5:$A$1504,$A269))</f>
        <v/>
      </c>
      <c r="R269" s="26" t="str">
        <f aca="false">IF(OR($A269="",NOT(ISNUMBER(E269))),"",MAX(0,NETWORKDAYS.INTL(E269,IF(J269&gt;0,J269,تاريخ_الاحتساب),رمز_العطلة,أيام_الأجازات)-1))</f>
        <v/>
      </c>
      <c r="S269" s="22"/>
    </row>
    <row r="270" customFormat="false" ht="15" hidden="false" customHeight="false" outlineLevel="0" collapsed="false">
      <c r="A270" s="20"/>
      <c r="B270" s="20"/>
      <c r="C270" s="30" t="str">
        <f aca="false">IF($A270="","",IFERROR(INDEX(بند_الاسم,MATCH($B270,قائمة_البنود,0)),"⚠ بند غير موجود"))</f>
        <v/>
      </c>
      <c r="D270" s="22"/>
      <c r="E270" s="31"/>
      <c r="F270" s="21"/>
      <c r="G270" s="32"/>
      <c r="H270" s="25" t="str">
        <f aca="false">IF($A270="","",IFERROR(INDEX(بند_سعر_الوحدة,MATCH($B270,قائمة_البنود,0)),0))</f>
        <v/>
      </c>
      <c r="I270" s="25" t="str">
        <f aca="false">IF($A270="","",H270*(1+نسبة_الضريبة))</f>
        <v/>
      </c>
      <c r="J270" s="33" t="str">
        <f aca="false">IF($A270="","",_xlfn.MINIFS('سجل المراجعات'!$E$5:$E$1504,'سجل المراجعات'!$A$5:$A$1504,$A270,'سجل المراجعات'!$D$5:$D$1504,"تسليم"))</f>
        <v/>
      </c>
      <c r="K270" s="33" t="str">
        <f aca="false">IF($A270="","",_xlfn.MAXIFS('سجل المراجعات'!$E$5:$E$1504,'سجل المراجعات'!$A$5:$A$1504,$A270,'سجل المراجعات'!$D$5:$D$1504,"تسليم"))</f>
        <v/>
      </c>
      <c r="L270" s="33" t="str">
        <f aca="false">IF($A270="","",_xlfn.MAXIFS('سجل المراجعات'!$E$5:$E$1504,'سجل المراجعات'!$A$5:$A$1504,$A270,'سجل المراجعات'!$D$5:$D$1504,"رد بملاحظات"))</f>
        <v/>
      </c>
      <c r="M270" s="33" t="str">
        <f aca="false">IF($A270="","",_xlfn.MAXIFS('سجل المراجعات'!$E$5:$E$1504,'سجل المراجعات'!$A$5:$A$1504,$A270,'سجل المراجعات'!$D$5:$D$1504,"قبول"))</f>
        <v/>
      </c>
      <c r="N270" s="26" t="str">
        <f aca="false">IF($A270="","",COUNTIFS('سجل المراجعات'!$A$5:$A$1504,$A270,'سجل المراجعات'!$D$5:$D$1504,"تسليم"))</f>
        <v/>
      </c>
      <c r="O270" s="34" t="str">
        <f aca="false">IF($A270="","",IF(M270&gt;0,"تم القبول",IF(F270="معلق","معلق",IF(AND(L270&gt;0,L270&gt;=K270),"مُعاد بملاحظات",IF(K270&gt;0,"في انتظار القبول",IF(AND(ISNUMBER(E270),E270&lt;تاريخ_الاحتساب),"متأخر",IF(F270="","لم يبدأ",F270)))))))</f>
        <v/>
      </c>
      <c r="P270" s="26" t="str">
        <f aca="false">IF($A270="","",SUMIFS('سجل المراجعات'!$L$5:$L$1504,'سجل المراجعات'!$A$5:$A$1504,$A270))</f>
        <v/>
      </c>
      <c r="Q270" s="26" t="str">
        <f aca="false">IF($A270="","",SUMIFS('سجل المراجعات'!$M$5:$M$1504,'سجل المراجعات'!$A$5:$A$1504,$A270))</f>
        <v/>
      </c>
      <c r="R270" s="26" t="str">
        <f aca="false">IF(OR($A270="",NOT(ISNUMBER(E270))),"",MAX(0,NETWORKDAYS.INTL(E270,IF(J270&gt;0,J270,تاريخ_الاحتساب),رمز_العطلة,أيام_الأجازات)-1))</f>
        <v/>
      </c>
      <c r="S270" s="22"/>
    </row>
    <row r="271" customFormat="false" ht="15" hidden="false" customHeight="false" outlineLevel="0" collapsed="false">
      <c r="A271" s="20"/>
      <c r="B271" s="20"/>
      <c r="C271" s="30" t="str">
        <f aca="false">IF($A271="","",IFERROR(INDEX(بند_الاسم,MATCH($B271,قائمة_البنود,0)),"⚠ بند غير موجود"))</f>
        <v/>
      </c>
      <c r="D271" s="22"/>
      <c r="E271" s="31"/>
      <c r="F271" s="21"/>
      <c r="G271" s="32"/>
      <c r="H271" s="25" t="str">
        <f aca="false">IF($A271="","",IFERROR(INDEX(بند_سعر_الوحدة,MATCH($B271,قائمة_البنود,0)),0))</f>
        <v/>
      </c>
      <c r="I271" s="25" t="str">
        <f aca="false">IF($A271="","",H271*(1+نسبة_الضريبة))</f>
        <v/>
      </c>
      <c r="J271" s="33" t="str">
        <f aca="false">IF($A271="","",_xlfn.MINIFS('سجل المراجعات'!$E$5:$E$1504,'سجل المراجعات'!$A$5:$A$1504,$A271,'سجل المراجعات'!$D$5:$D$1504,"تسليم"))</f>
        <v/>
      </c>
      <c r="K271" s="33" t="str">
        <f aca="false">IF($A271="","",_xlfn.MAXIFS('سجل المراجعات'!$E$5:$E$1504,'سجل المراجعات'!$A$5:$A$1504,$A271,'سجل المراجعات'!$D$5:$D$1504,"تسليم"))</f>
        <v/>
      </c>
      <c r="L271" s="33" t="str">
        <f aca="false">IF($A271="","",_xlfn.MAXIFS('سجل المراجعات'!$E$5:$E$1504,'سجل المراجعات'!$A$5:$A$1504,$A271,'سجل المراجعات'!$D$5:$D$1504,"رد بملاحظات"))</f>
        <v/>
      </c>
      <c r="M271" s="33" t="str">
        <f aca="false">IF($A271="","",_xlfn.MAXIFS('سجل المراجعات'!$E$5:$E$1504,'سجل المراجعات'!$A$5:$A$1504,$A271,'سجل المراجعات'!$D$5:$D$1504,"قبول"))</f>
        <v/>
      </c>
      <c r="N271" s="26" t="str">
        <f aca="false">IF($A271="","",COUNTIFS('سجل المراجعات'!$A$5:$A$1504,$A271,'سجل المراجعات'!$D$5:$D$1504,"تسليم"))</f>
        <v/>
      </c>
      <c r="O271" s="34" t="str">
        <f aca="false">IF($A271="","",IF(M271&gt;0,"تم القبول",IF(F271="معلق","معلق",IF(AND(L271&gt;0,L271&gt;=K271),"مُعاد بملاحظات",IF(K271&gt;0,"في انتظار القبول",IF(AND(ISNUMBER(E271),E271&lt;تاريخ_الاحتساب),"متأخر",IF(F271="","لم يبدأ",F271)))))))</f>
        <v/>
      </c>
      <c r="P271" s="26" t="str">
        <f aca="false">IF($A271="","",SUMIFS('سجل المراجعات'!$L$5:$L$1504,'سجل المراجعات'!$A$5:$A$1504,$A271))</f>
        <v/>
      </c>
      <c r="Q271" s="26" t="str">
        <f aca="false">IF($A271="","",SUMIFS('سجل المراجعات'!$M$5:$M$1504,'سجل المراجعات'!$A$5:$A$1504,$A271))</f>
        <v/>
      </c>
      <c r="R271" s="26" t="str">
        <f aca="false">IF(OR($A271="",NOT(ISNUMBER(E271))),"",MAX(0,NETWORKDAYS.INTL(E271,IF(J271&gt;0,J271,تاريخ_الاحتساب),رمز_العطلة,أيام_الأجازات)-1))</f>
        <v/>
      </c>
      <c r="S271" s="22"/>
    </row>
    <row r="272" customFormat="false" ht="15" hidden="false" customHeight="false" outlineLevel="0" collapsed="false">
      <c r="A272" s="20"/>
      <c r="B272" s="20"/>
      <c r="C272" s="30" t="str">
        <f aca="false">IF($A272="","",IFERROR(INDEX(بند_الاسم,MATCH($B272,قائمة_البنود,0)),"⚠ بند غير موجود"))</f>
        <v/>
      </c>
      <c r="D272" s="22"/>
      <c r="E272" s="31"/>
      <c r="F272" s="21"/>
      <c r="G272" s="32"/>
      <c r="H272" s="25" t="str">
        <f aca="false">IF($A272="","",IFERROR(INDEX(بند_سعر_الوحدة,MATCH($B272,قائمة_البنود,0)),0))</f>
        <v/>
      </c>
      <c r="I272" s="25" t="str">
        <f aca="false">IF($A272="","",H272*(1+نسبة_الضريبة))</f>
        <v/>
      </c>
      <c r="J272" s="33" t="str">
        <f aca="false">IF($A272="","",_xlfn.MINIFS('سجل المراجعات'!$E$5:$E$1504,'سجل المراجعات'!$A$5:$A$1504,$A272,'سجل المراجعات'!$D$5:$D$1504,"تسليم"))</f>
        <v/>
      </c>
      <c r="K272" s="33" t="str">
        <f aca="false">IF($A272="","",_xlfn.MAXIFS('سجل المراجعات'!$E$5:$E$1504,'سجل المراجعات'!$A$5:$A$1504,$A272,'سجل المراجعات'!$D$5:$D$1504,"تسليم"))</f>
        <v/>
      </c>
      <c r="L272" s="33" t="str">
        <f aca="false">IF($A272="","",_xlfn.MAXIFS('سجل المراجعات'!$E$5:$E$1504,'سجل المراجعات'!$A$5:$A$1504,$A272,'سجل المراجعات'!$D$5:$D$1504,"رد بملاحظات"))</f>
        <v/>
      </c>
      <c r="M272" s="33" t="str">
        <f aca="false">IF($A272="","",_xlfn.MAXIFS('سجل المراجعات'!$E$5:$E$1504,'سجل المراجعات'!$A$5:$A$1504,$A272,'سجل المراجعات'!$D$5:$D$1504,"قبول"))</f>
        <v/>
      </c>
      <c r="N272" s="26" t="str">
        <f aca="false">IF($A272="","",COUNTIFS('سجل المراجعات'!$A$5:$A$1504,$A272,'سجل المراجعات'!$D$5:$D$1504,"تسليم"))</f>
        <v/>
      </c>
      <c r="O272" s="34" t="str">
        <f aca="false">IF($A272="","",IF(M272&gt;0,"تم القبول",IF(F272="معلق","معلق",IF(AND(L272&gt;0,L272&gt;=K272),"مُعاد بملاحظات",IF(K272&gt;0,"في انتظار القبول",IF(AND(ISNUMBER(E272),E272&lt;تاريخ_الاحتساب),"متأخر",IF(F272="","لم يبدأ",F272)))))))</f>
        <v/>
      </c>
      <c r="P272" s="26" t="str">
        <f aca="false">IF($A272="","",SUMIFS('سجل المراجعات'!$L$5:$L$1504,'سجل المراجعات'!$A$5:$A$1504,$A272))</f>
        <v/>
      </c>
      <c r="Q272" s="26" t="str">
        <f aca="false">IF($A272="","",SUMIFS('سجل المراجعات'!$M$5:$M$1504,'سجل المراجعات'!$A$5:$A$1504,$A272))</f>
        <v/>
      </c>
      <c r="R272" s="26" t="str">
        <f aca="false">IF(OR($A272="",NOT(ISNUMBER(E272))),"",MAX(0,NETWORKDAYS.INTL(E272,IF(J272&gt;0,J272,تاريخ_الاحتساب),رمز_العطلة,أيام_الأجازات)-1))</f>
        <v/>
      </c>
      <c r="S272" s="22"/>
    </row>
    <row r="273" customFormat="false" ht="15" hidden="false" customHeight="false" outlineLevel="0" collapsed="false">
      <c r="A273" s="20"/>
      <c r="B273" s="20"/>
      <c r="C273" s="30" t="str">
        <f aca="false">IF($A273="","",IFERROR(INDEX(بند_الاسم,MATCH($B273,قائمة_البنود,0)),"⚠ بند غير موجود"))</f>
        <v/>
      </c>
      <c r="D273" s="22"/>
      <c r="E273" s="31"/>
      <c r="F273" s="21"/>
      <c r="G273" s="32"/>
      <c r="H273" s="25" t="str">
        <f aca="false">IF($A273="","",IFERROR(INDEX(بند_سعر_الوحدة,MATCH($B273,قائمة_البنود,0)),0))</f>
        <v/>
      </c>
      <c r="I273" s="25" t="str">
        <f aca="false">IF($A273="","",H273*(1+نسبة_الضريبة))</f>
        <v/>
      </c>
      <c r="J273" s="33" t="str">
        <f aca="false">IF($A273="","",_xlfn.MINIFS('سجل المراجعات'!$E$5:$E$1504,'سجل المراجعات'!$A$5:$A$1504,$A273,'سجل المراجعات'!$D$5:$D$1504,"تسليم"))</f>
        <v/>
      </c>
      <c r="K273" s="33" t="str">
        <f aca="false">IF($A273="","",_xlfn.MAXIFS('سجل المراجعات'!$E$5:$E$1504,'سجل المراجعات'!$A$5:$A$1504,$A273,'سجل المراجعات'!$D$5:$D$1504,"تسليم"))</f>
        <v/>
      </c>
      <c r="L273" s="33" t="str">
        <f aca="false">IF($A273="","",_xlfn.MAXIFS('سجل المراجعات'!$E$5:$E$1504,'سجل المراجعات'!$A$5:$A$1504,$A273,'سجل المراجعات'!$D$5:$D$1504,"رد بملاحظات"))</f>
        <v/>
      </c>
      <c r="M273" s="33" t="str">
        <f aca="false">IF($A273="","",_xlfn.MAXIFS('سجل المراجعات'!$E$5:$E$1504,'سجل المراجعات'!$A$5:$A$1504,$A273,'سجل المراجعات'!$D$5:$D$1504,"قبول"))</f>
        <v/>
      </c>
      <c r="N273" s="26" t="str">
        <f aca="false">IF($A273="","",COUNTIFS('سجل المراجعات'!$A$5:$A$1504,$A273,'سجل المراجعات'!$D$5:$D$1504,"تسليم"))</f>
        <v/>
      </c>
      <c r="O273" s="34" t="str">
        <f aca="false">IF($A273="","",IF(M273&gt;0,"تم القبول",IF(F273="معلق","معلق",IF(AND(L273&gt;0,L273&gt;=K273),"مُعاد بملاحظات",IF(K273&gt;0,"في انتظار القبول",IF(AND(ISNUMBER(E273),E273&lt;تاريخ_الاحتساب),"متأخر",IF(F273="","لم يبدأ",F273)))))))</f>
        <v/>
      </c>
      <c r="P273" s="26" t="str">
        <f aca="false">IF($A273="","",SUMIFS('سجل المراجعات'!$L$5:$L$1504,'سجل المراجعات'!$A$5:$A$1504,$A273))</f>
        <v/>
      </c>
      <c r="Q273" s="26" t="str">
        <f aca="false">IF($A273="","",SUMIFS('سجل المراجعات'!$M$5:$M$1504,'سجل المراجعات'!$A$5:$A$1504,$A273))</f>
        <v/>
      </c>
      <c r="R273" s="26" t="str">
        <f aca="false">IF(OR($A273="",NOT(ISNUMBER(E273))),"",MAX(0,NETWORKDAYS.INTL(E273,IF(J273&gt;0,J273,تاريخ_الاحتساب),رمز_العطلة,أيام_الأجازات)-1))</f>
        <v/>
      </c>
      <c r="S273" s="22"/>
    </row>
    <row r="274" customFormat="false" ht="15" hidden="false" customHeight="false" outlineLevel="0" collapsed="false">
      <c r="A274" s="20"/>
      <c r="B274" s="20"/>
      <c r="C274" s="30" t="str">
        <f aca="false">IF($A274="","",IFERROR(INDEX(بند_الاسم,MATCH($B274,قائمة_البنود,0)),"⚠ بند غير موجود"))</f>
        <v/>
      </c>
      <c r="D274" s="22"/>
      <c r="E274" s="31"/>
      <c r="F274" s="21"/>
      <c r="G274" s="32"/>
      <c r="H274" s="25" t="str">
        <f aca="false">IF($A274="","",IFERROR(INDEX(بند_سعر_الوحدة,MATCH($B274,قائمة_البنود,0)),0))</f>
        <v/>
      </c>
      <c r="I274" s="25" t="str">
        <f aca="false">IF($A274="","",H274*(1+نسبة_الضريبة))</f>
        <v/>
      </c>
      <c r="J274" s="33" t="str">
        <f aca="false">IF($A274="","",_xlfn.MINIFS('سجل المراجعات'!$E$5:$E$1504,'سجل المراجعات'!$A$5:$A$1504,$A274,'سجل المراجعات'!$D$5:$D$1504,"تسليم"))</f>
        <v/>
      </c>
      <c r="K274" s="33" t="str">
        <f aca="false">IF($A274="","",_xlfn.MAXIFS('سجل المراجعات'!$E$5:$E$1504,'سجل المراجعات'!$A$5:$A$1504,$A274,'سجل المراجعات'!$D$5:$D$1504,"تسليم"))</f>
        <v/>
      </c>
      <c r="L274" s="33" t="str">
        <f aca="false">IF($A274="","",_xlfn.MAXIFS('سجل المراجعات'!$E$5:$E$1504,'سجل المراجعات'!$A$5:$A$1504,$A274,'سجل المراجعات'!$D$5:$D$1504,"رد بملاحظات"))</f>
        <v/>
      </c>
      <c r="M274" s="33" t="str">
        <f aca="false">IF($A274="","",_xlfn.MAXIFS('سجل المراجعات'!$E$5:$E$1504,'سجل المراجعات'!$A$5:$A$1504,$A274,'سجل المراجعات'!$D$5:$D$1504,"قبول"))</f>
        <v/>
      </c>
      <c r="N274" s="26" t="str">
        <f aca="false">IF($A274="","",COUNTIFS('سجل المراجعات'!$A$5:$A$1504,$A274,'سجل المراجعات'!$D$5:$D$1504,"تسليم"))</f>
        <v/>
      </c>
      <c r="O274" s="34" t="str">
        <f aca="false">IF($A274="","",IF(M274&gt;0,"تم القبول",IF(F274="معلق","معلق",IF(AND(L274&gt;0,L274&gt;=K274),"مُعاد بملاحظات",IF(K274&gt;0,"في انتظار القبول",IF(AND(ISNUMBER(E274),E274&lt;تاريخ_الاحتساب),"متأخر",IF(F274="","لم يبدأ",F274)))))))</f>
        <v/>
      </c>
      <c r="P274" s="26" t="str">
        <f aca="false">IF($A274="","",SUMIFS('سجل المراجعات'!$L$5:$L$1504,'سجل المراجعات'!$A$5:$A$1504,$A274))</f>
        <v/>
      </c>
      <c r="Q274" s="26" t="str">
        <f aca="false">IF($A274="","",SUMIFS('سجل المراجعات'!$M$5:$M$1504,'سجل المراجعات'!$A$5:$A$1504,$A274))</f>
        <v/>
      </c>
      <c r="R274" s="26" t="str">
        <f aca="false">IF(OR($A274="",NOT(ISNUMBER(E274))),"",MAX(0,NETWORKDAYS.INTL(E274,IF(J274&gt;0,J274,تاريخ_الاحتساب),رمز_العطلة,أيام_الأجازات)-1))</f>
        <v/>
      </c>
      <c r="S274" s="22"/>
    </row>
    <row r="275" customFormat="false" ht="15" hidden="false" customHeight="false" outlineLevel="0" collapsed="false">
      <c r="A275" s="20"/>
      <c r="B275" s="20"/>
      <c r="C275" s="30" t="str">
        <f aca="false">IF($A275="","",IFERROR(INDEX(بند_الاسم,MATCH($B275,قائمة_البنود,0)),"⚠ بند غير موجود"))</f>
        <v/>
      </c>
      <c r="D275" s="22"/>
      <c r="E275" s="31"/>
      <c r="F275" s="21"/>
      <c r="G275" s="32"/>
      <c r="H275" s="25" t="str">
        <f aca="false">IF($A275="","",IFERROR(INDEX(بند_سعر_الوحدة,MATCH($B275,قائمة_البنود,0)),0))</f>
        <v/>
      </c>
      <c r="I275" s="25" t="str">
        <f aca="false">IF($A275="","",H275*(1+نسبة_الضريبة))</f>
        <v/>
      </c>
      <c r="J275" s="33" t="str">
        <f aca="false">IF($A275="","",_xlfn.MINIFS('سجل المراجعات'!$E$5:$E$1504,'سجل المراجعات'!$A$5:$A$1504,$A275,'سجل المراجعات'!$D$5:$D$1504,"تسليم"))</f>
        <v/>
      </c>
      <c r="K275" s="33" t="str">
        <f aca="false">IF($A275="","",_xlfn.MAXIFS('سجل المراجعات'!$E$5:$E$1504,'سجل المراجعات'!$A$5:$A$1504,$A275,'سجل المراجعات'!$D$5:$D$1504,"تسليم"))</f>
        <v/>
      </c>
      <c r="L275" s="33" t="str">
        <f aca="false">IF($A275="","",_xlfn.MAXIFS('سجل المراجعات'!$E$5:$E$1504,'سجل المراجعات'!$A$5:$A$1504,$A275,'سجل المراجعات'!$D$5:$D$1504,"رد بملاحظات"))</f>
        <v/>
      </c>
      <c r="M275" s="33" t="str">
        <f aca="false">IF($A275="","",_xlfn.MAXIFS('سجل المراجعات'!$E$5:$E$1504,'سجل المراجعات'!$A$5:$A$1504,$A275,'سجل المراجعات'!$D$5:$D$1504,"قبول"))</f>
        <v/>
      </c>
      <c r="N275" s="26" t="str">
        <f aca="false">IF($A275="","",COUNTIFS('سجل المراجعات'!$A$5:$A$1504,$A275,'سجل المراجعات'!$D$5:$D$1504,"تسليم"))</f>
        <v/>
      </c>
      <c r="O275" s="34" t="str">
        <f aca="false">IF($A275="","",IF(M275&gt;0,"تم القبول",IF(F275="معلق","معلق",IF(AND(L275&gt;0,L275&gt;=K275),"مُعاد بملاحظات",IF(K275&gt;0,"في انتظار القبول",IF(AND(ISNUMBER(E275),E275&lt;تاريخ_الاحتساب),"متأخر",IF(F275="","لم يبدأ",F275)))))))</f>
        <v/>
      </c>
      <c r="P275" s="26" t="str">
        <f aca="false">IF($A275="","",SUMIFS('سجل المراجعات'!$L$5:$L$1504,'سجل المراجعات'!$A$5:$A$1504,$A275))</f>
        <v/>
      </c>
      <c r="Q275" s="26" t="str">
        <f aca="false">IF($A275="","",SUMIFS('سجل المراجعات'!$M$5:$M$1504,'سجل المراجعات'!$A$5:$A$1504,$A275))</f>
        <v/>
      </c>
      <c r="R275" s="26" t="str">
        <f aca="false">IF(OR($A275="",NOT(ISNUMBER(E275))),"",MAX(0,NETWORKDAYS.INTL(E275,IF(J275&gt;0,J275,تاريخ_الاحتساب),رمز_العطلة,أيام_الأجازات)-1))</f>
        <v/>
      </c>
      <c r="S275" s="22"/>
    </row>
    <row r="276" customFormat="false" ht="15" hidden="false" customHeight="false" outlineLevel="0" collapsed="false">
      <c r="A276" s="20"/>
      <c r="B276" s="20"/>
      <c r="C276" s="30" t="str">
        <f aca="false">IF($A276="","",IFERROR(INDEX(بند_الاسم,MATCH($B276,قائمة_البنود,0)),"⚠ بند غير موجود"))</f>
        <v/>
      </c>
      <c r="D276" s="22"/>
      <c r="E276" s="31"/>
      <c r="F276" s="21"/>
      <c r="G276" s="32"/>
      <c r="H276" s="25" t="str">
        <f aca="false">IF($A276="","",IFERROR(INDEX(بند_سعر_الوحدة,MATCH($B276,قائمة_البنود,0)),0))</f>
        <v/>
      </c>
      <c r="I276" s="25" t="str">
        <f aca="false">IF($A276="","",H276*(1+نسبة_الضريبة))</f>
        <v/>
      </c>
      <c r="J276" s="33" t="str">
        <f aca="false">IF($A276="","",_xlfn.MINIFS('سجل المراجعات'!$E$5:$E$1504,'سجل المراجعات'!$A$5:$A$1504,$A276,'سجل المراجعات'!$D$5:$D$1504,"تسليم"))</f>
        <v/>
      </c>
      <c r="K276" s="33" t="str">
        <f aca="false">IF($A276="","",_xlfn.MAXIFS('سجل المراجعات'!$E$5:$E$1504,'سجل المراجعات'!$A$5:$A$1504,$A276,'سجل المراجعات'!$D$5:$D$1504,"تسليم"))</f>
        <v/>
      </c>
      <c r="L276" s="33" t="str">
        <f aca="false">IF($A276="","",_xlfn.MAXIFS('سجل المراجعات'!$E$5:$E$1504,'سجل المراجعات'!$A$5:$A$1504,$A276,'سجل المراجعات'!$D$5:$D$1504,"رد بملاحظات"))</f>
        <v/>
      </c>
      <c r="M276" s="33" t="str">
        <f aca="false">IF($A276="","",_xlfn.MAXIFS('سجل المراجعات'!$E$5:$E$1504,'سجل المراجعات'!$A$5:$A$1504,$A276,'سجل المراجعات'!$D$5:$D$1504,"قبول"))</f>
        <v/>
      </c>
      <c r="N276" s="26" t="str">
        <f aca="false">IF($A276="","",COUNTIFS('سجل المراجعات'!$A$5:$A$1504,$A276,'سجل المراجعات'!$D$5:$D$1504,"تسليم"))</f>
        <v/>
      </c>
      <c r="O276" s="34" t="str">
        <f aca="false">IF($A276="","",IF(M276&gt;0,"تم القبول",IF(F276="معلق","معلق",IF(AND(L276&gt;0,L276&gt;=K276),"مُعاد بملاحظات",IF(K276&gt;0,"في انتظار القبول",IF(AND(ISNUMBER(E276),E276&lt;تاريخ_الاحتساب),"متأخر",IF(F276="","لم يبدأ",F276)))))))</f>
        <v/>
      </c>
      <c r="P276" s="26" t="str">
        <f aca="false">IF($A276="","",SUMIFS('سجل المراجعات'!$L$5:$L$1504,'سجل المراجعات'!$A$5:$A$1504,$A276))</f>
        <v/>
      </c>
      <c r="Q276" s="26" t="str">
        <f aca="false">IF($A276="","",SUMIFS('سجل المراجعات'!$M$5:$M$1504,'سجل المراجعات'!$A$5:$A$1504,$A276))</f>
        <v/>
      </c>
      <c r="R276" s="26" t="str">
        <f aca="false">IF(OR($A276="",NOT(ISNUMBER(E276))),"",MAX(0,NETWORKDAYS.INTL(E276,IF(J276&gt;0,J276,تاريخ_الاحتساب),رمز_العطلة,أيام_الأجازات)-1))</f>
        <v/>
      </c>
      <c r="S276" s="22"/>
    </row>
    <row r="277" customFormat="false" ht="15" hidden="false" customHeight="false" outlineLevel="0" collapsed="false">
      <c r="A277" s="20"/>
      <c r="B277" s="20"/>
      <c r="C277" s="30" t="str">
        <f aca="false">IF($A277="","",IFERROR(INDEX(بند_الاسم,MATCH($B277,قائمة_البنود,0)),"⚠ بند غير موجود"))</f>
        <v/>
      </c>
      <c r="D277" s="22"/>
      <c r="E277" s="31"/>
      <c r="F277" s="21"/>
      <c r="G277" s="32"/>
      <c r="H277" s="25" t="str">
        <f aca="false">IF($A277="","",IFERROR(INDEX(بند_سعر_الوحدة,MATCH($B277,قائمة_البنود,0)),0))</f>
        <v/>
      </c>
      <c r="I277" s="25" t="str">
        <f aca="false">IF($A277="","",H277*(1+نسبة_الضريبة))</f>
        <v/>
      </c>
      <c r="J277" s="33" t="str">
        <f aca="false">IF($A277="","",_xlfn.MINIFS('سجل المراجعات'!$E$5:$E$1504,'سجل المراجعات'!$A$5:$A$1504,$A277,'سجل المراجعات'!$D$5:$D$1504,"تسليم"))</f>
        <v/>
      </c>
      <c r="K277" s="33" t="str">
        <f aca="false">IF($A277="","",_xlfn.MAXIFS('سجل المراجعات'!$E$5:$E$1504,'سجل المراجعات'!$A$5:$A$1504,$A277,'سجل المراجعات'!$D$5:$D$1504,"تسليم"))</f>
        <v/>
      </c>
      <c r="L277" s="33" t="str">
        <f aca="false">IF($A277="","",_xlfn.MAXIFS('سجل المراجعات'!$E$5:$E$1504,'سجل المراجعات'!$A$5:$A$1504,$A277,'سجل المراجعات'!$D$5:$D$1504,"رد بملاحظات"))</f>
        <v/>
      </c>
      <c r="M277" s="33" t="str">
        <f aca="false">IF($A277="","",_xlfn.MAXIFS('سجل المراجعات'!$E$5:$E$1504,'سجل المراجعات'!$A$5:$A$1504,$A277,'سجل المراجعات'!$D$5:$D$1504,"قبول"))</f>
        <v/>
      </c>
      <c r="N277" s="26" t="str">
        <f aca="false">IF($A277="","",COUNTIFS('سجل المراجعات'!$A$5:$A$1504,$A277,'سجل المراجعات'!$D$5:$D$1504,"تسليم"))</f>
        <v/>
      </c>
      <c r="O277" s="34" t="str">
        <f aca="false">IF($A277="","",IF(M277&gt;0,"تم القبول",IF(F277="معلق","معلق",IF(AND(L277&gt;0,L277&gt;=K277),"مُعاد بملاحظات",IF(K277&gt;0,"في انتظار القبول",IF(AND(ISNUMBER(E277),E277&lt;تاريخ_الاحتساب),"متأخر",IF(F277="","لم يبدأ",F277)))))))</f>
        <v/>
      </c>
      <c r="P277" s="26" t="str">
        <f aca="false">IF($A277="","",SUMIFS('سجل المراجعات'!$L$5:$L$1504,'سجل المراجعات'!$A$5:$A$1504,$A277))</f>
        <v/>
      </c>
      <c r="Q277" s="26" t="str">
        <f aca="false">IF($A277="","",SUMIFS('سجل المراجعات'!$M$5:$M$1504,'سجل المراجعات'!$A$5:$A$1504,$A277))</f>
        <v/>
      </c>
      <c r="R277" s="26" t="str">
        <f aca="false">IF(OR($A277="",NOT(ISNUMBER(E277))),"",MAX(0,NETWORKDAYS.INTL(E277,IF(J277&gt;0,J277,تاريخ_الاحتساب),رمز_العطلة,أيام_الأجازات)-1))</f>
        <v/>
      </c>
      <c r="S277" s="22"/>
    </row>
    <row r="278" customFormat="false" ht="15" hidden="false" customHeight="false" outlineLevel="0" collapsed="false">
      <c r="A278" s="20"/>
      <c r="B278" s="20"/>
      <c r="C278" s="30" t="str">
        <f aca="false">IF($A278="","",IFERROR(INDEX(بند_الاسم,MATCH($B278,قائمة_البنود,0)),"⚠ بند غير موجود"))</f>
        <v/>
      </c>
      <c r="D278" s="22"/>
      <c r="E278" s="31"/>
      <c r="F278" s="21"/>
      <c r="G278" s="32"/>
      <c r="H278" s="25" t="str">
        <f aca="false">IF($A278="","",IFERROR(INDEX(بند_سعر_الوحدة,MATCH($B278,قائمة_البنود,0)),0))</f>
        <v/>
      </c>
      <c r="I278" s="25" t="str">
        <f aca="false">IF($A278="","",H278*(1+نسبة_الضريبة))</f>
        <v/>
      </c>
      <c r="J278" s="33" t="str">
        <f aca="false">IF($A278="","",_xlfn.MINIFS('سجل المراجعات'!$E$5:$E$1504,'سجل المراجعات'!$A$5:$A$1504,$A278,'سجل المراجعات'!$D$5:$D$1504,"تسليم"))</f>
        <v/>
      </c>
      <c r="K278" s="33" t="str">
        <f aca="false">IF($A278="","",_xlfn.MAXIFS('سجل المراجعات'!$E$5:$E$1504,'سجل المراجعات'!$A$5:$A$1504,$A278,'سجل المراجعات'!$D$5:$D$1504,"تسليم"))</f>
        <v/>
      </c>
      <c r="L278" s="33" t="str">
        <f aca="false">IF($A278="","",_xlfn.MAXIFS('سجل المراجعات'!$E$5:$E$1504,'سجل المراجعات'!$A$5:$A$1504,$A278,'سجل المراجعات'!$D$5:$D$1504,"رد بملاحظات"))</f>
        <v/>
      </c>
      <c r="M278" s="33" t="str">
        <f aca="false">IF($A278="","",_xlfn.MAXIFS('سجل المراجعات'!$E$5:$E$1504,'سجل المراجعات'!$A$5:$A$1504,$A278,'سجل المراجعات'!$D$5:$D$1504,"قبول"))</f>
        <v/>
      </c>
      <c r="N278" s="26" t="str">
        <f aca="false">IF($A278="","",COUNTIFS('سجل المراجعات'!$A$5:$A$1504,$A278,'سجل المراجعات'!$D$5:$D$1504,"تسليم"))</f>
        <v/>
      </c>
      <c r="O278" s="34" t="str">
        <f aca="false">IF($A278="","",IF(M278&gt;0,"تم القبول",IF(F278="معلق","معلق",IF(AND(L278&gt;0,L278&gt;=K278),"مُعاد بملاحظات",IF(K278&gt;0,"في انتظار القبول",IF(AND(ISNUMBER(E278),E278&lt;تاريخ_الاحتساب),"متأخر",IF(F278="","لم يبدأ",F278)))))))</f>
        <v/>
      </c>
      <c r="P278" s="26" t="str">
        <f aca="false">IF($A278="","",SUMIFS('سجل المراجعات'!$L$5:$L$1504,'سجل المراجعات'!$A$5:$A$1504,$A278))</f>
        <v/>
      </c>
      <c r="Q278" s="26" t="str">
        <f aca="false">IF($A278="","",SUMIFS('سجل المراجعات'!$M$5:$M$1504,'سجل المراجعات'!$A$5:$A$1504,$A278))</f>
        <v/>
      </c>
      <c r="R278" s="26" t="str">
        <f aca="false">IF(OR($A278="",NOT(ISNUMBER(E278))),"",MAX(0,NETWORKDAYS.INTL(E278,IF(J278&gt;0,J278,تاريخ_الاحتساب),رمز_العطلة,أيام_الأجازات)-1))</f>
        <v/>
      </c>
      <c r="S278" s="22"/>
    </row>
    <row r="279" customFormat="false" ht="15" hidden="false" customHeight="false" outlineLevel="0" collapsed="false">
      <c r="A279" s="20"/>
      <c r="B279" s="20"/>
      <c r="C279" s="30" t="str">
        <f aca="false">IF($A279="","",IFERROR(INDEX(بند_الاسم,MATCH($B279,قائمة_البنود,0)),"⚠ بند غير موجود"))</f>
        <v/>
      </c>
      <c r="D279" s="22"/>
      <c r="E279" s="31"/>
      <c r="F279" s="21"/>
      <c r="G279" s="32"/>
      <c r="H279" s="25" t="str">
        <f aca="false">IF($A279="","",IFERROR(INDEX(بند_سعر_الوحدة,MATCH($B279,قائمة_البنود,0)),0))</f>
        <v/>
      </c>
      <c r="I279" s="25" t="str">
        <f aca="false">IF($A279="","",H279*(1+نسبة_الضريبة))</f>
        <v/>
      </c>
      <c r="J279" s="33" t="str">
        <f aca="false">IF($A279="","",_xlfn.MINIFS('سجل المراجعات'!$E$5:$E$1504,'سجل المراجعات'!$A$5:$A$1504,$A279,'سجل المراجعات'!$D$5:$D$1504,"تسليم"))</f>
        <v/>
      </c>
      <c r="K279" s="33" t="str">
        <f aca="false">IF($A279="","",_xlfn.MAXIFS('سجل المراجعات'!$E$5:$E$1504,'سجل المراجعات'!$A$5:$A$1504,$A279,'سجل المراجعات'!$D$5:$D$1504,"تسليم"))</f>
        <v/>
      </c>
      <c r="L279" s="33" t="str">
        <f aca="false">IF($A279="","",_xlfn.MAXIFS('سجل المراجعات'!$E$5:$E$1504,'سجل المراجعات'!$A$5:$A$1504,$A279,'سجل المراجعات'!$D$5:$D$1504,"رد بملاحظات"))</f>
        <v/>
      </c>
      <c r="M279" s="33" t="str">
        <f aca="false">IF($A279="","",_xlfn.MAXIFS('سجل المراجعات'!$E$5:$E$1504,'سجل المراجعات'!$A$5:$A$1504,$A279,'سجل المراجعات'!$D$5:$D$1504,"قبول"))</f>
        <v/>
      </c>
      <c r="N279" s="26" t="str">
        <f aca="false">IF($A279="","",COUNTIFS('سجل المراجعات'!$A$5:$A$1504,$A279,'سجل المراجعات'!$D$5:$D$1504,"تسليم"))</f>
        <v/>
      </c>
      <c r="O279" s="34" t="str">
        <f aca="false">IF($A279="","",IF(M279&gt;0,"تم القبول",IF(F279="معلق","معلق",IF(AND(L279&gt;0,L279&gt;=K279),"مُعاد بملاحظات",IF(K279&gt;0,"في انتظار القبول",IF(AND(ISNUMBER(E279),E279&lt;تاريخ_الاحتساب),"متأخر",IF(F279="","لم يبدأ",F279)))))))</f>
        <v/>
      </c>
      <c r="P279" s="26" t="str">
        <f aca="false">IF($A279="","",SUMIFS('سجل المراجعات'!$L$5:$L$1504,'سجل المراجعات'!$A$5:$A$1504,$A279))</f>
        <v/>
      </c>
      <c r="Q279" s="26" t="str">
        <f aca="false">IF($A279="","",SUMIFS('سجل المراجعات'!$M$5:$M$1504,'سجل المراجعات'!$A$5:$A$1504,$A279))</f>
        <v/>
      </c>
      <c r="R279" s="26" t="str">
        <f aca="false">IF(OR($A279="",NOT(ISNUMBER(E279))),"",MAX(0,NETWORKDAYS.INTL(E279,IF(J279&gt;0,J279,تاريخ_الاحتساب),رمز_العطلة,أيام_الأجازات)-1))</f>
        <v/>
      </c>
      <c r="S279" s="22"/>
    </row>
    <row r="280" customFormat="false" ht="15" hidden="false" customHeight="false" outlineLevel="0" collapsed="false">
      <c r="A280" s="20"/>
      <c r="B280" s="20"/>
      <c r="C280" s="30" t="str">
        <f aca="false">IF($A280="","",IFERROR(INDEX(بند_الاسم,MATCH($B280,قائمة_البنود,0)),"⚠ بند غير موجود"))</f>
        <v/>
      </c>
      <c r="D280" s="22"/>
      <c r="E280" s="31"/>
      <c r="F280" s="21"/>
      <c r="G280" s="32"/>
      <c r="H280" s="25" t="str">
        <f aca="false">IF($A280="","",IFERROR(INDEX(بند_سعر_الوحدة,MATCH($B280,قائمة_البنود,0)),0))</f>
        <v/>
      </c>
      <c r="I280" s="25" t="str">
        <f aca="false">IF($A280="","",H280*(1+نسبة_الضريبة))</f>
        <v/>
      </c>
      <c r="J280" s="33" t="str">
        <f aca="false">IF($A280="","",_xlfn.MINIFS('سجل المراجعات'!$E$5:$E$1504,'سجل المراجعات'!$A$5:$A$1504,$A280,'سجل المراجعات'!$D$5:$D$1504,"تسليم"))</f>
        <v/>
      </c>
      <c r="K280" s="33" t="str">
        <f aca="false">IF($A280="","",_xlfn.MAXIFS('سجل المراجعات'!$E$5:$E$1504,'سجل المراجعات'!$A$5:$A$1504,$A280,'سجل المراجعات'!$D$5:$D$1504,"تسليم"))</f>
        <v/>
      </c>
      <c r="L280" s="33" t="str">
        <f aca="false">IF($A280="","",_xlfn.MAXIFS('سجل المراجعات'!$E$5:$E$1504,'سجل المراجعات'!$A$5:$A$1504,$A280,'سجل المراجعات'!$D$5:$D$1504,"رد بملاحظات"))</f>
        <v/>
      </c>
      <c r="M280" s="33" t="str">
        <f aca="false">IF($A280="","",_xlfn.MAXIFS('سجل المراجعات'!$E$5:$E$1504,'سجل المراجعات'!$A$5:$A$1504,$A280,'سجل المراجعات'!$D$5:$D$1504,"قبول"))</f>
        <v/>
      </c>
      <c r="N280" s="26" t="str">
        <f aca="false">IF($A280="","",COUNTIFS('سجل المراجعات'!$A$5:$A$1504,$A280,'سجل المراجعات'!$D$5:$D$1504,"تسليم"))</f>
        <v/>
      </c>
      <c r="O280" s="34" t="str">
        <f aca="false">IF($A280="","",IF(M280&gt;0,"تم القبول",IF(F280="معلق","معلق",IF(AND(L280&gt;0,L280&gt;=K280),"مُعاد بملاحظات",IF(K280&gt;0,"في انتظار القبول",IF(AND(ISNUMBER(E280),E280&lt;تاريخ_الاحتساب),"متأخر",IF(F280="","لم يبدأ",F280)))))))</f>
        <v/>
      </c>
      <c r="P280" s="26" t="str">
        <f aca="false">IF($A280="","",SUMIFS('سجل المراجعات'!$L$5:$L$1504,'سجل المراجعات'!$A$5:$A$1504,$A280))</f>
        <v/>
      </c>
      <c r="Q280" s="26" t="str">
        <f aca="false">IF($A280="","",SUMIFS('سجل المراجعات'!$M$5:$M$1504,'سجل المراجعات'!$A$5:$A$1504,$A280))</f>
        <v/>
      </c>
      <c r="R280" s="26" t="str">
        <f aca="false">IF(OR($A280="",NOT(ISNUMBER(E280))),"",MAX(0,NETWORKDAYS.INTL(E280,IF(J280&gt;0,J280,تاريخ_الاحتساب),رمز_العطلة,أيام_الأجازات)-1))</f>
        <v/>
      </c>
      <c r="S280" s="22"/>
    </row>
    <row r="281" customFormat="false" ht="15" hidden="false" customHeight="false" outlineLevel="0" collapsed="false">
      <c r="A281" s="20"/>
      <c r="B281" s="20"/>
      <c r="C281" s="30" t="str">
        <f aca="false">IF($A281="","",IFERROR(INDEX(بند_الاسم,MATCH($B281,قائمة_البنود,0)),"⚠ بند غير موجود"))</f>
        <v/>
      </c>
      <c r="D281" s="22"/>
      <c r="E281" s="31"/>
      <c r="F281" s="21"/>
      <c r="G281" s="32"/>
      <c r="H281" s="25" t="str">
        <f aca="false">IF($A281="","",IFERROR(INDEX(بند_سعر_الوحدة,MATCH($B281,قائمة_البنود,0)),0))</f>
        <v/>
      </c>
      <c r="I281" s="25" t="str">
        <f aca="false">IF($A281="","",H281*(1+نسبة_الضريبة))</f>
        <v/>
      </c>
      <c r="J281" s="33" t="str">
        <f aca="false">IF($A281="","",_xlfn.MINIFS('سجل المراجعات'!$E$5:$E$1504,'سجل المراجعات'!$A$5:$A$1504,$A281,'سجل المراجعات'!$D$5:$D$1504,"تسليم"))</f>
        <v/>
      </c>
      <c r="K281" s="33" t="str">
        <f aca="false">IF($A281="","",_xlfn.MAXIFS('سجل المراجعات'!$E$5:$E$1504,'سجل المراجعات'!$A$5:$A$1504,$A281,'سجل المراجعات'!$D$5:$D$1504,"تسليم"))</f>
        <v/>
      </c>
      <c r="L281" s="33" t="str">
        <f aca="false">IF($A281="","",_xlfn.MAXIFS('سجل المراجعات'!$E$5:$E$1504,'سجل المراجعات'!$A$5:$A$1504,$A281,'سجل المراجعات'!$D$5:$D$1504,"رد بملاحظات"))</f>
        <v/>
      </c>
      <c r="M281" s="33" t="str">
        <f aca="false">IF($A281="","",_xlfn.MAXIFS('سجل المراجعات'!$E$5:$E$1504,'سجل المراجعات'!$A$5:$A$1504,$A281,'سجل المراجعات'!$D$5:$D$1504,"قبول"))</f>
        <v/>
      </c>
      <c r="N281" s="26" t="str">
        <f aca="false">IF($A281="","",COUNTIFS('سجل المراجعات'!$A$5:$A$1504,$A281,'سجل المراجعات'!$D$5:$D$1504,"تسليم"))</f>
        <v/>
      </c>
      <c r="O281" s="34" t="str">
        <f aca="false">IF($A281="","",IF(M281&gt;0,"تم القبول",IF(F281="معلق","معلق",IF(AND(L281&gt;0,L281&gt;=K281),"مُعاد بملاحظات",IF(K281&gt;0,"في انتظار القبول",IF(AND(ISNUMBER(E281),E281&lt;تاريخ_الاحتساب),"متأخر",IF(F281="","لم يبدأ",F281)))))))</f>
        <v/>
      </c>
      <c r="P281" s="26" t="str">
        <f aca="false">IF($A281="","",SUMIFS('سجل المراجعات'!$L$5:$L$1504,'سجل المراجعات'!$A$5:$A$1504,$A281))</f>
        <v/>
      </c>
      <c r="Q281" s="26" t="str">
        <f aca="false">IF($A281="","",SUMIFS('سجل المراجعات'!$M$5:$M$1504,'سجل المراجعات'!$A$5:$A$1504,$A281))</f>
        <v/>
      </c>
      <c r="R281" s="26" t="str">
        <f aca="false">IF(OR($A281="",NOT(ISNUMBER(E281))),"",MAX(0,NETWORKDAYS.INTL(E281,IF(J281&gt;0,J281,تاريخ_الاحتساب),رمز_العطلة,أيام_الأجازات)-1))</f>
        <v/>
      </c>
      <c r="S281" s="22"/>
    </row>
    <row r="282" customFormat="false" ht="15" hidden="false" customHeight="false" outlineLevel="0" collapsed="false">
      <c r="A282" s="20"/>
      <c r="B282" s="20"/>
      <c r="C282" s="30" t="str">
        <f aca="false">IF($A282="","",IFERROR(INDEX(بند_الاسم,MATCH($B282,قائمة_البنود,0)),"⚠ بند غير موجود"))</f>
        <v/>
      </c>
      <c r="D282" s="22"/>
      <c r="E282" s="31"/>
      <c r="F282" s="21"/>
      <c r="G282" s="32"/>
      <c r="H282" s="25" t="str">
        <f aca="false">IF($A282="","",IFERROR(INDEX(بند_سعر_الوحدة,MATCH($B282,قائمة_البنود,0)),0))</f>
        <v/>
      </c>
      <c r="I282" s="25" t="str">
        <f aca="false">IF($A282="","",H282*(1+نسبة_الضريبة))</f>
        <v/>
      </c>
      <c r="J282" s="33" t="str">
        <f aca="false">IF($A282="","",_xlfn.MINIFS('سجل المراجعات'!$E$5:$E$1504,'سجل المراجعات'!$A$5:$A$1504,$A282,'سجل المراجعات'!$D$5:$D$1504,"تسليم"))</f>
        <v/>
      </c>
      <c r="K282" s="33" t="str">
        <f aca="false">IF($A282="","",_xlfn.MAXIFS('سجل المراجعات'!$E$5:$E$1504,'سجل المراجعات'!$A$5:$A$1504,$A282,'سجل المراجعات'!$D$5:$D$1504,"تسليم"))</f>
        <v/>
      </c>
      <c r="L282" s="33" t="str">
        <f aca="false">IF($A282="","",_xlfn.MAXIFS('سجل المراجعات'!$E$5:$E$1504,'سجل المراجعات'!$A$5:$A$1504,$A282,'سجل المراجعات'!$D$5:$D$1504,"رد بملاحظات"))</f>
        <v/>
      </c>
      <c r="M282" s="33" t="str">
        <f aca="false">IF($A282="","",_xlfn.MAXIFS('سجل المراجعات'!$E$5:$E$1504,'سجل المراجعات'!$A$5:$A$1504,$A282,'سجل المراجعات'!$D$5:$D$1504,"قبول"))</f>
        <v/>
      </c>
      <c r="N282" s="26" t="str">
        <f aca="false">IF($A282="","",COUNTIFS('سجل المراجعات'!$A$5:$A$1504,$A282,'سجل المراجعات'!$D$5:$D$1504,"تسليم"))</f>
        <v/>
      </c>
      <c r="O282" s="34" t="str">
        <f aca="false">IF($A282="","",IF(M282&gt;0,"تم القبول",IF(F282="معلق","معلق",IF(AND(L282&gt;0,L282&gt;=K282),"مُعاد بملاحظات",IF(K282&gt;0,"في انتظار القبول",IF(AND(ISNUMBER(E282),E282&lt;تاريخ_الاحتساب),"متأخر",IF(F282="","لم يبدأ",F282)))))))</f>
        <v/>
      </c>
      <c r="P282" s="26" t="str">
        <f aca="false">IF($A282="","",SUMIFS('سجل المراجعات'!$L$5:$L$1504,'سجل المراجعات'!$A$5:$A$1504,$A282))</f>
        <v/>
      </c>
      <c r="Q282" s="26" t="str">
        <f aca="false">IF($A282="","",SUMIFS('سجل المراجعات'!$M$5:$M$1504,'سجل المراجعات'!$A$5:$A$1504,$A282))</f>
        <v/>
      </c>
      <c r="R282" s="26" t="str">
        <f aca="false">IF(OR($A282="",NOT(ISNUMBER(E282))),"",MAX(0,NETWORKDAYS.INTL(E282,IF(J282&gt;0,J282,تاريخ_الاحتساب),رمز_العطلة,أيام_الأجازات)-1))</f>
        <v/>
      </c>
      <c r="S282" s="22"/>
    </row>
    <row r="283" customFormat="false" ht="15" hidden="false" customHeight="false" outlineLevel="0" collapsed="false">
      <c r="A283" s="20"/>
      <c r="B283" s="20"/>
      <c r="C283" s="30" t="str">
        <f aca="false">IF($A283="","",IFERROR(INDEX(بند_الاسم,MATCH($B283,قائمة_البنود,0)),"⚠ بند غير موجود"))</f>
        <v/>
      </c>
      <c r="D283" s="22"/>
      <c r="E283" s="31"/>
      <c r="F283" s="21"/>
      <c r="G283" s="32"/>
      <c r="H283" s="25" t="str">
        <f aca="false">IF($A283="","",IFERROR(INDEX(بند_سعر_الوحدة,MATCH($B283,قائمة_البنود,0)),0))</f>
        <v/>
      </c>
      <c r="I283" s="25" t="str">
        <f aca="false">IF($A283="","",H283*(1+نسبة_الضريبة))</f>
        <v/>
      </c>
      <c r="J283" s="33" t="str">
        <f aca="false">IF($A283="","",_xlfn.MINIFS('سجل المراجعات'!$E$5:$E$1504,'سجل المراجعات'!$A$5:$A$1504,$A283,'سجل المراجعات'!$D$5:$D$1504,"تسليم"))</f>
        <v/>
      </c>
      <c r="K283" s="33" t="str">
        <f aca="false">IF($A283="","",_xlfn.MAXIFS('سجل المراجعات'!$E$5:$E$1504,'سجل المراجعات'!$A$5:$A$1504,$A283,'سجل المراجعات'!$D$5:$D$1504,"تسليم"))</f>
        <v/>
      </c>
      <c r="L283" s="33" t="str">
        <f aca="false">IF($A283="","",_xlfn.MAXIFS('سجل المراجعات'!$E$5:$E$1504,'سجل المراجعات'!$A$5:$A$1504,$A283,'سجل المراجعات'!$D$5:$D$1504,"رد بملاحظات"))</f>
        <v/>
      </c>
      <c r="M283" s="33" t="str">
        <f aca="false">IF($A283="","",_xlfn.MAXIFS('سجل المراجعات'!$E$5:$E$1504,'سجل المراجعات'!$A$5:$A$1504,$A283,'سجل المراجعات'!$D$5:$D$1504,"قبول"))</f>
        <v/>
      </c>
      <c r="N283" s="26" t="str">
        <f aca="false">IF($A283="","",COUNTIFS('سجل المراجعات'!$A$5:$A$1504,$A283,'سجل المراجعات'!$D$5:$D$1504,"تسليم"))</f>
        <v/>
      </c>
      <c r="O283" s="34" t="str">
        <f aca="false">IF($A283="","",IF(M283&gt;0,"تم القبول",IF(F283="معلق","معلق",IF(AND(L283&gt;0,L283&gt;=K283),"مُعاد بملاحظات",IF(K283&gt;0,"في انتظار القبول",IF(AND(ISNUMBER(E283),E283&lt;تاريخ_الاحتساب),"متأخر",IF(F283="","لم يبدأ",F283)))))))</f>
        <v/>
      </c>
      <c r="P283" s="26" t="str">
        <f aca="false">IF($A283="","",SUMIFS('سجل المراجعات'!$L$5:$L$1504,'سجل المراجعات'!$A$5:$A$1504,$A283))</f>
        <v/>
      </c>
      <c r="Q283" s="26" t="str">
        <f aca="false">IF($A283="","",SUMIFS('سجل المراجعات'!$M$5:$M$1504,'سجل المراجعات'!$A$5:$A$1504,$A283))</f>
        <v/>
      </c>
      <c r="R283" s="26" t="str">
        <f aca="false">IF(OR($A283="",NOT(ISNUMBER(E283))),"",MAX(0,NETWORKDAYS.INTL(E283,IF(J283&gt;0,J283,تاريخ_الاحتساب),رمز_العطلة,أيام_الأجازات)-1))</f>
        <v/>
      </c>
      <c r="S283" s="22"/>
    </row>
    <row r="284" customFormat="false" ht="15" hidden="false" customHeight="false" outlineLevel="0" collapsed="false">
      <c r="A284" s="20"/>
      <c r="B284" s="20"/>
      <c r="C284" s="30" t="str">
        <f aca="false">IF($A284="","",IFERROR(INDEX(بند_الاسم,MATCH($B284,قائمة_البنود,0)),"⚠ بند غير موجود"))</f>
        <v/>
      </c>
      <c r="D284" s="22"/>
      <c r="E284" s="31"/>
      <c r="F284" s="21"/>
      <c r="G284" s="32"/>
      <c r="H284" s="25" t="str">
        <f aca="false">IF($A284="","",IFERROR(INDEX(بند_سعر_الوحدة,MATCH($B284,قائمة_البنود,0)),0))</f>
        <v/>
      </c>
      <c r="I284" s="25" t="str">
        <f aca="false">IF($A284="","",H284*(1+نسبة_الضريبة))</f>
        <v/>
      </c>
      <c r="J284" s="33" t="str">
        <f aca="false">IF($A284="","",_xlfn.MINIFS('سجل المراجعات'!$E$5:$E$1504,'سجل المراجعات'!$A$5:$A$1504,$A284,'سجل المراجعات'!$D$5:$D$1504,"تسليم"))</f>
        <v/>
      </c>
      <c r="K284" s="33" t="str">
        <f aca="false">IF($A284="","",_xlfn.MAXIFS('سجل المراجعات'!$E$5:$E$1504,'سجل المراجعات'!$A$5:$A$1504,$A284,'سجل المراجعات'!$D$5:$D$1504,"تسليم"))</f>
        <v/>
      </c>
      <c r="L284" s="33" t="str">
        <f aca="false">IF($A284="","",_xlfn.MAXIFS('سجل المراجعات'!$E$5:$E$1504,'سجل المراجعات'!$A$5:$A$1504,$A284,'سجل المراجعات'!$D$5:$D$1504,"رد بملاحظات"))</f>
        <v/>
      </c>
      <c r="M284" s="33" t="str">
        <f aca="false">IF($A284="","",_xlfn.MAXIFS('سجل المراجعات'!$E$5:$E$1504,'سجل المراجعات'!$A$5:$A$1504,$A284,'سجل المراجعات'!$D$5:$D$1504,"قبول"))</f>
        <v/>
      </c>
      <c r="N284" s="26" t="str">
        <f aca="false">IF($A284="","",COUNTIFS('سجل المراجعات'!$A$5:$A$1504,$A284,'سجل المراجعات'!$D$5:$D$1504,"تسليم"))</f>
        <v/>
      </c>
      <c r="O284" s="34" t="str">
        <f aca="false">IF($A284="","",IF(M284&gt;0,"تم القبول",IF(F284="معلق","معلق",IF(AND(L284&gt;0,L284&gt;=K284),"مُعاد بملاحظات",IF(K284&gt;0,"في انتظار القبول",IF(AND(ISNUMBER(E284),E284&lt;تاريخ_الاحتساب),"متأخر",IF(F284="","لم يبدأ",F284)))))))</f>
        <v/>
      </c>
      <c r="P284" s="26" t="str">
        <f aca="false">IF($A284="","",SUMIFS('سجل المراجعات'!$L$5:$L$1504,'سجل المراجعات'!$A$5:$A$1504,$A284))</f>
        <v/>
      </c>
      <c r="Q284" s="26" t="str">
        <f aca="false">IF($A284="","",SUMIFS('سجل المراجعات'!$M$5:$M$1504,'سجل المراجعات'!$A$5:$A$1504,$A284))</f>
        <v/>
      </c>
      <c r="R284" s="26" t="str">
        <f aca="false">IF(OR($A284="",NOT(ISNUMBER(E284))),"",MAX(0,NETWORKDAYS.INTL(E284,IF(J284&gt;0,J284,تاريخ_الاحتساب),رمز_العطلة,أيام_الأجازات)-1))</f>
        <v/>
      </c>
      <c r="S284" s="22"/>
    </row>
    <row r="285" customFormat="false" ht="15" hidden="false" customHeight="false" outlineLevel="0" collapsed="false">
      <c r="A285" s="20"/>
      <c r="B285" s="20"/>
      <c r="C285" s="30" t="str">
        <f aca="false">IF($A285="","",IFERROR(INDEX(بند_الاسم,MATCH($B285,قائمة_البنود,0)),"⚠ بند غير موجود"))</f>
        <v/>
      </c>
      <c r="D285" s="22"/>
      <c r="E285" s="31"/>
      <c r="F285" s="21"/>
      <c r="G285" s="32"/>
      <c r="H285" s="25" t="str">
        <f aca="false">IF($A285="","",IFERROR(INDEX(بند_سعر_الوحدة,MATCH($B285,قائمة_البنود,0)),0))</f>
        <v/>
      </c>
      <c r="I285" s="25" t="str">
        <f aca="false">IF($A285="","",H285*(1+نسبة_الضريبة))</f>
        <v/>
      </c>
      <c r="J285" s="33" t="str">
        <f aca="false">IF($A285="","",_xlfn.MINIFS('سجل المراجعات'!$E$5:$E$1504,'سجل المراجعات'!$A$5:$A$1504,$A285,'سجل المراجعات'!$D$5:$D$1504,"تسليم"))</f>
        <v/>
      </c>
      <c r="K285" s="33" t="str">
        <f aca="false">IF($A285="","",_xlfn.MAXIFS('سجل المراجعات'!$E$5:$E$1504,'سجل المراجعات'!$A$5:$A$1504,$A285,'سجل المراجعات'!$D$5:$D$1504,"تسليم"))</f>
        <v/>
      </c>
      <c r="L285" s="33" t="str">
        <f aca="false">IF($A285="","",_xlfn.MAXIFS('سجل المراجعات'!$E$5:$E$1504,'سجل المراجعات'!$A$5:$A$1504,$A285,'سجل المراجعات'!$D$5:$D$1504,"رد بملاحظات"))</f>
        <v/>
      </c>
      <c r="M285" s="33" t="str">
        <f aca="false">IF($A285="","",_xlfn.MAXIFS('سجل المراجعات'!$E$5:$E$1504,'سجل المراجعات'!$A$5:$A$1504,$A285,'سجل المراجعات'!$D$5:$D$1504,"قبول"))</f>
        <v/>
      </c>
      <c r="N285" s="26" t="str">
        <f aca="false">IF($A285="","",COUNTIFS('سجل المراجعات'!$A$5:$A$1504,$A285,'سجل المراجعات'!$D$5:$D$1504,"تسليم"))</f>
        <v/>
      </c>
      <c r="O285" s="34" t="str">
        <f aca="false">IF($A285="","",IF(M285&gt;0,"تم القبول",IF(F285="معلق","معلق",IF(AND(L285&gt;0,L285&gt;=K285),"مُعاد بملاحظات",IF(K285&gt;0,"في انتظار القبول",IF(AND(ISNUMBER(E285),E285&lt;تاريخ_الاحتساب),"متأخر",IF(F285="","لم يبدأ",F285)))))))</f>
        <v/>
      </c>
      <c r="P285" s="26" t="str">
        <f aca="false">IF($A285="","",SUMIFS('سجل المراجعات'!$L$5:$L$1504,'سجل المراجعات'!$A$5:$A$1504,$A285))</f>
        <v/>
      </c>
      <c r="Q285" s="26" t="str">
        <f aca="false">IF($A285="","",SUMIFS('سجل المراجعات'!$M$5:$M$1504,'سجل المراجعات'!$A$5:$A$1504,$A285))</f>
        <v/>
      </c>
      <c r="R285" s="26" t="str">
        <f aca="false">IF(OR($A285="",NOT(ISNUMBER(E285))),"",MAX(0,NETWORKDAYS.INTL(E285,IF(J285&gt;0,J285,تاريخ_الاحتساب),رمز_العطلة,أيام_الأجازات)-1))</f>
        <v/>
      </c>
      <c r="S285" s="22"/>
    </row>
    <row r="286" customFormat="false" ht="15" hidden="false" customHeight="false" outlineLevel="0" collapsed="false">
      <c r="A286" s="20"/>
      <c r="B286" s="20"/>
      <c r="C286" s="30" t="str">
        <f aca="false">IF($A286="","",IFERROR(INDEX(بند_الاسم,MATCH($B286,قائمة_البنود,0)),"⚠ بند غير موجود"))</f>
        <v/>
      </c>
      <c r="D286" s="22"/>
      <c r="E286" s="31"/>
      <c r="F286" s="21"/>
      <c r="G286" s="32"/>
      <c r="H286" s="25" t="str">
        <f aca="false">IF($A286="","",IFERROR(INDEX(بند_سعر_الوحدة,MATCH($B286,قائمة_البنود,0)),0))</f>
        <v/>
      </c>
      <c r="I286" s="25" t="str">
        <f aca="false">IF($A286="","",H286*(1+نسبة_الضريبة))</f>
        <v/>
      </c>
      <c r="J286" s="33" t="str">
        <f aca="false">IF($A286="","",_xlfn.MINIFS('سجل المراجعات'!$E$5:$E$1504,'سجل المراجعات'!$A$5:$A$1504,$A286,'سجل المراجعات'!$D$5:$D$1504,"تسليم"))</f>
        <v/>
      </c>
      <c r="K286" s="33" t="str">
        <f aca="false">IF($A286="","",_xlfn.MAXIFS('سجل المراجعات'!$E$5:$E$1504,'سجل المراجعات'!$A$5:$A$1504,$A286,'سجل المراجعات'!$D$5:$D$1504,"تسليم"))</f>
        <v/>
      </c>
      <c r="L286" s="33" t="str">
        <f aca="false">IF($A286="","",_xlfn.MAXIFS('سجل المراجعات'!$E$5:$E$1504,'سجل المراجعات'!$A$5:$A$1504,$A286,'سجل المراجعات'!$D$5:$D$1504,"رد بملاحظات"))</f>
        <v/>
      </c>
      <c r="M286" s="33" t="str">
        <f aca="false">IF($A286="","",_xlfn.MAXIFS('سجل المراجعات'!$E$5:$E$1504,'سجل المراجعات'!$A$5:$A$1504,$A286,'سجل المراجعات'!$D$5:$D$1504,"قبول"))</f>
        <v/>
      </c>
      <c r="N286" s="26" t="str">
        <f aca="false">IF($A286="","",COUNTIFS('سجل المراجعات'!$A$5:$A$1504,$A286,'سجل المراجعات'!$D$5:$D$1504,"تسليم"))</f>
        <v/>
      </c>
      <c r="O286" s="34" t="str">
        <f aca="false">IF($A286="","",IF(M286&gt;0,"تم القبول",IF(F286="معلق","معلق",IF(AND(L286&gt;0,L286&gt;=K286),"مُعاد بملاحظات",IF(K286&gt;0,"في انتظار القبول",IF(AND(ISNUMBER(E286),E286&lt;تاريخ_الاحتساب),"متأخر",IF(F286="","لم يبدأ",F286)))))))</f>
        <v/>
      </c>
      <c r="P286" s="26" t="str">
        <f aca="false">IF($A286="","",SUMIFS('سجل المراجعات'!$L$5:$L$1504,'سجل المراجعات'!$A$5:$A$1504,$A286))</f>
        <v/>
      </c>
      <c r="Q286" s="26" t="str">
        <f aca="false">IF($A286="","",SUMIFS('سجل المراجعات'!$M$5:$M$1504,'سجل المراجعات'!$A$5:$A$1504,$A286))</f>
        <v/>
      </c>
      <c r="R286" s="26" t="str">
        <f aca="false">IF(OR($A286="",NOT(ISNUMBER(E286))),"",MAX(0,NETWORKDAYS.INTL(E286,IF(J286&gt;0,J286,تاريخ_الاحتساب),رمز_العطلة,أيام_الأجازات)-1))</f>
        <v/>
      </c>
      <c r="S286" s="22"/>
    </row>
    <row r="287" customFormat="false" ht="15" hidden="false" customHeight="false" outlineLevel="0" collapsed="false">
      <c r="A287" s="20"/>
      <c r="B287" s="20"/>
      <c r="C287" s="30" t="str">
        <f aca="false">IF($A287="","",IFERROR(INDEX(بند_الاسم,MATCH($B287,قائمة_البنود,0)),"⚠ بند غير موجود"))</f>
        <v/>
      </c>
      <c r="D287" s="22"/>
      <c r="E287" s="31"/>
      <c r="F287" s="21"/>
      <c r="G287" s="32"/>
      <c r="H287" s="25" t="str">
        <f aca="false">IF($A287="","",IFERROR(INDEX(بند_سعر_الوحدة,MATCH($B287,قائمة_البنود,0)),0))</f>
        <v/>
      </c>
      <c r="I287" s="25" t="str">
        <f aca="false">IF($A287="","",H287*(1+نسبة_الضريبة))</f>
        <v/>
      </c>
      <c r="J287" s="33" t="str">
        <f aca="false">IF($A287="","",_xlfn.MINIFS('سجل المراجعات'!$E$5:$E$1504,'سجل المراجعات'!$A$5:$A$1504,$A287,'سجل المراجعات'!$D$5:$D$1504,"تسليم"))</f>
        <v/>
      </c>
      <c r="K287" s="33" t="str">
        <f aca="false">IF($A287="","",_xlfn.MAXIFS('سجل المراجعات'!$E$5:$E$1504,'سجل المراجعات'!$A$5:$A$1504,$A287,'سجل المراجعات'!$D$5:$D$1504,"تسليم"))</f>
        <v/>
      </c>
      <c r="L287" s="33" t="str">
        <f aca="false">IF($A287="","",_xlfn.MAXIFS('سجل المراجعات'!$E$5:$E$1504,'سجل المراجعات'!$A$5:$A$1504,$A287,'سجل المراجعات'!$D$5:$D$1504,"رد بملاحظات"))</f>
        <v/>
      </c>
      <c r="M287" s="33" t="str">
        <f aca="false">IF($A287="","",_xlfn.MAXIFS('سجل المراجعات'!$E$5:$E$1504,'سجل المراجعات'!$A$5:$A$1504,$A287,'سجل المراجعات'!$D$5:$D$1504,"قبول"))</f>
        <v/>
      </c>
      <c r="N287" s="26" t="str">
        <f aca="false">IF($A287="","",COUNTIFS('سجل المراجعات'!$A$5:$A$1504,$A287,'سجل المراجعات'!$D$5:$D$1504,"تسليم"))</f>
        <v/>
      </c>
      <c r="O287" s="34" t="str">
        <f aca="false">IF($A287="","",IF(M287&gt;0,"تم القبول",IF(F287="معلق","معلق",IF(AND(L287&gt;0,L287&gt;=K287),"مُعاد بملاحظات",IF(K287&gt;0,"في انتظار القبول",IF(AND(ISNUMBER(E287),E287&lt;تاريخ_الاحتساب),"متأخر",IF(F287="","لم يبدأ",F287)))))))</f>
        <v/>
      </c>
      <c r="P287" s="26" t="str">
        <f aca="false">IF($A287="","",SUMIFS('سجل المراجعات'!$L$5:$L$1504,'سجل المراجعات'!$A$5:$A$1504,$A287))</f>
        <v/>
      </c>
      <c r="Q287" s="26" t="str">
        <f aca="false">IF($A287="","",SUMIFS('سجل المراجعات'!$M$5:$M$1504,'سجل المراجعات'!$A$5:$A$1504,$A287))</f>
        <v/>
      </c>
      <c r="R287" s="26" t="str">
        <f aca="false">IF(OR($A287="",NOT(ISNUMBER(E287))),"",MAX(0,NETWORKDAYS.INTL(E287,IF(J287&gt;0,J287,تاريخ_الاحتساب),رمز_العطلة,أيام_الأجازات)-1))</f>
        <v/>
      </c>
      <c r="S287" s="22"/>
    </row>
    <row r="288" customFormat="false" ht="15" hidden="false" customHeight="false" outlineLevel="0" collapsed="false">
      <c r="A288" s="20"/>
      <c r="B288" s="20"/>
      <c r="C288" s="30" t="str">
        <f aca="false">IF($A288="","",IFERROR(INDEX(بند_الاسم,MATCH($B288,قائمة_البنود,0)),"⚠ بند غير موجود"))</f>
        <v/>
      </c>
      <c r="D288" s="22"/>
      <c r="E288" s="31"/>
      <c r="F288" s="21"/>
      <c r="G288" s="32"/>
      <c r="H288" s="25" t="str">
        <f aca="false">IF($A288="","",IFERROR(INDEX(بند_سعر_الوحدة,MATCH($B288,قائمة_البنود,0)),0))</f>
        <v/>
      </c>
      <c r="I288" s="25" t="str">
        <f aca="false">IF($A288="","",H288*(1+نسبة_الضريبة))</f>
        <v/>
      </c>
      <c r="J288" s="33" t="str">
        <f aca="false">IF($A288="","",_xlfn.MINIFS('سجل المراجعات'!$E$5:$E$1504,'سجل المراجعات'!$A$5:$A$1504,$A288,'سجل المراجعات'!$D$5:$D$1504,"تسليم"))</f>
        <v/>
      </c>
      <c r="K288" s="33" t="str">
        <f aca="false">IF($A288="","",_xlfn.MAXIFS('سجل المراجعات'!$E$5:$E$1504,'سجل المراجعات'!$A$5:$A$1504,$A288,'سجل المراجعات'!$D$5:$D$1504,"تسليم"))</f>
        <v/>
      </c>
      <c r="L288" s="33" t="str">
        <f aca="false">IF($A288="","",_xlfn.MAXIFS('سجل المراجعات'!$E$5:$E$1504,'سجل المراجعات'!$A$5:$A$1504,$A288,'سجل المراجعات'!$D$5:$D$1504,"رد بملاحظات"))</f>
        <v/>
      </c>
      <c r="M288" s="33" t="str">
        <f aca="false">IF($A288="","",_xlfn.MAXIFS('سجل المراجعات'!$E$5:$E$1504,'سجل المراجعات'!$A$5:$A$1504,$A288,'سجل المراجعات'!$D$5:$D$1504,"قبول"))</f>
        <v/>
      </c>
      <c r="N288" s="26" t="str">
        <f aca="false">IF($A288="","",COUNTIFS('سجل المراجعات'!$A$5:$A$1504,$A288,'سجل المراجعات'!$D$5:$D$1504,"تسليم"))</f>
        <v/>
      </c>
      <c r="O288" s="34" t="str">
        <f aca="false">IF($A288="","",IF(M288&gt;0,"تم القبول",IF(F288="معلق","معلق",IF(AND(L288&gt;0,L288&gt;=K288),"مُعاد بملاحظات",IF(K288&gt;0,"في انتظار القبول",IF(AND(ISNUMBER(E288),E288&lt;تاريخ_الاحتساب),"متأخر",IF(F288="","لم يبدأ",F288)))))))</f>
        <v/>
      </c>
      <c r="P288" s="26" t="str">
        <f aca="false">IF($A288="","",SUMIFS('سجل المراجعات'!$L$5:$L$1504,'سجل المراجعات'!$A$5:$A$1504,$A288))</f>
        <v/>
      </c>
      <c r="Q288" s="26" t="str">
        <f aca="false">IF($A288="","",SUMIFS('سجل المراجعات'!$M$5:$M$1504,'سجل المراجعات'!$A$5:$A$1504,$A288))</f>
        <v/>
      </c>
      <c r="R288" s="26" t="str">
        <f aca="false">IF(OR($A288="",NOT(ISNUMBER(E288))),"",MAX(0,NETWORKDAYS.INTL(E288,IF(J288&gt;0,J288,تاريخ_الاحتساب),رمز_العطلة,أيام_الأجازات)-1))</f>
        <v/>
      </c>
      <c r="S288" s="22"/>
    </row>
    <row r="289" customFormat="false" ht="15" hidden="false" customHeight="false" outlineLevel="0" collapsed="false">
      <c r="A289" s="20"/>
      <c r="B289" s="20"/>
      <c r="C289" s="30" t="str">
        <f aca="false">IF($A289="","",IFERROR(INDEX(بند_الاسم,MATCH($B289,قائمة_البنود,0)),"⚠ بند غير موجود"))</f>
        <v/>
      </c>
      <c r="D289" s="22"/>
      <c r="E289" s="31"/>
      <c r="F289" s="21"/>
      <c r="G289" s="32"/>
      <c r="H289" s="25" t="str">
        <f aca="false">IF($A289="","",IFERROR(INDEX(بند_سعر_الوحدة,MATCH($B289,قائمة_البنود,0)),0))</f>
        <v/>
      </c>
      <c r="I289" s="25" t="str">
        <f aca="false">IF($A289="","",H289*(1+نسبة_الضريبة))</f>
        <v/>
      </c>
      <c r="J289" s="33" t="str">
        <f aca="false">IF($A289="","",_xlfn.MINIFS('سجل المراجعات'!$E$5:$E$1504,'سجل المراجعات'!$A$5:$A$1504,$A289,'سجل المراجعات'!$D$5:$D$1504,"تسليم"))</f>
        <v/>
      </c>
      <c r="K289" s="33" t="str">
        <f aca="false">IF($A289="","",_xlfn.MAXIFS('سجل المراجعات'!$E$5:$E$1504,'سجل المراجعات'!$A$5:$A$1504,$A289,'سجل المراجعات'!$D$5:$D$1504,"تسليم"))</f>
        <v/>
      </c>
      <c r="L289" s="33" t="str">
        <f aca="false">IF($A289="","",_xlfn.MAXIFS('سجل المراجعات'!$E$5:$E$1504,'سجل المراجعات'!$A$5:$A$1504,$A289,'سجل المراجعات'!$D$5:$D$1504,"رد بملاحظات"))</f>
        <v/>
      </c>
      <c r="M289" s="33" t="str">
        <f aca="false">IF($A289="","",_xlfn.MAXIFS('سجل المراجعات'!$E$5:$E$1504,'سجل المراجعات'!$A$5:$A$1504,$A289,'سجل المراجعات'!$D$5:$D$1504,"قبول"))</f>
        <v/>
      </c>
      <c r="N289" s="26" t="str">
        <f aca="false">IF($A289="","",COUNTIFS('سجل المراجعات'!$A$5:$A$1504,$A289,'سجل المراجعات'!$D$5:$D$1504,"تسليم"))</f>
        <v/>
      </c>
      <c r="O289" s="34" t="str">
        <f aca="false">IF($A289="","",IF(M289&gt;0,"تم القبول",IF(F289="معلق","معلق",IF(AND(L289&gt;0,L289&gt;=K289),"مُعاد بملاحظات",IF(K289&gt;0,"في انتظار القبول",IF(AND(ISNUMBER(E289),E289&lt;تاريخ_الاحتساب),"متأخر",IF(F289="","لم يبدأ",F289)))))))</f>
        <v/>
      </c>
      <c r="P289" s="26" t="str">
        <f aca="false">IF($A289="","",SUMIFS('سجل المراجعات'!$L$5:$L$1504,'سجل المراجعات'!$A$5:$A$1504,$A289))</f>
        <v/>
      </c>
      <c r="Q289" s="26" t="str">
        <f aca="false">IF($A289="","",SUMIFS('سجل المراجعات'!$M$5:$M$1504,'سجل المراجعات'!$A$5:$A$1504,$A289))</f>
        <v/>
      </c>
      <c r="R289" s="26" t="str">
        <f aca="false">IF(OR($A289="",NOT(ISNUMBER(E289))),"",MAX(0,NETWORKDAYS.INTL(E289,IF(J289&gt;0,J289,تاريخ_الاحتساب),رمز_العطلة,أيام_الأجازات)-1))</f>
        <v/>
      </c>
      <c r="S289" s="22"/>
    </row>
    <row r="290" customFormat="false" ht="15" hidden="false" customHeight="false" outlineLevel="0" collapsed="false">
      <c r="A290" s="20"/>
      <c r="B290" s="20"/>
      <c r="C290" s="30" t="str">
        <f aca="false">IF($A290="","",IFERROR(INDEX(بند_الاسم,MATCH($B290,قائمة_البنود,0)),"⚠ بند غير موجود"))</f>
        <v/>
      </c>
      <c r="D290" s="22"/>
      <c r="E290" s="31"/>
      <c r="F290" s="21"/>
      <c r="G290" s="32"/>
      <c r="H290" s="25" t="str">
        <f aca="false">IF($A290="","",IFERROR(INDEX(بند_سعر_الوحدة,MATCH($B290,قائمة_البنود,0)),0))</f>
        <v/>
      </c>
      <c r="I290" s="25" t="str">
        <f aca="false">IF($A290="","",H290*(1+نسبة_الضريبة))</f>
        <v/>
      </c>
      <c r="J290" s="33" t="str">
        <f aca="false">IF($A290="","",_xlfn.MINIFS('سجل المراجعات'!$E$5:$E$1504,'سجل المراجعات'!$A$5:$A$1504,$A290,'سجل المراجعات'!$D$5:$D$1504,"تسليم"))</f>
        <v/>
      </c>
      <c r="K290" s="33" t="str">
        <f aca="false">IF($A290="","",_xlfn.MAXIFS('سجل المراجعات'!$E$5:$E$1504,'سجل المراجعات'!$A$5:$A$1504,$A290,'سجل المراجعات'!$D$5:$D$1504,"تسليم"))</f>
        <v/>
      </c>
      <c r="L290" s="33" t="str">
        <f aca="false">IF($A290="","",_xlfn.MAXIFS('سجل المراجعات'!$E$5:$E$1504,'سجل المراجعات'!$A$5:$A$1504,$A290,'سجل المراجعات'!$D$5:$D$1504,"رد بملاحظات"))</f>
        <v/>
      </c>
      <c r="M290" s="33" t="str">
        <f aca="false">IF($A290="","",_xlfn.MAXIFS('سجل المراجعات'!$E$5:$E$1504,'سجل المراجعات'!$A$5:$A$1504,$A290,'سجل المراجعات'!$D$5:$D$1504,"قبول"))</f>
        <v/>
      </c>
      <c r="N290" s="26" t="str">
        <f aca="false">IF($A290="","",COUNTIFS('سجل المراجعات'!$A$5:$A$1504,$A290,'سجل المراجعات'!$D$5:$D$1504,"تسليم"))</f>
        <v/>
      </c>
      <c r="O290" s="34" t="str">
        <f aca="false">IF($A290="","",IF(M290&gt;0,"تم القبول",IF(F290="معلق","معلق",IF(AND(L290&gt;0,L290&gt;=K290),"مُعاد بملاحظات",IF(K290&gt;0,"في انتظار القبول",IF(AND(ISNUMBER(E290),E290&lt;تاريخ_الاحتساب),"متأخر",IF(F290="","لم يبدأ",F290)))))))</f>
        <v/>
      </c>
      <c r="P290" s="26" t="str">
        <f aca="false">IF($A290="","",SUMIFS('سجل المراجعات'!$L$5:$L$1504,'سجل المراجعات'!$A$5:$A$1504,$A290))</f>
        <v/>
      </c>
      <c r="Q290" s="26" t="str">
        <f aca="false">IF($A290="","",SUMIFS('سجل المراجعات'!$M$5:$M$1504,'سجل المراجعات'!$A$5:$A$1504,$A290))</f>
        <v/>
      </c>
      <c r="R290" s="26" t="str">
        <f aca="false">IF(OR($A290="",NOT(ISNUMBER(E290))),"",MAX(0,NETWORKDAYS.INTL(E290,IF(J290&gt;0,J290,تاريخ_الاحتساب),رمز_العطلة,أيام_الأجازات)-1))</f>
        <v/>
      </c>
      <c r="S290" s="22"/>
    </row>
    <row r="291" customFormat="false" ht="15" hidden="false" customHeight="false" outlineLevel="0" collapsed="false">
      <c r="A291" s="20"/>
      <c r="B291" s="20"/>
      <c r="C291" s="30" t="str">
        <f aca="false">IF($A291="","",IFERROR(INDEX(بند_الاسم,MATCH($B291,قائمة_البنود,0)),"⚠ بند غير موجود"))</f>
        <v/>
      </c>
      <c r="D291" s="22"/>
      <c r="E291" s="31"/>
      <c r="F291" s="21"/>
      <c r="G291" s="32"/>
      <c r="H291" s="25" t="str">
        <f aca="false">IF($A291="","",IFERROR(INDEX(بند_سعر_الوحدة,MATCH($B291,قائمة_البنود,0)),0))</f>
        <v/>
      </c>
      <c r="I291" s="25" t="str">
        <f aca="false">IF($A291="","",H291*(1+نسبة_الضريبة))</f>
        <v/>
      </c>
      <c r="J291" s="33" t="str">
        <f aca="false">IF($A291="","",_xlfn.MINIFS('سجل المراجعات'!$E$5:$E$1504,'سجل المراجعات'!$A$5:$A$1504,$A291,'سجل المراجعات'!$D$5:$D$1504,"تسليم"))</f>
        <v/>
      </c>
      <c r="K291" s="33" t="str">
        <f aca="false">IF($A291="","",_xlfn.MAXIFS('سجل المراجعات'!$E$5:$E$1504,'سجل المراجعات'!$A$5:$A$1504,$A291,'سجل المراجعات'!$D$5:$D$1504,"تسليم"))</f>
        <v/>
      </c>
      <c r="L291" s="33" t="str">
        <f aca="false">IF($A291="","",_xlfn.MAXIFS('سجل المراجعات'!$E$5:$E$1504,'سجل المراجعات'!$A$5:$A$1504,$A291,'سجل المراجعات'!$D$5:$D$1504,"رد بملاحظات"))</f>
        <v/>
      </c>
      <c r="M291" s="33" t="str">
        <f aca="false">IF($A291="","",_xlfn.MAXIFS('سجل المراجعات'!$E$5:$E$1504,'سجل المراجعات'!$A$5:$A$1504,$A291,'سجل المراجعات'!$D$5:$D$1504,"قبول"))</f>
        <v/>
      </c>
      <c r="N291" s="26" t="str">
        <f aca="false">IF($A291="","",COUNTIFS('سجل المراجعات'!$A$5:$A$1504,$A291,'سجل المراجعات'!$D$5:$D$1504,"تسليم"))</f>
        <v/>
      </c>
      <c r="O291" s="34" t="str">
        <f aca="false">IF($A291="","",IF(M291&gt;0,"تم القبول",IF(F291="معلق","معلق",IF(AND(L291&gt;0,L291&gt;=K291),"مُعاد بملاحظات",IF(K291&gt;0,"في انتظار القبول",IF(AND(ISNUMBER(E291),E291&lt;تاريخ_الاحتساب),"متأخر",IF(F291="","لم يبدأ",F291)))))))</f>
        <v/>
      </c>
      <c r="P291" s="26" t="str">
        <f aca="false">IF($A291="","",SUMIFS('سجل المراجعات'!$L$5:$L$1504,'سجل المراجعات'!$A$5:$A$1504,$A291))</f>
        <v/>
      </c>
      <c r="Q291" s="26" t="str">
        <f aca="false">IF($A291="","",SUMIFS('سجل المراجعات'!$M$5:$M$1504,'سجل المراجعات'!$A$5:$A$1504,$A291))</f>
        <v/>
      </c>
      <c r="R291" s="26" t="str">
        <f aca="false">IF(OR($A291="",NOT(ISNUMBER(E291))),"",MAX(0,NETWORKDAYS.INTL(E291,IF(J291&gt;0,J291,تاريخ_الاحتساب),رمز_العطلة,أيام_الأجازات)-1))</f>
        <v/>
      </c>
      <c r="S291" s="22"/>
    </row>
    <row r="292" customFormat="false" ht="15" hidden="false" customHeight="false" outlineLevel="0" collapsed="false">
      <c r="A292" s="20"/>
      <c r="B292" s="20"/>
      <c r="C292" s="30" t="str">
        <f aca="false">IF($A292="","",IFERROR(INDEX(بند_الاسم,MATCH($B292,قائمة_البنود,0)),"⚠ بند غير موجود"))</f>
        <v/>
      </c>
      <c r="D292" s="22"/>
      <c r="E292" s="31"/>
      <c r="F292" s="21"/>
      <c r="G292" s="32"/>
      <c r="H292" s="25" t="str">
        <f aca="false">IF($A292="","",IFERROR(INDEX(بند_سعر_الوحدة,MATCH($B292,قائمة_البنود,0)),0))</f>
        <v/>
      </c>
      <c r="I292" s="25" t="str">
        <f aca="false">IF($A292="","",H292*(1+نسبة_الضريبة))</f>
        <v/>
      </c>
      <c r="J292" s="33" t="str">
        <f aca="false">IF($A292="","",_xlfn.MINIFS('سجل المراجعات'!$E$5:$E$1504,'سجل المراجعات'!$A$5:$A$1504,$A292,'سجل المراجعات'!$D$5:$D$1504,"تسليم"))</f>
        <v/>
      </c>
      <c r="K292" s="33" t="str">
        <f aca="false">IF($A292="","",_xlfn.MAXIFS('سجل المراجعات'!$E$5:$E$1504,'سجل المراجعات'!$A$5:$A$1504,$A292,'سجل المراجعات'!$D$5:$D$1504,"تسليم"))</f>
        <v/>
      </c>
      <c r="L292" s="33" t="str">
        <f aca="false">IF($A292="","",_xlfn.MAXIFS('سجل المراجعات'!$E$5:$E$1504,'سجل المراجعات'!$A$5:$A$1504,$A292,'سجل المراجعات'!$D$5:$D$1504,"رد بملاحظات"))</f>
        <v/>
      </c>
      <c r="M292" s="33" t="str">
        <f aca="false">IF($A292="","",_xlfn.MAXIFS('سجل المراجعات'!$E$5:$E$1504,'سجل المراجعات'!$A$5:$A$1504,$A292,'سجل المراجعات'!$D$5:$D$1504,"قبول"))</f>
        <v/>
      </c>
      <c r="N292" s="26" t="str">
        <f aca="false">IF($A292="","",COUNTIFS('سجل المراجعات'!$A$5:$A$1504,$A292,'سجل المراجعات'!$D$5:$D$1504,"تسليم"))</f>
        <v/>
      </c>
      <c r="O292" s="34" t="str">
        <f aca="false">IF($A292="","",IF(M292&gt;0,"تم القبول",IF(F292="معلق","معلق",IF(AND(L292&gt;0,L292&gt;=K292),"مُعاد بملاحظات",IF(K292&gt;0,"في انتظار القبول",IF(AND(ISNUMBER(E292),E292&lt;تاريخ_الاحتساب),"متأخر",IF(F292="","لم يبدأ",F292)))))))</f>
        <v/>
      </c>
      <c r="P292" s="26" t="str">
        <f aca="false">IF($A292="","",SUMIFS('سجل المراجعات'!$L$5:$L$1504,'سجل المراجعات'!$A$5:$A$1504,$A292))</f>
        <v/>
      </c>
      <c r="Q292" s="26" t="str">
        <f aca="false">IF($A292="","",SUMIFS('سجل المراجعات'!$M$5:$M$1504,'سجل المراجعات'!$A$5:$A$1504,$A292))</f>
        <v/>
      </c>
      <c r="R292" s="26" t="str">
        <f aca="false">IF(OR($A292="",NOT(ISNUMBER(E292))),"",MAX(0,NETWORKDAYS.INTL(E292,IF(J292&gt;0,J292,تاريخ_الاحتساب),رمز_العطلة,أيام_الأجازات)-1))</f>
        <v/>
      </c>
      <c r="S292" s="22"/>
    </row>
    <row r="293" customFormat="false" ht="15" hidden="false" customHeight="false" outlineLevel="0" collapsed="false">
      <c r="A293" s="20"/>
      <c r="B293" s="20"/>
      <c r="C293" s="30" t="str">
        <f aca="false">IF($A293="","",IFERROR(INDEX(بند_الاسم,MATCH($B293,قائمة_البنود,0)),"⚠ بند غير موجود"))</f>
        <v/>
      </c>
      <c r="D293" s="22"/>
      <c r="E293" s="31"/>
      <c r="F293" s="21"/>
      <c r="G293" s="32"/>
      <c r="H293" s="25" t="str">
        <f aca="false">IF($A293="","",IFERROR(INDEX(بند_سعر_الوحدة,MATCH($B293,قائمة_البنود,0)),0))</f>
        <v/>
      </c>
      <c r="I293" s="25" t="str">
        <f aca="false">IF($A293="","",H293*(1+نسبة_الضريبة))</f>
        <v/>
      </c>
      <c r="J293" s="33" t="str">
        <f aca="false">IF($A293="","",_xlfn.MINIFS('سجل المراجعات'!$E$5:$E$1504,'سجل المراجعات'!$A$5:$A$1504,$A293,'سجل المراجعات'!$D$5:$D$1504,"تسليم"))</f>
        <v/>
      </c>
      <c r="K293" s="33" t="str">
        <f aca="false">IF($A293="","",_xlfn.MAXIFS('سجل المراجعات'!$E$5:$E$1504,'سجل المراجعات'!$A$5:$A$1504,$A293,'سجل المراجعات'!$D$5:$D$1504,"تسليم"))</f>
        <v/>
      </c>
      <c r="L293" s="33" t="str">
        <f aca="false">IF($A293="","",_xlfn.MAXIFS('سجل المراجعات'!$E$5:$E$1504,'سجل المراجعات'!$A$5:$A$1504,$A293,'سجل المراجعات'!$D$5:$D$1504,"رد بملاحظات"))</f>
        <v/>
      </c>
      <c r="M293" s="33" t="str">
        <f aca="false">IF($A293="","",_xlfn.MAXIFS('سجل المراجعات'!$E$5:$E$1504,'سجل المراجعات'!$A$5:$A$1504,$A293,'سجل المراجعات'!$D$5:$D$1504,"قبول"))</f>
        <v/>
      </c>
      <c r="N293" s="26" t="str">
        <f aca="false">IF($A293="","",COUNTIFS('سجل المراجعات'!$A$5:$A$1504,$A293,'سجل المراجعات'!$D$5:$D$1504,"تسليم"))</f>
        <v/>
      </c>
      <c r="O293" s="34" t="str">
        <f aca="false">IF($A293="","",IF(M293&gt;0,"تم القبول",IF(F293="معلق","معلق",IF(AND(L293&gt;0,L293&gt;=K293),"مُعاد بملاحظات",IF(K293&gt;0,"في انتظار القبول",IF(AND(ISNUMBER(E293),E293&lt;تاريخ_الاحتساب),"متأخر",IF(F293="","لم يبدأ",F293)))))))</f>
        <v/>
      </c>
      <c r="P293" s="26" t="str">
        <f aca="false">IF($A293="","",SUMIFS('سجل المراجعات'!$L$5:$L$1504,'سجل المراجعات'!$A$5:$A$1504,$A293))</f>
        <v/>
      </c>
      <c r="Q293" s="26" t="str">
        <f aca="false">IF($A293="","",SUMIFS('سجل المراجعات'!$M$5:$M$1504,'سجل المراجعات'!$A$5:$A$1504,$A293))</f>
        <v/>
      </c>
      <c r="R293" s="26" t="str">
        <f aca="false">IF(OR($A293="",NOT(ISNUMBER(E293))),"",MAX(0,NETWORKDAYS.INTL(E293,IF(J293&gt;0,J293,تاريخ_الاحتساب),رمز_العطلة,أيام_الأجازات)-1))</f>
        <v/>
      </c>
      <c r="S293" s="22"/>
    </row>
    <row r="294" customFormat="false" ht="15" hidden="false" customHeight="false" outlineLevel="0" collapsed="false">
      <c r="A294" s="20"/>
      <c r="B294" s="20"/>
      <c r="C294" s="30" t="str">
        <f aca="false">IF($A294="","",IFERROR(INDEX(بند_الاسم,MATCH($B294,قائمة_البنود,0)),"⚠ بند غير موجود"))</f>
        <v/>
      </c>
      <c r="D294" s="22"/>
      <c r="E294" s="31"/>
      <c r="F294" s="21"/>
      <c r="G294" s="32"/>
      <c r="H294" s="25" t="str">
        <f aca="false">IF($A294="","",IFERROR(INDEX(بند_سعر_الوحدة,MATCH($B294,قائمة_البنود,0)),0))</f>
        <v/>
      </c>
      <c r="I294" s="25" t="str">
        <f aca="false">IF($A294="","",H294*(1+نسبة_الضريبة))</f>
        <v/>
      </c>
      <c r="J294" s="33" t="str">
        <f aca="false">IF($A294="","",_xlfn.MINIFS('سجل المراجعات'!$E$5:$E$1504,'سجل المراجعات'!$A$5:$A$1504,$A294,'سجل المراجعات'!$D$5:$D$1504,"تسليم"))</f>
        <v/>
      </c>
      <c r="K294" s="33" t="str">
        <f aca="false">IF($A294="","",_xlfn.MAXIFS('سجل المراجعات'!$E$5:$E$1504,'سجل المراجعات'!$A$5:$A$1504,$A294,'سجل المراجعات'!$D$5:$D$1504,"تسليم"))</f>
        <v/>
      </c>
      <c r="L294" s="33" t="str">
        <f aca="false">IF($A294="","",_xlfn.MAXIFS('سجل المراجعات'!$E$5:$E$1504,'سجل المراجعات'!$A$5:$A$1504,$A294,'سجل المراجعات'!$D$5:$D$1504,"رد بملاحظات"))</f>
        <v/>
      </c>
      <c r="M294" s="33" t="str">
        <f aca="false">IF($A294="","",_xlfn.MAXIFS('سجل المراجعات'!$E$5:$E$1504,'سجل المراجعات'!$A$5:$A$1504,$A294,'سجل المراجعات'!$D$5:$D$1504,"قبول"))</f>
        <v/>
      </c>
      <c r="N294" s="26" t="str">
        <f aca="false">IF($A294="","",COUNTIFS('سجل المراجعات'!$A$5:$A$1504,$A294,'سجل المراجعات'!$D$5:$D$1504,"تسليم"))</f>
        <v/>
      </c>
      <c r="O294" s="34" t="str">
        <f aca="false">IF($A294="","",IF(M294&gt;0,"تم القبول",IF(F294="معلق","معلق",IF(AND(L294&gt;0,L294&gt;=K294),"مُعاد بملاحظات",IF(K294&gt;0,"في انتظار القبول",IF(AND(ISNUMBER(E294),E294&lt;تاريخ_الاحتساب),"متأخر",IF(F294="","لم يبدأ",F294)))))))</f>
        <v/>
      </c>
      <c r="P294" s="26" t="str">
        <f aca="false">IF($A294="","",SUMIFS('سجل المراجعات'!$L$5:$L$1504,'سجل المراجعات'!$A$5:$A$1504,$A294))</f>
        <v/>
      </c>
      <c r="Q294" s="26" t="str">
        <f aca="false">IF($A294="","",SUMIFS('سجل المراجعات'!$M$5:$M$1504,'سجل المراجعات'!$A$5:$A$1504,$A294))</f>
        <v/>
      </c>
      <c r="R294" s="26" t="str">
        <f aca="false">IF(OR($A294="",NOT(ISNUMBER(E294))),"",MAX(0,NETWORKDAYS.INTL(E294,IF(J294&gt;0,J294,تاريخ_الاحتساب),رمز_العطلة,أيام_الأجازات)-1))</f>
        <v/>
      </c>
      <c r="S294" s="22"/>
    </row>
    <row r="295" customFormat="false" ht="15" hidden="false" customHeight="false" outlineLevel="0" collapsed="false">
      <c r="A295" s="20"/>
      <c r="B295" s="20"/>
      <c r="C295" s="30" t="str">
        <f aca="false">IF($A295="","",IFERROR(INDEX(بند_الاسم,MATCH($B295,قائمة_البنود,0)),"⚠ بند غير موجود"))</f>
        <v/>
      </c>
      <c r="D295" s="22"/>
      <c r="E295" s="31"/>
      <c r="F295" s="21"/>
      <c r="G295" s="32"/>
      <c r="H295" s="25" t="str">
        <f aca="false">IF($A295="","",IFERROR(INDEX(بند_سعر_الوحدة,MATCH($B295,قائمة_البنود,0)),0))</f>
        <v/>
      </c>
      <c r="I295" s="25" t="str">
        <f aca="false">IF($A295="","",H295*(1+نسبة_الضريبة))</f>
        <v/>
      </c>
      <c r="J295" s="33" t="str">
        <f aca="false">IF($A295="","",_xlfn.MINIFS('سجل المراجعات'!$E$5:$E$1504,'سجل المراجعات'!$A$5:$A$1504,$A295,'سجل المراجعات'!$D$5:$D$1504,"تسليم"))</f>
        <v/>
      </c>
      <c r="K295" s="33" t="str">
        <f aca="false">IF($A295="","",_xlfn.MAXIFS('سجل المراجعات'!$E$5:$E$1504,'سجل المراجعات'!$A$5:$A$1504,$A295,'سجل المراجعات'!$D$5:$D$1504,"تسليم"))</f>
        <v/>
      </c>
      <c r="L295" s="33" t="str">
        <f aca="false">IF($A295="","",_xlfn.MAXIFS('سجل المراجعات'!$E$5:$E$1504,'سجل المراجعات'!$A$5:$A$1504,$A295,'سجل المراجعات'!$D$5:$D$1504,"رد بملاحظات"))</f>
        <v/>
      </c>
      <c r="M295" s="33" t="str">
        <f aca="false">IF($A295="","",_xlfn.MAXIFS('سجل المراجعات'!$E$5:$E$1504,'سجل المراجعات'!$A$5:$A$1504,$A295,'سجل المراجعات'!$D$5:$D$1504,"قبول"))</f>
        <v/>
      </c>
      <c r="N295" s="26" t="str">
        <f aca="false">IF($A295="","",COUNTIFS('سجل المراجعات'!$A$5:$A$1504,$A295,'سجل المراجعات'!$D$5:$D$1504,"تسليم"))</f>
        <v/>
      </c>
      <c r="O295" s="34" t="str">
        <f aca="false">IF($A295="","",IF(M295&gt;0,"تم القبول",IF(F295="معلق","معلق",IF(AND(L295&gt;0,L295&gt;=K295),"مُعاد بملاحظات",IF(K295&gt;0,"في انتظار القبول",IF(AND(ISNUMBER(E295),E295&lt;تاريخ_الاحتساب),"متأخر",IF(F295="","لم يبدأ",F295)))))))</f>
        <v/>
      </c>
      <c r="P295" s="26" t="str">
        <f aca="false">IF($A295="","",SUMIFS('سجل المراجعات'!$L$5:$L$1504,'سجل المراجعات'!$A$5:$A$1504,$A295))</f>
        <v/>
      </c>
      <c r="Q295" s="26" t="str">
        <f aca="false">IF($A295="","",SUMIFS('سجل المراجعات'!$M$5:$M$1504,'سجل المراجعات'!$A$5:$A$1504,$A295))</f>
        <v/>
      </c>
      <c r="R295" s="26" t="str">
        <f aca="false">IF(OR($A295="",NOT(ISNUMBER(E295))),"",MAX(0,NETWORKDAYS.INTL(E295,IF(J295&gt;0,J295,تاريخ_الاحتساب),رمز_العطلة,أيام_الأجازات)-1))</f>
        <v/>
      </c>
      <c r="S295" s="22"/>
    </row>
    <row r="296" customFormat="false" ht="15" hidden="false" customHeight="false" outlineLevel="0" collapsed="false">
      <c r="A296" s="20"/>
      <c r="B296" s="20"/>
      <c r="C296" s="30" t="str">
        <f aca="false">IF($A296="","",IFERROR(INDEX(بند_الاسم,MATCH($B296,قائمة_البنود,0)),"⚠ بند غير موجود"))</f>
        <v/>
      </c>
      <c r="D296" s="22"/>
      <c r="E296" s="31"/>
      <c r="F296" s="21"/>
      <c r="G296" s="32"/>
      <c r="H296" s="25" t="str">
        <f aca="false">IF($A296="","",IFERROR(INDEX(بند_سعر_الوحدة,MATCH($B296,قائمة_البنود,0)),0))</f>
        <v/>
      </c>
      <c r="I296" s="25" t="str">
        <f aca="false">IF($A296="","",H296*(1+نسبة_الضريبة))</f>
        <v/>
      </c>
      <c r="J296" s="33" t="str">
        <f aca="false">IF($A296="","",_xlfn.MINIFS('سجل المراجعات'!$E$5:$E$1504,'سجل المراجعات'!$A$5:$A$1504,$A296,'سجل المراجعات'!$D$5:$D$1504,"تسليم"))</f>
        <v/>
      </c>
      <c r="K296" s="33" t="str">
        <f aca="false">IF($A296="","",_xlfn.MAXIFS('سجل المراجعات'!$E$5:$E$1504,'سجل المراجعات'!$A$5:$A$1504,$A296,'سجل المراجعات'!$D$5:$D$1504,"تسليم"))</f>
        <v/>
      </c>
      <c r="L296" s="33" t="str">
        <f aca="false">IF($A296="","",_xlfn.MAXIFS('سجل المراجعات'!$E$5:$E$1504,'سجل المراجعات'!$A$5:$A$1504,$A296,'سجل المراجعات'!$D$5:$D$1504,"رد بملاحظات"))</f>
        <v/>
      </c>
      <c r="M296" s="33" t="str">
        <f aca="false">IF($A296="","",_xlfn.MAXIFS('سجل المراجعات'!$E$5:$E$1504,'سجل المراجعات'!$A$5:$A$1504,$A296,'سجل المراجعات'!$D$5:$D$1504,"قبول"))</f>
        <v/>
      </c>
      <c r="N296" s="26" t="str">
        <f aca="false">IF($A296="","",COUNTIFS('سجل المراجعات'!$A$5:$A$1504,$A296,'سجل المراجعات'!$D$5:$D$1504,"تسليم"))</f>
        <v/>
      </c>
      <c r="O296" s="34" t="str">
        <f aca="false">IF($A296="","",IF(M296&gt;0,"تم القبول",IF(F296="معلق","معلق",IF(AND(L296&gt;0,L296&gt;=K296),"مُعاد بملاحظات",IF(K296&gt;0,"في انتظار القبول",IF(AND(ISNUMBER(E296),E296&lt;تاريخ_الاحتساب),"متأخر",IF(F296="","لم يبدأ",F296)))))))</f>
        <v/>
      </c>
      <c r="P296" s="26" t="str">
        <f aca="false">IF($A296="","",SUMIFS('سجل المراجعات'!$L$5:$L$1504,'سجل المراجعات'!$A$5:$A$1504,$A296))</f>
        <v/>
      </c>
      <c r="Q296" s="26" t="str">
        <f aca="false">IF($A296="","",SUMIFS('سجل المراجعات'!$M$5:$M$1504,'سجل المراجعات'!$A$5:$A$1504,$A296))</f>
        <v/>
      </c>
      <c r="R296" s="26" t="str">
        <f aca="false">IF(OR($A296="",NOT(ISNUMBER(E296))),"",MAX(0,NETWORKDAYS.INTL(E296,IF(J296&gt;0,J296,تاريخ_الاحتساب),رمز_العطلة,أيام_الأجازات)-1))</f>
        <v/>
      </c>
      <c r="S296" s="22"/>
    </row>
    <row r="297" customFormat="false" ht="15" hidden="false" customHeight="false" outlineLevel="0" collapsed="false">
      <c r="A297" s="20"/>
      <c r="B297" s="20"/>
      <c r="C297" s="30" t="str">
        <f aca="false">IF($A297="","",IFERROR(INDEX(بند_الاسم,MATCH($B297,قائمة_البنود,0)),"⚠ بند غير موجود"))</f>
        <v/>
      </c>
      <c r="D297" s="22"/>
      <c r="E297" s="31"/>
      <c r="F297" s="21"/>
      <c r="G297" s="32"/>
      <c r="H297" s="25" t="str">
        <f aca="false">IF($A297="","",IFERROR(INDEX(بند_سعر_الوحدة,MATCH($B297,قائمة_البنود,0)),0))</f>
        <v/>
      </c>
      <c r="I297" s="25" t="str">
        <f aca="false">IF($A297="","",H297*(1+نسبة_الضريبة))</f>
        <v/>
      </c>
      <c r="J297" s="33" t="str">
        <f aca="false">IF($A297="","",_xlfn.MINIFS('سجل المراجعات'!$E$5:$E$1504,'سجل المراجعات'!$A$5:$A$1504,$A297,'سجل المراجعات'!$D$5:$D$1504,"تسليم"))</f>
        <v/>
      </c>
      <c r="K297" s="33" t="str">
        <f aca="false">IF($A297="","",_xlfn.MAXIFS('سجل المراجعات'!$E$5:$E$1504,'سجل المراجعات'!$A$5:$A$1504,$A297,'سجل المراجعات'!$D$5:$D$1504,"تسليم"))</f>
        <v/>
      </c>
      <c r="L297" s="33" t="str">
        <f aca="false">IF($A297="","",_xlfn.MAXIFS('سجل المراجعات'!$E$5:$E$1504,'سجل المراجعات'!$A$5:$A$1504,$A297,'سجل المراجعات'!$D$5:$D$1504,"رد بملاحظات"))</f>
        <v/>
      </c>
      <c r="M297" s="33" t="str">
        <f aca="false">IF($A297="","",_xlfn.MAXIFS('سجل المراجعات'!$E$5:$E$1504,'سجل المراجعات'!$A$5:$A$1504,$A297,'سجل المراجعات'!$D$5:$D$1504,"قبول"))</f>
        <v/>
      </c>
      <c r="N297" s="26" t="str">
        <f aca="false">IF($A297="","",COUNTIFS('سجل المراجعات'!$A$5:$A$1504,$A297,'سجل المراجعات'!$D$5:$D$1504,"تسليم"))</f>
        <v/>
      </c>
      <c r="O297" s="34" t="str">
        <f aca="false">IF($A297="","",IF(M297&gt;0,"تم القبول",IF(F297="معلق","معلق",IF(AND(L297&gt;0,L297&gt;=K297),"مُعاد بملاحظات",IF(K297&gt;0,"في انتظار القبول",IF(AND(ISNUMBER(E297),E297&lt;تاريخ_الاحتساب),"متأخر",IF(F297="","لم يبدأ",F297)))))))</f>
        <v/>
      </c>
      <c r="P297" s="26" t="str">
        <f aca="false">IF($A297="","",SUMIFS('سجل المراجعات'!$L$5:$L$1504,'سجل المراجعات'!$A$5:$A$1504,$A297))</f>
        <v/>
      </c>
      <c r="Q297" s="26" t="str">
        <f aca="false">IF($A297="","",SUMIFS('سجل المراجعات'!$M$5:$M$1504,'سجل المراجعات'!$A$5:$A$1504,$A297))</f>
        <v/>
      </c>
      <c r="R297" s="26" t="str">
        <f aca="false">IF(OR($A297="",NOT(ISNUMBER(E297))),"",MAX(0,NETWORKDAYS.INTL(E297,IF(J297&gt;0,J297,تاريخ_الاحتساب),رمز_العطلة,أيام_الأجازات)-1))</f>
        <v/>
      </c>
      <c r="S297" s="22"/>
    </row>
    <row r="298" customFormat="false" ht="15" hidden="false" customHeight="false" outlineLevel="0" collapsed="false">
      <c r="A298" s="20"/>
      <c r="B298" s="20"/>
      <c r="C298" s="30" t="str">
        <f aca="false">IF($A298="","",IFERROR(INDEX(بند_الاسم,MATCH($B298,قائمة_البنود,0)),"⚠ بند غير موجود"))</f>
        <v/>
      </c>
      <c r="D298" s="22"/>
      <c r="E298" s="31"/>
      <c r="F298" s="21"/>
      <c r="G298" s="32"/>
      <c r="H298" s="25" t="str">
        <f aca="false">IF($A298="","",IFERROR(INDEX(بند_سعر_الوحدة,MATCH($B298,قائمة_البنود,0)),0))</f>
        <v/>
      </c>
      <c r="I298" s="25" t="str">
        <f aca="false">IF($A298="","",H298*(1+نسبة_الضريبة))</f>
        <v/>
      </c>
      <c r="J298" s="33" t="str">
        <f aca="false">IF($A298="","",_xlfn.MINIFS('سجل المراجعات'!$E$5:$E$1504,'سجل المراجعات'!$A$5:$A$1504,$A298,'سجل المراجعات'!$D$5:$D$1504,"تسليم"))</f>
        <v/>
      </c>
      <c r="K298" s="33" t="str">
        <f aca="false">IF($A298="","",_xlfn.MAXIFS('سجل المراجعات'!$E$5:$E$1504,'سجل المراجعات'!$A$5:$A$1504,$A298,'سجل المراجعات'!$D$5:$D$1504,"تسليم"))</f>
        <v/>
      </c>
      <c r="L298" s="33" t="str">
        <f aca="false">IF($A298="","",_xlfn.MAXIFS('سجل المراجعات'!$E$5:$E$1504,'سجل المراجعات'!$A$5:$A$1504,$A298,'سجل المراجعات'!$D$5:$D$1504,"رد بملاحظات"))</f>
        <v/>
      </c>
      <c r="M298" s="33" t="str">
        <f aca="false">IF($A298="","",_xlfn.MAXIFS('سجل المراجعات'!$E$5:$E$1504,'سجل المراجعات'!$A$5:$A$1504,$A298,'سجل المراجعات'!$D$5:$D$1504,"قبول"))</f>
        <v/>
      </c>
      <c r="N298" s="26" t="str">
        <f aca="false">IF($A298="","",COUNTIFS('سجل المراجعات'!$A$5:$A$1504,$A298,'سجل المراجعات'!$D$5:$D$1504,"تسليم"))</f>
        <v/>
      </c>
      <c r="O298" s="34" t="str">
        <f aca="false">IF($A298="","",IF(M298&gt;0,"تم القبول",IF(F298="معلق","معلق",IF(AND(L298&gt;0,L298&gt;=K298),"مُعاد بملاحظات",IF(K298&gt;0,"في انتظار القبول",IF(AND(ISNUMBER(E298),E298&lt;تاريخ_الاحتساب),"متأخر",IF(F298="","لم يبدأ",F298)))))))</f>
        <v/>
      </c>
      <c r="P298" s="26" t="str">
        <f aca="false">IF($A298="","",SUMIFS('سجل المراجعات'!$L$5:$L$1504,'سجل المراجعات'!$A$5:$A$1504,$A298))</f>
        <v/>
      </c>
      <c r="Q298" s="26" t="str">
        <f aca="false">IF($A298="","",SUMIFS('سجل المراجعات'!$M$5:$M$1504,'سجل المراجعات'!$A$5:$A$1504,$A298))</f>
        <v/>
      </c>
      <c r="R298" s="26" t="str">
        <f aca="false">IF(OR($A298="",NOT(ISNUMBER(E298))),"",MAX(0,NETWORKDAYS.INTL(E298,IF(J298&gt;0,J298,تاريخ_الاحتساب),رمز_العطلة,أيام_الأجازات)-1))</f>
        <v/>
      </c>
      <c r="S298" s="22"/>
    </row>
    <row r="299" customFormat="false" ht="15" hidden="false" customHeight="false" outlineLevel="0" collapsed="false">
      <c r="A299" s="20"/>
      <c r="B299" s="20"/>
      <c r="C299" s="30" t="str">
        <f aca="false">IF($A299="","",IFERROR(INDEX(بند_الاسم,MATCH($B299,قائمة_البنود,0)),"⚠ بند غير موجود"))</f>
        <v/>
      </c>
      <c r="D299" s="22"/>
      <c r="E299" s="31"/>
      <c r="F299" s="21"/>
      <c r="G299" s="32"/>
      <c r="H299" s="25" t="str">
        <f aca="false">IF($A299="","",IFERROR(INDEX(بند_سعر_الوحدة,MATCH($B299,قائمة_البنود,0)),0))</f>
        <v/>
      </c>
      <c r="I299" s="25" t="str">
        <f aca="false">IF($A299="","",H299*(1+نسبة_الضريبة))</f>
        <v/>
      </c>
      <c r="J299" s="33" t="str">
        <f aca="false">IF($A299="","",_xlfn.MINIFS('سجل المراجعات'!$E$5:$E$1504,'سجل المراجعات'!$A$5:$A$1504,$A299,'سجل المراجعات'!$D$5:$D$1504,"تسليم"))</f>
        <v/>
      </c>
      <c r="K299" s="33" t="str">
        <f aca="false">IF($A299="","",_xlfn.MAXIFS('سجل المراجعات'!$E$5:$E$1504,'سجل المراجعات'!$A$5:$A$1504,$A299,'سجل المراجعات'!$D$5:$D$1504,"تسليم"))</f>
        <v/>
      </c>
      <c r="L299" s="33" t="str">
        <f aca="false">IF($A299="","",_xlfn.MAXIFS('سجل المراجعات'!$E$5:$E$1504,'سجل المراجعات'!$A$5:$A$1504,$A299,'سجل المراجعات'!$D$5:$D$1504,"رد بملاحظات"))</f>
        <v/>
      </c>
      <c r="M299" s="33" t="str">
        <f aca="false">IF($A299="","",_xlfn.MAXIFS('سجل المراجعات'!$E$5:$E$1504,'سجل المراجعات'!$A$5:$A$1504,$A299,'سجل المراجعات'!$D$5:$D$1504,"قبول"))</f>
        <v/>
      </c>
      <c r="N299" s="26" t="str">
        <f aca="false">IF($A299="","",COUNTIFS('سجل المراجعات'!$A$5:$A$1504,$A299,'سجل المراجعات'!$D$5:$D$1504,"تسليم"))</f>
        <v/>
      </c>
      <c r="O299" s="34" t="str">
        <f aca="false">IF($A299="","",IF(M299&gt;0,"تم القبول",IF(F299="معلق","معلق",IF(AND(L299&gt;0,L299&gt;=K299),"مُعاد بملاحظات",IF(K299&gt;0,"في انتظار القبول",IF(AND(ISNUMBER(E299),E299&lt;تاريخ_الاحتساب),"متأخر",IF(F299="","لم يبدأ",F299)))))))</f>
        <v/>
      </c>
      <c r="P299" s="26" t="str">
        <f aca="false">IF($A299="","",SUMIFS('سجل المراجعات'!$L$5:$L$1504,'سجل المراجعات'!$A$5:$A$1504,$A299))</f>
        <v/>
      </c>
      <c r="Q299" s="26" t="str">
        <f aca="false">IF($A299="","",SUMIFS('سجل المراجعات'!$M$5:$M$1504,'سجل المراجعات'!$A$5:$A$1504,$A299))</f>
        <v/>
      </c>
      <c r="R299" s="26" t="str">
        <f aca="false">IF(OR($A299="",NOT(ISNUMBER(E299))),"",MAX(0,NETWORKDAYS.INTL(E299,IF(J299&gt;0,J299,تاريخ_الاحتساب),رمز_العطلة,أيام_الأجازات)-1))</f>
        <v/>
      </c>
      <c r="S299" s="22"/>
    </row>
    <row r="300" customFormat="false" ht="15" hidden="false" customHeight="false" outlineLevel="0" collapsed="false">
      <c r="A300" s="20"/>
      <c r="B300" s="20"/>
      <c r="C300" s="30" t="str">
        <f aca="false">IF($A300="","",IFERROR(INDEX(بند_الاسم,MATCH($B300,قائمة_البنود,0)),"⚠ بند غير موجود"))</f>
        <v/>
      </c>
      <c r="D300" s="22"/>
      <c r="E300" s="31"/>
      <c r="F300" s="21"/>
      <c r="G300" s="32"/>
      <c r="H300" s="25" t="str">
        <f aca="false">IF($A300="","",IFERROR(INDEX(بند_سعر_الوحدة,MATCH($B300,قائمة_البنود,0)),0))</f>
        <v/>
      </c>
      <c r="I300" s="25" t="str">
        <f aca="false">IF($A300="","",H300*(1+نسبة_الضريبة))</f>
        <v/>
      </c>
      <c r="J300" s="33" t="str">
        <f aca="false">IF($A300="","",_xlfn.MINIFS('سجل المراجعات'!$E$5:$E$1504,'سجل المراجعات'!$A$5:$A$1504,$A300,'سجل المراجعات'!$D$5:$D$1504,"تسليم"))</f>
        <v/>
      </c>
      <c r="K300" s="33" t="str">
        <f aca="false">IF($A300="","",_xlfn.MAXIFS('سجل المراجعات'!$E$5:$E$1504,'سجل المراجعات'!$A$5:$A$1504,$A300,'سجل المراجعات'!$D$5:$D$1504,"تسليم"))</f>
        <v/>
      </c>
      <c r="L300" s="33" t="str">
        <f aca="false">IF($A300="","",_xlfn.MAXIFS('سجل المراجعات'!$E$5:$E$1504,'سجل المراجعات'!$A$5:$A$1504,$A300,'سجل المراجعات'!$D$5:$D$1504,"رد بملاحظات"))</f>
        <v/>
      </c>
      <c r="M300" s="33" t="str">
        <f aca="false">IF($A300="","",_xlfn.MAXIFS('سجل المراجعات'!$E$5:$E$1504,'سجل المراجعات'!$A$5:$A$1504,$A300,'سجل المراجعات'!$D$5:$D$1504,"قبول"))</f>
        <v/>
      </c>
      <c r="N300" s="26" t="str">
        <f aca="false">IF($A300="","",COUNTIFS('سجل المراجعات'!$A$5:$A$1504,$A300,'سجل المراجعات'!$D$5:$D$1504,"تسليم"))</f>
        <v/>
      </c>
      <c r="O300" s="34" t="str">
        <f aca="false">IF($A300="","",IF(M300&gt;0,"تم القبول",IF(F300="معلق","معلق",IF(AND(L300&gt;0,L300&gt;=K300),"مُعاد بملاحظات",IF(K300&gt;0,"في انتظار القبول",IF(AND(ISNUMBER(E300),E300&lt;تاريخ_الاحتساب),"متأخر",IF(F300="","لم يبدأ",F300)))))))</f>
        <v/>
      </c>
      <c r="P300" s="26" t="str">
        <f aca="false">IF($A300="","",SUMIFS('سجل المراجعات'!$L$5:$L$1504,'سجل المراجعات'!$A$5:$A$1504,$A300))</f>
        <v/>
      </c>
      <c r="Q300" s="26" t="str">
        <f aca="false">IF($A300="","",SUMIFS('سجل المراجعات'!$M$5:$M$1504,'سجل المراجعات'!$A$5:$A$1504,$A300))</f>
        <v/>
      </c>
      <c r="R300" s="26" t="str">
        <f aca="false">IF(OR($A300="",NOT(ISNUMBER(E300))),"",MAX(0,NETWORKDAYS.INTL(E300,IF(J300&gt;0,J300,تاريخ_الاحتساب),رمز_العطلة,أيام_الأجازات)-1))</f>
        <v/>
      </c>
      <c r="S300" s="22"/>
    </row>
    <row r="301" customFormat="false" ht="15" hidden="false" customHeight="false" outlineLevel="0" collapsed="false">
      <c r="A301" s="20"/>
      <c r="B301" s="20"/>
      <c r="C301" s="30" t="str">
        <f aca="false">IF($A301="","",IFERROR(INDEX(بند_الاسم,MATCH($B301,قائمة_البنود,0)),"⚠ بند غير موجود"))</f>
        <v/>
      </c>
      <c r="D301" s="22"/>
      <c r="E301" s="31"/>
      <c r="F301" s="21"/>
      <c r="G301" s="32"/>
      <c r="H301" s="25" t="str">
        <f aca="false">IF($A301="","",IFERROR(INDEX(بند_سعر_الوحدة,MATCH($B301,قائمة_البنود,0)),0))</f>
        <v/>
      </c>
      <c r="I301" s="25" t="str">
        <f aca="false">IF($A301="","",H301*(1+نسبة_الضريبة))</f>
        <v/>
      </c>
      <c r="J301" s="33" t="str">
        <f aca="false">IF($A301="","",_xlfn.MINIFS('سجل المراجعات'!$E$5:$E$1504,'سجل المراجعات'!$A$5:$A$1504,$A301,'سجل المراجعات'!$D$5:$D$1504,"تسليم"))</f>
        <v/>
      </c>
      <c r="K301" s="33" t="str">
        <f aca="false">IF($A301="","",_xlfn.MAXIFS('سجل المراجعات'!$E$5:$E$1504,'سجل المراجعات'!$A$5:$A$1504,$A301,'سجل المراجعات'!$D$5:$D$1504,"تسليم"))</f>
        <v/>
      </c>
      <c r="L301" s="33" t="str">
        <f aca="false">IF($A301="","",_xlfn.MAXIFS('سجل المراجعات'!$E$5:$E$1504,'سجل المراجعات'!$A$5:$A$1504,$A301,'سجل المراجعات'!$D$5:$D$1504,"رد بملاحظات"))</f>
        <v/>
      </c>
      <c r="M301" s="33" t="str">
        <f aca="false">IF($A301="","",_xlfn.MAXIFS('سجل المراجعات'!$E$5:$E$1504,'سجل المراجعات'!$A$5:$A$1504,$A301,'سجل المراجعات'!$D$5:$D$1504,"قبول"))</f>
        <v/>
      </c>
      <c r="N301" s="26" t="str">
        <f aca="false">IF($A301="","",COUNTIFS('سجل المراجعات'!$A$5:$A$1504,$A301,'سجل المراجعات'!$D$5:$D$1504,"تسليم"))</f>
        <v/>
      </c>
      <c r="O301" s="34" t="str">
        <f aca="false">IF($A301="","",IF(M301&gt;0,"تم القبول",IF(F301="معلق","معلق",IF(AND(L301&gt;0,L301&gt;=K301),"مُعاد بملاحظات",IF(K301&gt;0,"في انتظار القبول",IF(AND(ISNUMBER(E301),E301&lt;تاريخ_الاحتساب),"متأخر",IF(F301="","لم يبدأ",F301)))))))</f>
        <v/>
      </c>
      <c r="P301" s="26" t="str">
        <f aca="false">IF($A301="","",SUMIFS('سجل المراجعات'!$L$5:$L$1504,'سجل المراجعات'!$A$5:$A$1504,$A301))</f>
        <v/>
      </c>
      <c r="Q301" s="26" t="str">
        <f aca="false">IF($A301="","",SUMIFS('سجل المراجعات'!$M$5:$M$1504,'سجل المراجعات'!$A$5:$A$1504,$A301))</f>
        <v/>
      </c>
      <c r="R301" s="26" t="str">
        <f aca="false">IF(OR($A301="",NOT(ISNUMBER(E301))),"",MAX(0,NETWORKDAYS.INTL(E301,IF(J301&gt;0,J301,تاريخ_الاحتساب),رمز_العطلة,أيام_الأجازات)-1))</f>
        <v/>
      </c>
      <c r="S301" s="22"/>
    </row>
    <row r="302" customFormat="false" ht="15" hidden="false" customHeight="false" outlineLevel="0" collapsed="false">
      <c r="A302" s="20"/>
      <c r="B302" s="20"/>
      <c r="C302" s="30" t="str">
        <f aca="false">IF($A302="","",IFERROR(INDEX(بند_الاسم,MATCH($B302,قائمة_البنود,0)),"⚠ بند غير موجود"))</f>
        <v/>
      </c>
      <c r="D302" s="22"/>
      <c r="E302" s="31"/>
      <c r="F302" s="21"/>
      <c r="G302" s="32"/>
      <c r="H302" s="25" t="str">
        <f aca="false">IF($A302="","",IFERROR(INDEX(بند_سعر_الوحدة,MATCH($B302,قائمة_البنود,0)),0))</f>
        <v/>
      </c>
      <c r="I302" s="25" t="str">
        <f aca="false">IF($A302="","",H302*(1+نسبة_الضريبة))</f>
        <v/>
      </c>
      <c r="J302" s="33" t="str">
        <f aca="false">IF($A302="","",_xlfn.MINIFS('سجل المراجعات'!$E$5:$E$1504,'سجل المراجعات'!$A$5:$A$1504,$A302,'سجل المراجعات'!$D$5:$D$1504,"تسليم"))</f>
        <v/>
      </c>
      <c r="K302" s="33" t="str">
        <f aca="false">IF($A302="","",_xlfn.MAXIFS('سجل المراجعات'!$E$5:$E$1504,'سجل المراجعات'!$A$5:$A$1504,$A302,'سجل المراجعات'!$D$5:$D$1504,"تسليم"))</f>
        <v/>
      </c>
      <c r="L302" s="33" t="str">
        <f aca="false">IF($A302="","",_xlfn.MAXIFS('سجل المراجعات'!$E$5:$E$1504,'سجل المراجعات'!$A$5:$A$1504,$A302,'سجل المراجعات'!$D$5:$D$1504,"رد بملاحظات"))</f>
        <v/>
      </c>
      <c r="M302" s="33" t="str">
        <f aca="false">IF($A302="","",_xlfn.MAXIFS('سجل المراجعات'!$E$5:$E$1504,'سجل المراجعات'!$A$5:$A$1504,$A302,'سجل المراجعات'!$D$5:$D$1504,"قبول"))</f>
        <v/>
      </c>
      <c r="N302" s="26" t="str">
        <f aca="false">IF($A302="","",COUNTIFS('سجل المراجعات'!$A$5:$A$1504,$A302,'سجل المراجعات'!$D$5:$D$1504,"تسليم"))</f>
        <v/>
      </c>
      <c r="O302" s="34" t="str">
        <f aca="false">IF($A302="","",IF(M302&gt;0,"تم القبول",IF(F302="معلق","معلق",IF(AND(L302&gt;0,L302&gt;=K302),"مُعاد بملاحظات",IF(K302&gt;0,"في انتظار القبول",IF(AND(ISNUMBER(E302),E302&lt;تاريخ_الاحتساب),"متأخر",IF(F302="","لم يبدأ",F302)))))))</f>
        <v/>
      </c>
      <c r="P302" s="26" t="str">
        <f aca="false">IF($A302="","",SUMIFS('سجل المراجعات'!$L$5:$L$1504,'سجل المراجعات'!$A$5:$A$1504,$A302))</f>
        <v/>
      </c>
      <c r="Q302" s="26" t="str">
        <f aca="false">IF($A302="","",SUMIFS('سجل المراجعات'!$M$5:$M$1504,'سجل المراجعات'!$A$5:$A$1504,$A302))</f>
        <v/>
      </c>
      <c r="R302" s="26" t="str">
        <f aca="false">IF(OR($A302="",NOT(ISNUMBER(E302))),"",MAX(0,NETWORKDAYS.INTL(E302,IF(J302&gt;0,J302,تاريخ_الاحتساب),رمز_العطلة,أيام_الأجازات)-1))</f>
        <v/>
      </c>
      <c r="S302" s="22"/>
    </row>
    <row r="303" customFormat="false" ht="15" hidden="false" customHeight="false" outlineLevel="0" collapsed="false">
      <c r="A303" s="20"/>
      <c r="B303" s="20"/>
      <c r="C303" s="30" t="str">
        <f aca="false">IF($A303="","",IFERROR(INDEX(بند_الاسم,MATCH($B303,قائمة_البنود,0)),"⚠ بند غير موجود"))</f>
        <v/>
      </c>
      <c r="D303" s="22"/>
      <c r="E303" s="31"/>
      <c r="F303" s="21"/>
      <c r="G303" s="32"/>
      <c r="H303" s="25" t="str">
        <f aca="false">IF($A303="","",IFERROR(INDEX(بند_سعر_الوحدة,MATCH($B303,قائمة_البنود,0)),0))</f>
        <v/>
      </c>
      <c r="I303" s="25" t="str">
        <f aca="false">IF($A303="","",H303*(1+نسبة_الضريبة))</f>
        <v/>
      </c>
      <c r="J303" s="33" t="str">
        <f aca="false">IF($A303="","",_xlfn.MINIFS('سجل المراجعات'!$E$5:$E$1504,'سجل المراجعات'!$A$5:$A$1504,$A303,'سجل المراجعات'!$D$5:$D$1504,"تسليم"))</f>
        <v/>
      </c>
      <c r="K303" s="33" t="str">
        <f aca="false">IF($A303="","",_xlfn.MAXIFS('سجل المراجعات'!$E$5:$E$1504,'سجل المراجعات'!$A$5:$A$1504,$A303,'سجل المراجعات'!$D$5:$D$1504,"تسليم"))</f>
        <v/>
      </c>
      <c r="L303" s="33" t="str">
        <f aca="false">IF($A303="","",_xlfn.MAXIFS('سجل المراجعات'!$E$5:$E$1504,'سجل المراجعات'!$A$5:$A$1504,$A303,'سجل المراجعات'!$D$5:$D$1504,"رد بملاحظات"))</f>
        <v/>
      </c>
      <c r="M303" s="33" t="str">
        <f aca="false">IF($A303="","",_xlfn.MAXIFS('سجل المراجعات'!$E$5:$E$1504,'سجل المراجعات'!$A$5:$A$1504,$A303,'سجل المراجعات'!$D$5:$D$1504,"قبول"))</f>
        <v/>
      </c>
      <c r="N303" s="26" t="str">
        <f aca="false">IF($A303="","",COUNTIFS('سجل المراجعات'!$A$5:$A$1504,$A303,'سجل المراجعات'!$D$5:$D$1504,"تسليم"))</f>
        <v/>
      </c>
      <c r="O303" s="34" t="str">
        <f aca="false">IF($A303="","",IF(M303&gt;0,"تم القبول",IF(F303="معلق","معلق",IF(AND(L303&gt;0,L303&gt;=K303),"مُعاد بملاحظات",IF(K303&gt;0,"في انتظار القبول",IF(AND(ISNUMBER(E303),E303&lt;تاريخ_الاحتساب),"متأخر",IF(F303="","لم يبدأ",F303)))))))</f>
        <v/>
      </c>
      <c r="P303" s="26" t="str">
        <f aca="false">IF($A303="","",SUMIFS('سجل المراجعات'!$L$5:$L$1504,'سجل المراجعات'!$A$5:$A$1504,$A303))</f>
        <v/>
      </c>
      <c r="Q303" s="26" t="str">
        <f aca="false">IF($A303="","",SUMIFS('سجل المراجعات'!$M$5:$M$1504,'سجل المراجعات'!$A$5:$A$1504,$A303))</f>
        <v/>
      </c>
      <c r="R303" s="26" t="str">
        <f aca="false">IF(OR($A303="",NOT(ISNUMBER(E303))),"",MAX(0,NETWORKDAYS.INTL(E303,IF(J303&gt;0,J303,تاريخ_الاحتساب),رمز_العطلة,أيام_الأجازات)-1))</f>
        <v/>
      </c>
      <c r="S303" s="22"/>
    </row>
    <row r="304" customFormat="false" ht="15" hidden="false" customHeight="false" outlineLevel="0" collapsed="false">
      <c r="A304" s="20"/>
      <c r="B304" s="20"/>
      <c r="C304" s="30" t="str">
        <f aca="false">IF($A304="","",IFERROR(INDEX(بند_الاسم,MATCH($B304,قائمة_البنود,0)),"⚠ بند غير موجود"))</f>
        <v/>
      </c>
      <c r="D304" s="22"/>
      <c r="E304" s="31"/>
      <c r="F304" s="21"/>
      <c r="G304" s="32"/>
      <c r="H304" s="25" t="str">
        <f aca="false">IF($A304="","",IFERROR(INDEX(بند_سعر_الوحدة,MATCH($B304,قائمة_البنود,0)),0))</f>
        <v/>
      </c>
      <c r="I304" s="25" t="str">
        <f aca="false">IF($A304="","",H304*(1+نسبة_الضريبة))</f>
        <v/>
      </c>
      <c r="J304" s="33" t="str">
        <f aca="false">IF($A304="","",_xlfn.MINIFS('سجل المراجعات'!$E$5:$E$1504,'سجل المراجعات'!$A$5:$A$1504,$A304,'سجل المراجعات'!$D$5:$D$1504,"تسليم"))</f>
        <v/>
      </c>
      <c r="K304" s="33" t="str">
        <f aca="false">IF($A304="","",_xlfn.MAXIFS('سجل المراجعات'!$E$5:$E$1504,'سجل المراجعات'!$A$5:$A$1504,$A304,'سجل المراجعات'!$D$5:$D$1504,"تسليم"))</f>
        <v/>
      </c>
      <c r="L304" s="33" t="str">
        <f aca="false">IF($A304="","",_xlfn.MAXIFS('سجل المراجعات'!$E$5:$E$1504,'سجل المراجعات'!$A$5:$A$1504,$A304,'سجل المراجعات'!$D$5:$D$1504,"رد بملاحظات"))</f>
        <v/>
      </c>
      <c r="M304" s="33" t="str">
        <f aca="false">IF($A304="","",_xlfn.MAXIFS('سجل المراجعات'!$E$5:$E$1504,'سجل المراجعات'!$A$5:$A$1504,$A304,'سجل المراجعات'!$D$5:$D$1504,"قبول"))</f>
        <v/>
      </c>
      <c r="N304" s="26" t="str">
        <f aca="false">IF($A304="","",COUNTIFS('سجل المراجعات'!$A$5:$A$1504,$A304,'سجل المراجعات'!$D$5:$D$1504,"تسليم"))</f>
        <v/>
      </c>
      <c r="O304" s="34" t="str">
        <f aca="false">IF($A304="","",IF(M304&gt;0,"تم القبول",IF(F304="معلق","معلق",IF(AND(L304&gt;0,L304&gt;=K304),"مُعاد بملاحظات",IF(K304&gt;0,"في انتظار القبول",IF(AND(ISNUMBER(E304),E304&lt;تاريخ_الاحتساب),"متأخر",IF(F304="","لم يبدأ",F304)))))))</f>
        <v/>
      </c>
      <c r="P304" s="26" t="str">
        <f aca="false">IF($A304="","",SUMIFS('سجل المراجعات'!$L$5:$L$1504,'سجل المراجعات'!$A$5:$A$1504,$A304))</f>
        <v/>
      </c>
      <c r="Q304" s="26" t="str">
        <f aca="false">IF($A304="","",SUMIFS('سجل المراجعات'!$M$5:$M$1504,'سجل المراجعات'!$A$5:$A$1504,$A304))</f>
        <v/>
      </c>
      <c r="R304" s="26" t="str">
        <f aca="false">IF(OR($A304="",NOT(ISNUMBER(E304))),"",MAX(0,NETWORKDAYS.INTL(E304,IF(J304&gt;0,J304,تاريخ_الاحتساب),رمز_العطلة,أيام_الأجازات)-1))</f>
        <v/>
      </c>
      <c r="S304" s="22"/>
    </row>
    <row r="305" customFormat="false" ht="15" hidden="false" customHeight="false" outlineLevel="0" collapsed="false">
      <c r="A305" s="20"/>
      <c r="B305" s="20"/>
      <c r="C305" s="30" t="str">
        <f aca="false">IF($A305="","",IFERROR(INDEX(بند_الاسم,MATCH($B305,قائمة_البنود,0)),"⚠ بند غير موجود"))</f>
        <v/>
      </c>
      <c r="D305" s="22"/>
      <c r="E305" s="31"/>
      <c r="F305" s="21"/>
      <c r="G305" s="32"/>
      <c r="H305" s="25" t="str">
        <f aca="false">IF($A305="","",IFERROR(INDEX(بند_سعر_الوحدة,MATCH($B305,قائمة_البنود,0)),0))</f>
        <v/>
      </c>
      <c r="I305" s="25" t="str">
        <f aca="false">IF($A305="","",H305*(1+نسبة_الضريبة))</f>
        <v/>
      </c>
      <c r="J305" s="33" t="str">
        <f aca="false">IF($A305="","",_xlfn.MINIFS('سجل المراجعات'!$E$5:$E$1504,'سجل المراجعات'!$A$5:$A$1504,$A305,'سجل المراجعات'!$D$5:$D$1504,"تسليم"))</f>
        <v/>
      </c>
      <c r="K305" s="33" t="str">
        <f aca="false">IF($A305="","",_xlfn.MAXIFS('سجل المراجعات'!$E$5:$E$1504,'سجل المراجعات'!$A$5:$A$1504,$A305,'سجل المراجعات'!$D$5:$D$1504,"تسليم"))</f>
        <v/>
      </c>
      <c r="L305" s="33" t="str">
        <f aca="false">IF($A305="","",_xlfn.MAXIFS('سجل المراجعات'!$E$5:$E$1504,'سجل المراجعات'!$A$5:$A$1504,$A305,'سجل المراجعات'!$D$5:$D$1504,"رد بملاحظات"))</f>
        <v/>
      </c>
      <c r="M305" s="33" t="str">
        <f aca="false">IF($A305="","",_xlfn.MAXIFS('سجل المراجعات'!$E$5:$E$1504,'سجل المراجعات'!$A$5:$A$1504,$A305,'سجل المراجعات'!$D$5:$D$1504,"قبول"))</f>
        <v/>
      </c>
      <c r="N305" s="26" t="str">
        <f aca="false">IF($A305="","",COUNTIFS('سجل المراجعات'!$A$5:$A$1504,$A305,'سجل المراجعات'!$D$5:$D$1504,"تسليم"))</f>
        <v/>
      </c>
      <c r="O305" s="34" t="str">
        <f aca="false">IF($A305="","",IF(M305&gt;0,"تم القبول",IF(F305="معلق","معلق",IF(AND(L305&gt;0,L305&gt;=K305),"مُعاد بملاحظات",IF(K305&gt;0,"في انتظار القبول",IF(AND(ISNUMBER(E305),E305&lt;تاريخ_الاحتساب),"متأخر",IF(F305="","لم يبدأ",F305)))))))</f>
        <v/>
      </c>
      <c r="P305" s="26" t="str">
        <f aca="false">IF($A305="","",SUMIFS('سجل المراجعات'!$L$5:$L$1504,'سجل المراجعات'!$A$5:$A$1504,$A305))</f>
        <v/>
      </c>
      <c r="Q305" s="26" t="str">
        <f aca="false">IF($A305="","",SUMIFS('سجل المراجعات'!$M$5:$M$1504,'سجل المراجعات'!$A$5:$A$1504,$A305))</f>
        <v/>
      </c>
      <c r="R305" s="26" t="str">
        <f aca="false">IF(OR($A305="",NOT(ISNUMBER(E305))),"",MAX(0,NETWORKDAYS.INTL(E305,IF(J305&gt;0,J305,تاريخ_الاحتساب),رمز_العطلة,أيام_الأجازات)-1))</f>
        <v/>
      </c>
      <c r="S305" s="22"/>
    </row>
    <row r="306" customFormat="false" ht="15" hidden="false" customHeight="false" outlineLevel="0" collapsed="false">
      <c r="A306" s="20"/>
      <c r="B306" s="20"/>
      <c r="C306" s="30" t="str">
        <f aca="false">IF($A306="","",IFERROR(INDEX(بند_الاسم,MATCH($B306,قائمة_البنود,0)),"⚠ بند غير موجود"))</f>
        <v/>
      </c>
      <c r="D306" s="22"/>
      <c r="E306" s="31"/>
      <c r="F306" s="21"/>
      <c r="G306" s="32"/>
      <c r="H306" s="25" t="str">
        <f aca="false">IF($A306="","",IFERROR(INDEX(بند_سعر_الوحدة,MATCH($B306,قائمة_البنود,0)),0))</f>
        <v/>
      </c>
      <c r="I306" s="25" t="str">
        <f aca="false">IF($A306="","",H306*(1+نسبة_الضريبة))</f>
        <v/>
      </c>
      <c r="J306" s="33" t="str">
        <f aca="false">IF($A306="","",_xlfn.MINIFS('سجل المراجعات'!$E$5:$E$1504,'سجل المراجعات'!$A$5:$A$1504,$A306,'سجل المراجعات'!$D$5:$D$1504,"تسليم"))</f>
        <v/>
      </c>
      <c r="K306" s="33" t="str">
        <f aca="false">IF($A306="","",_xlfn.MAXIFS('سجل المراجعات'!$E$5:$E$1504,'سجل المراجعات'!$A$5:$A$1504,$A306,'سجل المراجعات'!$D$5:$D$1504,"تسليم"))</f>
        <v/>
      </c>
      <c r="L306" s="33" t="str">
        <f aca="false">IF($A306="","",_xlfn.MAXIFS('سجل المراجعات'!$E$5:$E$1504,'سجل المراجعات'!$A$5:$A$1504,$A306,'سجل المراجعات'!$D$5:$D$1504,"رد بملاحظات"))</f>
        <v/>
      </c>
      <c r="M306" s="33" t="str">
        <f aca="false">IF($A306="","",_xlfn.MAXIFS('سجل المراجعات'!$E$5:$E$1504,'سجل المراجعات'!$A$5:$A$1504,$A306,'سجل المراجعات'!$D$5:$D$1504,"قبول"))</f>
        <v/>
      </c>
      <c r="N306" s="26" t="str">
        <f aca="false">IF($A306="","",COUNTIFS('سجل المراجعات'!$A$5:$A$1504,$A306,'سجل المراجعات'!$D$5:$D$1504,"تسليم"))</f>
        <v/>
      </c>
      <c r="O306" s="34" t="str">
        <f aca="false">IF($A306="","",IF(M306&gt;0,"تم القبول",IF(F306="معلق","معلق",IF(AND(L306&gt;0,L306&gt;=K306),"مُعاد بملاحظات",IF(K306&gt;0,"في انتظار القبول",IF(AND(ISNUMBER(E306),E306&lt;تاريخ_الاحتساب),"متأخر",IF(F306="","لم يبدأ",F306)))))))</f>
        <v/>
      </c>
      <c r="P306" s="26" t="str">
        <f aca="false">IF($A306="","",SUMIFS('سجل المراجعات'!$L$5:$L$1504,'سجل المراجعات'!$A$5:$A$1504,$A306))</f>
        <v/>
      </c>
      <c r="Q306" s="26" t="str">
        <f aca="false">IF($A306="","",SUMIFS('سجل المراجعات'!$M$5:$M$1504,'سجل المراجعات'!$A$5:$A$1504,$A306))</f>
        <v/>
      </c>
      <c r="R306" s="26" t="str">
        <f aca="false">IF(OR($A306="",NOT(ISNUMBER(E306))),"",MAX(0,NETWORKDAYS.INTL(E306,IF(J306&gt;0,J306,تاريخ_الاحتساب),رمز_العطلة,أيام_الأجازات)-1))</f>
        <v/>
      </c>
      <c r="S306" s="22"/>
    </row>
    <row r="307" customFormat="false" ht="15" hidden="false" customHeight="false" outlineLevel="0" collapsed="false">
      <c r="A307" s="20"/>
      <c r="B307" s="20"/>
      <c r="C307" s="30" t="str">
        <f aca="false">IF($A307="","",IFERROR(INDEX(بند_الاسم,MATCH($B307,قائمة_البنود,0)),"⚠ بند غير موجود"))</f>
        <v/>
      </c>
      <c r="D307" s="22"/>
      <c r="E307" s="31"/>
      <c r="F307" s="21"/>
      <c r="G307" s="32"/>
      <c r="H307" s="25" t="str">
        <f aca="false">IF($A307="","",IFERROR(INDEX(بند_سعر_الوحدة,MATCH($B307,قائمة_البنود,0)),0))</f>
        <v/>
      </c>
      <c r="I307" s="25" t="str">
        <f aca="false">IF($A307="","",H307*(1+نسبة_الضريبة))</f>
        <v/>
      </c>
      <c r="J307" s="33" t="str">
        <f aca="false">IF($A307="","",_xlfn.MINIFS('سجل المراجعات'!$E$5:$E$1504,'سجل المراجعات'!$A$5:$A$1504,$A307,'سجل المراجعات'!$D$5:$D$1504,"تسليم"))</f>
        <v/>
      </c>
      <c r="K307" s="33" t="str">
        <f aca="false">IF($A307="","",_xlfn.MAXIFS('سجل المراجعات'!$E$5:$E$1504,'سجل المراجعات'!$A$5:$A$1504,$A307,'سجل المراجعات'!$D$5:$D$1504,"تسليم"))</f>
        <v/>
      </c>
      <c r="L307" s="33" t="str">
        <f aca="false">IF($A307="","",_xlfn.MAXIFS('سجل المراجعات'!$E$5:$E$1504,'سجل المراجعات'!$A$5:$A$1504,$A307,'سجل المراجعات'!$D$5:$D$1504,"رد بملاحظات"))</f>
        <v/>
      </c>
      <c r="M307" s="33" t="str">
        <f aca="false">IF($A307="","",_xlfn.MAXIFS('سجل المراجعات'!$E$5:$E$1504,'سجل المراجعات'!$A$5:$A$1504,$A307,'سجل المراجعات'!$D$5:$D$1504,"قبول"))</f>
        <v/>
      </c>
      <c r="N307" s="26" t="str">
        <f aca="false">IF($A307="","",COUNTIFS('سجل المراجعات'!$A$5:$A$1504,$A307,'سجل المراجعات'!$D$5:$D$1504,"تسليم"))</f>
        <v/>
      </c>
      <c r="O307" s="34" t="str">
        <f aca="false">IF($A307="","",IF(M307&gt;0,"تم القبول",IF(F307="معلق","معلق",IF(AND(L307&gt;0,L307&gt;=K307),"مُعاد بملاحظات",IF(K307&gt;0,"في انتظار القبول",IF(AND(ISNUMBER(E307),E307&lt;تاريخ_الاحتساب),"متأخر",IF(F307="","لم يبدأ",F307)))))))</f>
        <v/>
      </c>
      <c r="P307" s="26" t="str">
        <f aca="false">IF($A307="","",SUMIFS('سجل المراجعات'!$L$5:$L$1504,'سجل المراجعات'!$A$5:$A$1504,$A307))</f>
        <v/>
      </c>
      <c r="Q307" s="26" t="str">
        <f aca="false">IF($A307="","",SUMIFS('سجل المراجعات'!$M$5:$M$1504,'سجل المراجعات'!$A$5:$A$1504,$A307))</f>
        <v/>
      </c>
      <c r="R307" s="26" t="str">
        <f aca="false">IF(OR($A307="",NOT(ISNUMBER(E307))),"",MAX(0,NETWORKDAYS.INTL(E307,IF(J307&gt;0,J307,تاريخ_الاحتساب),رمز_العطلة,أيام_الأجازات)-1))</f>
        <v/>
      </c>
      <c r="S307" s="22"/>
    </row>
    <row r="308" customFormat="false" ht="15" hidden="false" customHeight="false" outlineLevel="0" collapsed="false">
      <c r="A308" s="20"/>
      <c r="B308" s="20"/>
      <c r="C308" s="30" t="str">
        <f aca="false">IF($A308="","",IFERROR(INDEX(بند_الاسم,MATCH($B308,قائمة_البنود,0)),"⚠ بند غير موجود"))</f>
        <v/>
      </c>
      <c r="D308" s="22"/>
      <c r="E308" s="31"/>
      <c r="F308" s="21"/>
      <c r="G308" s="32"/>
      <c r="H308" s="25" t="str">
        <f aca="false">IF($A308="","",IFERROR(INDEX(بند_سعر_الوحدة,MATCH($B308,قائمة_البنود,0)),0))</f>
        <v/>
      </c>
      <c r="I308" s="25" t="str">
        <f aca="false">IF($A308="","",H308*(1+نسبة_الضريبة))</f>
        <v/>
      </c>
      <c r="J308" s="33" t="str">
        <f aca="false">IF($A308="","",_xlfn.MINIFS('سجل المراجعات'!$E$5:$E$1504,'سجل المراجعات'!$A$5:$A$1504,$A308,'سجل المراجعات'!$D$5:$D$1504,"تسليم"))</f>
        <v/>
      </c>
      <c r="K308" s="33" t="str">
        <f aca="false">IF($A308="","",_xlfn.MAXIFS('سجل المراجعات'!$E$5:$E$1504,'سجل المراجعات'!$A$5:$A$1504,$A308,'سجل المراجعات'!$D$5:$D$1504,"تسليم"))</f>
        <v/>
      </c>
      <c r="L308" s="33" t="str">
        <f aca="false">IF($A308="","",_xlfn.MAXIFS('سجل المراجعات'!$E$5:$E$1504,'سجل المراجعات'!$A$5:$A$1504,$A308,'سجل المراجعات'!$D$5:$D$1504,"رد بملاحظات"))</f>
        <v/>
      </c>
      <c r="M308" s="33" t="str">
        <f aca="false">IF($A308="","",_xlfn.MAXIFS('سجل المراجعات'!$E$5:$E$1504,'سجل المراجعات'!$A$5:$A$1504,$A308,'سجل المراجعات'!$D$5:$D$1504,"قبول"))</f>
        <v/>
      </c>
      <c r="N308" s="26" t="str">
        <f aca="false">IF($A308="","",COUNTIFS('سجل المراجعات'!$A$5:$A$1504,$A308,'سجل المراجعات'!$D$5:$D$1504,"تسليم"))</f>
        <v/>
      </c>
      <c r="O308" s="34" t="str">
        <f aca="false">IF($A308="","",IF(M308&gt;0,"تم القبول",IF(F308="معلق","معلق",IF(AND(L308&gt;0,L308&gt;=K308),"مُعاد بملاحظات",IF(K308&gt;0,"في انتظار القبول",IF(AND(ISNUMBER(E308),E308&lt;تاريخ_الاحتساب),"متأخر",IF(F308="","لم يبدأ",F308)))))))</f>
        <v/>
      </c>
      <c r="P308" s="26" t="str">
        <f aca="false">IF($A308="","",SUMIFS('سجل المراجعات'!$L$5:$L$1504,'سجل المراجعات'!$A$5:$A$1504,$A308))</f>
        <v/>
      </c>
      <c r="Q308" s="26" t="str">
        <f aca="false">IF($A308="","",SUMIFS('سجل المراجعات'!$M$5:$M$1504,'سجل المراجعات'!$A$5:$A$1504,$A308))</f>
        <v/>
      </c>
      <c r="R308" s="26" t="str">
        <f aca="false">IF(OR($A308="",NOT(ISNUMBER(E308))),"",MAX(0,NETWORKDAYS.INTL(E308,IF(J308&gt;0,J308,تاريخ_الاحتساب),رمز_العطلة,أيام_الأجازات)-1))</f>
        <v/>
      </c>
      <c r="S308" s="22"/>
    </row>
    <row r="309" customFormat="false" ht="15" hidden="false" customHeight="false" outlineLevel="0" collapsed="false">
      <c r="A309" s="20"/>
      <c r="B309" s="20"/>
      <c r="C309" s="30" t="str">
        <f aca="false">IF($A309="","",IFERROR(INDEX(بند_الاسم,MATCH($B309,قائمة_البنود,0)),"⚠ بند غير موجود"))</f>
        <v/>
      </c>
      <c r="D309" s="22"/>
      <c r="E309" s="31"/>
      <c r="F309" s="21"/>
      <c r="G309" s="32"/>
      <c r="H309" s="25" t="str">
        <f aca="false">IF($A309="","",IFERROR(INDEX(بند_سعر_الوحدة,MATCH($B309,قائمة_البنود,0)),0))</f>
        <v/>
      </c>
      <c r="I309" s="25" t="str">
        <f aca="false">IF($A309="","",H309*(1+نسبة_الضريبة))</f>
        <v/>
      </c>
      <c r="J309" s="33" t="str">
        <f aca="false">IF($A309="","",_xlfn.MINIFS('سجل المراجعات'!$E$5:$E$1504,'سجل المراجعات'!$A$5:$A$1504,$A309,'سجل المراجعات'!$D$5:$D$1504,"تسليم"))</f>
        <v/>
      </c>
      <c r="K309" s="33" t="str">
        <f aca="false">IF($A309="","",_xlfn.MAXIFS('سجل المراجعات'!$E$5:$E$1504,'سجل المراجعات'!$A$5:$A$1504,$A309,'سجل المراجعات'!$D$5:$D$1504,"تسليم"))</f>
        <v/>
      </c>
      <c r="L309" s="33" t="str">
        <f aca="false">IF($A309="","",_xlfn.MAXIFS('سجل المراجعات'!$E$5:$E$1504,'سجل المراجعات'!$A$5:$A$1504,$A309,'سجل المراجعات'!$D$5:$D$1504,"رد بملاحظات"))</f>
        <v/>
      </c>
      <c r="M309" s="33" t="str">
        <f aca="false">IF($A309="","",_xlfn.MAXIFS('سجل المراجعات'!$E$5:$E$1504,'سجل المراجعات'!$A$5:$A$1504,$A309,'سجل المراجعات'!$D$5:$D$1504,"قبول"))</f>
        <v/>
      </c>
      <c r="N309" s="26" t="str">
        <f aca="false">IF($A309="","",COUNTIFS('سجل المراجعات'!$A$5:$A$1504,$A309,'سجل المراجعات'!$D$5:$D$1504,"تسليم"))</f>
        <v/>
      </c>
      <c r="O309" s="34" t="str">
        <f aca="false">IF($A309="","",IF(M309&gt;0,"تم القبول",IF(F309="معلق","معلق",IF(AND(L309&gt;0,L309&gt;=K309),"مُعاد بملاحظات",IF(K309&gt;0,"في انتظار القبول",IF(AND(ISNUMBER(E309),E309&lt;تاريخ_الاحتساب),"متأخر",IF(F309="","لم يبدأ",F309)))))))</f>
        <v/>
      </c>
      <c r="P309" s="26" t="str">
        <f aca="false">IF($A309="","",SUMIFS('سجل المراجعات'!$L$5:$L$1504,'سجل المراجعات'!$A$5:$A$1504,$A309))</f>
        <v/>
      </c>
      <c r="Q309" s="26" t="str">
        <f aca="false">IF($A309="","",SUMIFS('سجل المراجعات'!$M$5:$M$1504,'سجل المراجعات'!$A$5:$A$1504,$A309))</f>
        <v/>
      </c>
      <c r="R309" s="26" t="str">
        <f aca="false">IF(OR($A309="",NOT(ISNUMBER(E309))),"",MAX(0,NETWORKDAYS.INTL(E309,IF(J309&gt;0,J309,تاريخ_الاحتساب),رمز_العطلة,أيام_الأجازات)-1))</f>
        <v/>
      </c>
      <c r="S309" s="22"/>
    </row>
    <row r="310" customFormat="false" ht="15" hidden="false" customHeight="false" outlineLevel="0" collapsed="false">
      <c r="A310" s="20"/>
      <c r="B310" s="20"/>
      <c r="C310" s="30" t="str">
        <f aca="false">IF($A310="","",IFERROR(INDEX(بند_الاسم,MATCH($B310,قائمة_البنود,0)),"⚠ بند غير موجود"))</f>
        <v/>
      </c>
      <c r="D310" s="22"/>
      <c r="E310" s="31"/>
      <c r="F310" s="21"/>
      <c r="G310" s="32"/>
      <c r="H310" s="25" t="str">
        <f aca="false">IF($A310="","",IFERROR(INDEX(بند_سعر_الوحدة,MATCH($B310,قائمة_البنود,0)),0))</f>
        <v/>
      </c>
      <c r="I310" s="25" t="str">
        <f aca="false">IF($A310="","",H310*(1+نسبة_الضريبة))</f>
        <v/>
      </c>
      <c r="J310" s="33" t="str">
        <f aca="false">IF($A310="","",_xlfn.MINIFS('سجل المراجعات'!$E$5:$E$1504,'سجل المراجعات'!$A$5:$A$1504,$A310,'سجل المراجعات'!$D$5:$D$1504,"تسليم"))</f>
        <v/>
      </c>
      <c r="K310" s="33" t="str">
        <f aca="false">IF($A310="","",_xlfn.MAXIFS('سجل المراجعات'!$E$5:$E$1504,'سجل المراجعات'!$A$5:$A$1504,$A310,'سجل المراجعات'!$D$5:$D$1504,"تسليم"))</f>
        <v/>
      </c>
      <c r="L310" s="33" t="str">
        <f aca="false">IF($A310="","",_xlfn.MAXIFS('سجل المراجعات'!$E$5:$E$1504,'سجل المراجعات'!$A$5:$A$1504,$A310,'سجل المراجعات'!$D$5:$D$1504,"رد بملاحظات"))</f>
        <v/>
      </c>
      <c r="M310" s="33" t="str">
        <f aca="false">IF($A310="","",_xlfn.MAXIFS('سجل المراجعات'!$E$5:$E$1504,'سجل المراجعات'!$A$5:$A$1504,$A310,'سجل المراجعات'!$D$5:$D$1504,"قبول"))</f>
        <v/>
      </c>
      <c r="N310" s="26" t="str">
        <f aca="false">IF($A310="","",COUNTIFS('سجل المراجعات'!$A$5:$A$1504,$A310,'سجل المراجعات'!$D$5:$D$1504,"تسليم"))</f>
        <v/>
      </c>
      <c r="O310" s="34" t="str">
        <f aca="false">IF($A310="","",IF(M310&gt;0,"تم القبول",IF(F310="معلق","معلق",IF(AND(L310&gt;0,L310&gt;=K310),"مُعاد بملاحظات",IF(K310&gt;0,"في انتظار القبول",IF(AND(ISNUMBER(E310),E310&lt;تاريخ_الاحتساب),"متأخر",IF(F310="","لم يبدأ",F310)))))))</f>
        <v/>
      </c>
      <c r="P310" s="26" t="str">
        <f aca="false">IF($A310="","",SUMIFS('سجل المراجعات'!$L$5:$L$1504,'سجل المراجعات'!$A$5:$A$1504,$A310))</f>
        <v/>
      </c>
      <c r="Q310" s="26" t="str">
        <f aca="false">IF($A310="","",SUMIFS('سجل المراجعات'!$M$5:$M$1504,'سجل المراجعات'!$A$5:$A$1504,$A310))</f>
        <v/>
      </c>
      <c r="R310" s="26" t="str">
        <f aca="false">IF(OR($A310="",NOT(ISNUMBER(E310))),"",MAX(0,NETWORKDAYS.INTL(E310,IF(J310&gt;0,J310,تاريخ_الاحتساب),رمز_العطلة,أيام_الأجازات)-1))</f>
        <v/>
      </c>
      <c r="S310" s="22"/>
    </row>
    <row r="311" customFormat="false" ht="15" hidden="false" customHeight="false" outlineLevel="0" collapsed="false">
      <c r="A311" s="20"/>
      <c r="B311" s="20"/>
      <c r="C311" s="30" t="str">
        <f aca="false">IF($A311="","",IFERROR(INDEX(بند_الاسم,MATCH($B311,قائمة_البنود,0)),"⚠ بند غير موجود"))</f>
        <v/>
      </c>
      <c r="D311" s="22"/>
      <c r="E311" s="31"/>
      <c r="F311" s="21"/>
      <c r="G311" s="32"/>
      <c r="H311" s="25" t="str">
        <f aca="false">IF($A311="","",IFERROR(INDEX(بند_سعر_الوحدة,MATCH($B311,قائمة_البنود,0)),0))</f>
        <v/>
      </c>
      <c r="I311" s="25" t="str">
        <f aca="false">IF($A311="","",H311*(1+نسبة_الضريبة))</f>
        <v/>
      </c>
      <c r="J311" s="33" t="str">
        <f aca="false">IF($A311="","",_xlfn.MINIFS('سجل المراجعات'!$E$5:$E$1504,'سجل المراجعات'!$A$5:$A$1504,$A311,'سجل المراجعات'!$D$5:$D$1504,"تسليم"))</f>
        <v/>
      </c>
      <c r="K311" s="33" t="str">
        <f aca="false">IF($A311="","",_xlfn.MAXIFS('سجل المراجعات'!$E$5:$E$1504,'سجل المراجعات'!$A$5:$A$1504,$A311,'سجل المراجعات'!$D$5:$D$1504,"تسليم"))</f>
        <v/>
      </c>
      <c r="L311" s="33" t="str">
        <f aca="false">IF($A311="","",_xlfn.MAXIFS('سجل المراجعات'!$E$5:$E$1504,'سجل المراجعات'!$A$5:$A$1504,$A311,'سجل المراجعات'!$D$5:$D$1504,"رد بملاحظات"))</f>
        <v/>
      </c>
      <c r="M311" s="33" t="str">
        <f aca="false">IF($A311="","",_xlfn.MAXIFS('سجل المراجعات'!$E$5:$E$1504,'سجل المراجعات'!$A$5:$A$1504,$A311,'سجل المراجعات'!$D$5:$D$1504,"قبول"))</f>
        <v/>
      </c>
      <c r="N311" s="26" t="str">
        <f aca="false">IF($A311="","",COUNTIFS('سجل المراجعات'!$A$5:$A$1504,$A311,'سجل المراجعات'!$D$5:$D$1504,"تسليم"))</f>
        <v/>
      </c>
      <c r="O311" s="34" t="str">
        <f aca="false">IF($A311="","",IF(M311&gt;0,"تم القبول",IF(F311="معلق","معلق",IF(AND(L311&gt;0,L311&gt;=K311),"مُعاد بملاحظات",IF(K311&gt;0,"في انتظار القبول",IF(AND(ISNUMBER(E311),E311&lt;تاريخ_الاحتساب),"متأخر",IF(F311="","لم يبدأ",F311)))))))</f>
        <v/>
      </c>
      <c r="P311" s="26" t="str">
        <f aca="false">IF($A311="","",SUMIFS('سجل المراجعات'!$L$5:$L$1504,'سجل المراجعات'!$A$5:$A$1504,$A311))</f>
        <v/>
      </c>
      <c r="Q311" s="26" t="str">
        <f aca="false">IF($A311="","",SUMIFS('سجل المراجعات'!$M$5:$M$1504,'سجل المراجعات'!$A$5:$A$1504,$A311))</f>
        <v/>
      </c>
      <c r="R311" s="26" t="str">
        <f aca="false">IF(OR($A311="",NOT(ISNUMBER(E311))),"",MAX(0,NETWORKDAYS.INTL(E311,IF(J311&gt;0,J311,تاريخ_الاحتساب),رمز_العطلة,أيام_الأجازات)-1))</f>
        <v/>
      </c>
      <c r="S311" s="22"/>
    </row>
    <row r="312" customFormat="false" ht="15" hidden="false" customHeight="false" outlineLevel="0" collapsed="false">
      <c r="A312" s="20"/>
      <c r="B312" s="20"/>
      <c r="C312" s="30" t="str">
        <f aca="false">IF($A312="","",IFERROR(INDEX(بند_الاسم,MATCH($B312,قائمة_البنود,0)),"⚠ بند غير موجود"))</f>
        <v/>
      </c>
      <c r="D312" s="22"/>
      <c r="E312" s="31"/>
      <c r="F312" s="21"/>
      <c r="G312" s="32"/>
      <c r="H312" s="25" t="str">
        <f aca="false">IF($A312="","",IFERROR(INDEX(بند_سعر_الوحدة,MATCH($B312,قائمة_البنود,0)),0))</f>
        <v/>
      </c>
      <c r="I312" s="25" t="str">
        <f aca="false">IF($A312="","",H312*(1+نسبة_الضريبة))</f>
        <v/>
      </c>
      <c r="J312" s="33" t="str">
        <f aca="false">IF($A312="","",_xlfn.MINIFS('سجل المراجعات'!$E$5:$E$1504,'سجل المراجعات'!$A$5:$A$1504,$A312,'سجل المراجعات'!$D$5:$D$1504,"تسليم"))</f>
        <v/>
      </c>
      <c r="K312" s="33" t="str">
        <f aca="false">IF($A312="","",_xlfn.MAXIFS('سجل المراجعات'!$E$5:$E$1504,'سجل المراجعات'!$A$5:$A$1504,$A312,'سجل المراجعات'!$D$5:$D$1504,"تسليم"))</f>
        <v/>
      </c>
      <c r="L312" s="33" t="str">
        <f aca="false">IF($A312="","",_xlfn.MAXIFS('سجل المراجعات'!$E$5:$E$1504,'سجل المراجعات'!$A$5:$A$1504,$A312,'سجل المراجعات'!$D$5:$D$1504,"رد بملاحظات"))</f>
        <v/>
      </c>
      <c r="M312" s="33" t="str">
        <f aca="false">IF($A312="","",_xlfn.MAXIFS('سجل المراجعات'!$E$5:$E$1504,'سجل المراجعات'!$A$5:$A$1504,$A312,'سجل المراجعات'!$D$5:$D$1504,"قبول"))</f>
        <v/>
      </c>
      <c r="N312" s="26" t="str">
        <f aca="false">IF($A312="","",COUNTIFS('سجل المراجعات'!$A$5:$A$1504,$A312,'سجل المراجعات'!$D$5:$D$1504,"تسليم"))</f>
        <v/>
      </c>
      <c r="O312" s="34" t="str">
        <f aca="false">IF($A312="","",IF(M312&gt;0,"تم القبول",IF(F312="معلق","معلق",IF(AND(L312&gt;0,L312&gt;=K312),"مُعاد بملاحظات",IF(K312&gt;0,"في انتظار القبول",IF(AND(ISNUMBER(E312),E312&lt;تاريخ_الاحتساب),"متأخر",IF(F312="","لم يبدأ",F312)))))))</f>
        <v/>
      </c>
      <c r="P312" s="26" t="str">
        <f aca="false">IF($A312="","",SUMIFS('سجل المراجعات'!$L$5:$L$1504,'سجل المراجعات'!$A$5:$A$1504,$A312))</f>
        <v/>
      </c>
      <c r="Q312" s="26" t="str">
        <f aca="false">IF($A312="","",SUMIFS('سجل المراجعات'!$M$5:$M$1504,'سجل المراجعات'!$A$5:$A$1504,$A312))</f>
        <v/>
      </c>
      <c r="R312" s="26" t="str">
        <f aca="false">IF(OR($A312="",NOT(ISNUMBER(E312))),"",MAX(0,NETWORKDAYS.INTL(E312,IF(J312&gt;0,J312,تاريخ_الاحتساب),رمز_العطلة,أيام_الأجازات)-1))</f>
        <v/>
      </c>
      <c r="S312" s="22"/>
    </row>
    <row r="313" customFormat="false" ht="15" hidden="false" customHeight="false" outlineLevel="0" collapsed="false">
      <c r="A313" s="20"/>
      <c r="B313" s="20"/>
      <c r="C313" s="30" t="str">
        <f aca="false">IF($A313="","",IFERROR(INDEX(بند_الاسم,MATCH($B313,قائمة_البنود,0)),"⚠ بند غير موجود"))</f>
        <v/>
      </c>
      <c r="D313" s="22"/>
      <c r="E313" s="31"/>
      <c r="F313" s="21"/>
      <c r="G313" s="32"/>
      <c r="H313" s="25" t="str">
        <f aca="false">IF($A313="","",IFERROR(INDEX(بند_سعر_الوحدة,MATCH($B313,قائمة_البنود,0)),0))</f>
        <v/>
      </c>
      <c r="I313" s="25" t="str">
        <f aca="false">IF($A313="","",H313*(1+نسبة_الضريبة))</f>
        <v/>
      </c>
      <c r="J313" s="33" t="str">
        <f aca="false">IF($A313="","",_xlfn.MINIFS('سجل المراجعات'!$E$5:$E$1504,'سجل المراجعات'!$A$5:$A$1504,$A313,'سجل المراجعات'!$D$5:$D$1504,"تسليم"))</f>
        <v/>
      </c>
      <c r="K313" s="33" t="str">
        <f aca="false">IF($A313="","",_xlfn.MAXIFS('سجل المراجعات'!$E$5:$E$1504,'سجل المراجعات'!$A$5:$A$1504,$A313,'سجل المراجعات'!$D$5:$D$1504,"تسليم"))</f>
        <v/>
      </c>
      <c r="L313" s="33" t="str">
        <f aca="false">IF($A313="","",_xlfn.MAXIFS('سجل المراجعات'!$E$5:$E$1504,'سجل المراجعات'!$A$5:$A$1504,$A313,'سجل المراجعات'!$D$5:$D$1504,"رد بملاحظات"))</f>
        <v/>
      </c>
      <c r="M313" s="33" t="str">
        <f aca="false">IF($A313="","",_xlfn.MAXIFS('سجل المراجعات'!$E$5:$E$1504,'سجل المراجعات'!$A$5:$A$1504,$A313,'سجل المراجعات'!$D$5:$D$1504,"قبول"))</f>
        <v/>
      </c>
      <c r="N313" s="26" t="str">
        <f aca="false">IF($A313="","",COUNTIFS('سجل المراجعات'!$A$5:$A$1504,$A313,'سجل المراجعات'!$D$5:$D$1504,"تسليم"))</f>
        <v/>
      </c>
      <c r="O313" s="34" t="str">
        <f aca="false">IF($A313="","",IF(M313&gt;0,"تم القبول",IF(F313="معلق","معلق",IF(AND(L313&gt;0,L313&gt;=K313),"مُعاد بملاحظات",IF(K313&gt;0,"في انتظار القبول",IF(AND(ISNUMBER(E313),E313&lt;تاريخ_الاحتساب),"متأخر",IF(F313="","لم يبدأ",F313)))))))</f>
        <v/>
      </c>
      <c r="P313" s="26" t="str">
        <f aca="false">IF($A313="","",SUMIFS('سجل المراجعات'!$L$5:$L$1504,'سجل المراجعات'!$A$5:$A$1504,$A313))</f>
        <v/>
      </c>
      <c r="Q313" s="26" t="str">
        <f aca="false">IF($A313="","",SUMIFS('سجل المراجعات'!$M$5:$M$1504,'سجل المراجعات'!$A$5:$A$1504,$A313))</f>
        <v/>
      </c>
      <c r="R313" s="26" t="str">
        <f aca="false">IF(OR($A313="",NOT(ISNUMBER(E313))),"",MAX(0,NETWORKDAYS.INTL(E313,IF(J313&gt;0,J313,تاريخ_الاحتساب),رمز_العطلة,أيام_الأجازات)-1))</f>
        <v/>
      </c>
      <c r="S313" s="22"/>
    </row>
    <row r="314" customFormat="false" ht="15" hidden="false" customHeight="false" outlineLevel="0" collapsed="false">
      <c r="A314" s="20"/>
      <c r="B314" s="20"/>
      <c r="C314" s="30" t="str">
        <f aca="false">IF($A314="","",IFERROR(INDEX(بند_الاسم,MATCH($B314,قائمة_البنود,0)),"⚠ بند غير موجود"))</f>
        <v/>
      </c>
      <c r="D314" s="22"/>
      <c r="E314" s="31"/>
      <c r="F314" s="21"/>
      <c r="G314" s="32"/>
      <c r="H314" s="25" t="str">
        <f aca="false">IF($A314="","",IFERROR(INDEX(بند_سعر_الوحدة,MATCH($B314,قائمة_البنود,0)),0))</f>
        <v/>
      </c>
      <c r="I314" s="25" t="str">
        <f aca="false">IF($A314="","",H314*(1+نسبة_الضريبة))</f>
        <v/>
      </c>
      <c r="J314" s="33" t="str">
        <f aca="false">IF($A314="","",_xlfn.MINIFS('سجل المراجعات'!$E$5:$E$1504,'سجل المراجعات'!$A$5:$A$1504,$A314,'سجل المراجعات'!$D$5:$D$1504,"تسليم"))</f>
        <v/>
      </c>
      <c r="K314" s="33" t="str">
        <f aca="false">IF($A314="","",_xlfn.MAXIFS('سجل المراجعات'!$E$5:$E$1504,'سجل المراجعات'!$A$5:$A$1504,$A314,'سجل المراجعات'!$D$5:$D$1504,"تسليم"))</f>
        <v/>
      </c>
      <c r="L314" s="33" t="str">
        <f aca="false">IF($A314="","",_xlfn.MAXIFS('سجل المراجعات'!$E$5:$E$1504,'سجل المراجعات'!$A$5:$A$1504,$A314,'سجل المراجعات'!$D$5:$D$1504,"رد بملاحظات"))</f>
        <v/>
      </c>
      <c r="M314" s="33" t="str">
        <f aca="false">IF($A314="","",_xlfn.MAXIFS('سجل المراجعات'!$E$5:$E$1504,'سجل المراجعات'!$A$5:$A$1504,$A314,'سجل المراجعات'!$D$5:$D$1504,"قبول"))</f>
        <v/>
      </c>
      <c r="N314" s="26" t="str">
        <f aca="false">IF($A314="","",COUNTIFS('سجل المراجعات'!$A$5:$A$1504,$A314,'سجل المراجعات'!$D$5:$D$1504,"تسليم"))</f>
        <v/>
      </c>
      <c r="O314" s="34" t="str">
        <f aca="false">IF($A314="","",IF(M314&gt;0,"تم القبول",IF(F314="معلق","معلق",IF(AND(L314&gt;0,L314&gt;=K314),"مُعاد بملاحظات",IF(K314&gt;0,"في انتظار القبول",IF(AND(ISNUMBER(E314),E314&lt;تاريخ_الاحتساب),"متأخر",IF(F314="","لم يبدأ",F314)))))))</f>
        <v/>
      </c>
      <c r="P314" s="26" t="str">
        <f aca="false">IF($A314="","",SUMIFS('سجل المراجعات'!$L$5:$L$1504,'سجل المراجعات'!$A$5:$A$1504,$A314))</f>
        <v/>
      </c>
      <c r="Q314" s="26" t="str">
        <f aca="false">IF($A314="","",SUMIFS('سجل المراجعات'!$M$5:$M$1504,'سجل المراجعات'!$A$5:$A$1504,$A314))</f>
        <v/>
      </c>
      <c r="R314" s="26" t="str">
        <f aca="false">IF(OR($A314="",NOT(ISNUMBER(E314))),"",MAX(0,NETWORKDAYS.INTL(E314,IF(J314&gt;0,J314,تاريخ_الاحتساب),رمز_العطلة,أيام_الأجازات)-1))</f>
        <v/>
      </c>
      <c r="S314" s="22"/>
    </row>
    <row r="315" customFormat="false" ht="15" hidden="false" customHeight="false" outlineLevel="0" collapsed="false">
      <c r="A315" s="20"/>
      <c r="B315" s="20"/>
      <c r="C315" s="30" t="str">
        <f aca="false">IF($A315="","",IFERROR(INDEX(بند_الاسم,MATCH($B315,قائمة_البنود,0)),"⚠ بند غير موجود"))</f>
        <v/>
      </c>
      <c r="D315" s="22"/>
      <c r="E315" s="31"/>
      <c r="F315" s="21"/>
      <c r="G315" s="32"/>
      <c r="H315" s="25" t="str">
        <f aca="false">IF($A315="","",IFERROR(INDEX(بند_سعر_الوحدة,MATCH($B315,قائمة_البنود,0)),0))</f>
        <v/>
      </c>
      <c r="I315" s="25" t="str">
        <f aca="false">IF($A315="","",H315*(1+نسبة_الضريبة))</f>
        <v/>
      </c>
      <c r="J315" s="33" t="str">
        <f aca="false">IF($A315="","",_xlfn.MINIFS('سجل المراجعات'!$E$5:$E$1504,'سجل المراجعات'!$A$5:$A$1504,$A315,'سجل المراجعات'!$D$5:$D$1504,"تسليم"))</f>
        <v/>
      </c>
      <c r="K315" s="33" t="str">
        <f aca="false">IF($A315="","",_xlfn.MAXIFS('سجل المراجعات'!$E$5:$E$1504,'سجل المراجعات'!$A$5:$A$1504,$A315,'سجل المراجعات'!$D$5:$D$1504,"تسليم"))</f>
        <v/>
      </c>
      <c r="L315" s="33" t="str">
        <f aca="false">IF($A315="","",_xlfn.MAXIFS('سجل المراجعات'!$E$5:$E$1504,'سجل المراجعات'!$A$5:$A$1504,$A315,'سجل المراجعات'!$D$5:$D$1504,"رد بملاحظات"))</f>
        <v/>
      </c>
      <c r="M315" s="33" t="str">
        <f aca="false">IF($A315="","",_xlfn.MAXIFS('سجل المراجعات'!$E$5:$E$1504,'سجل المراجعات'!$A$5:$A$1504,$A315,'سجل المراجعات'!$D$5:$D$1504,"قبول"))</f>
        <v/>
      </c>
      <c r="N315" s="26" t="str">
        <f aca="false">IF($A315="","",COUNTIFS('سجل المراجعات'!$A$5:$A$1504,$A315,'سجل المراجعات'!$D$5:$D$1504,"تسليم"))</f>
        <v/>
      </c>
      <c r="O315" s="34" t="str">
        <f aca="false">IF($A315="","",IF(M315&gt;0,"تم القبول",IF(F315="معلق","معلق",IF(AND(L315&gt;0,L315&gt;=K315),"مُعاد بملاحظات",IF(K315&gt;0,"في انتظار القبول",IF(AND(ISNUMBER(E315),E315&lt;تاريخ_الاحتساب),"متأخر",IF(F315="","لم يبدأ",F315)))))))</f>
        <v/>
      </c>
      <c r="P315" s="26" t="str">
        <f aca="false">IF($A315="","",SUMIFS('سجل المراجعات'!$L$5:$L$1504,'سجل المراجعات'!$A$5:$A$1504,$A315))</f>
        <v/>
      </c>
      <c r="Q315" s="26" t="str">
        <f aca="false">IF($A315="","",SUMIFS('سجل المراجعات'!$M$5:$M$1504,'سجل المراجعات'!$A$5:$A$1504,$A315))</f>
        <v/>
      </c>
      <c r="R315" s="26" t="str">
        <f aca="false">IF(OR($A315="",NOT(ISNUMBER(E315))),"",MAX(0,NETWORKDAYS.INTL(E315,IF(J315&gt;0,J315,تاريخ_الاحتساب),رمز_العطلة,أيام_الأجازات)-1))</f>
        <v/>
      </c>
      <c r="S315" s="22"/>
    </row>
    <row r="316" customFormat="false" ht="15" hidden="false" customHeight="false" outlineLevel="0" collapsed="false">
      <c r="A316" s="20"/>
      <c r="B316" s="20"/>
      <c r="C316" s="30" t="str">
        <f aca="false">IF($A316="","",IFERROR(INDEX(بند_الاسم,MATCH($B316,قائمة_البنود,0)),"⚠ بند غير موجود"))</f>
        <v/>
      </c>
      <c r="D316" s="22"/>
      <c r="E316" s="31"/>
      <c r="F316" s="21"/>
      <c r="G316" s="32"/>
      <c r="H316" s="25" t="str">
        <f aca="false">IF($A316="","",IFERROR(INDEX(بند_سعر_الوحدة,MATCH($B316,قائمة_البنود,0)),0))</f>
        <v/>
      </c>
      <c r="I316" s="25" t="str">
        <f aca="false">IF($A316="","",H316*(1+نسبة_الضريبة))</f>
        <v/>
      </c>
      <c r="J316" s="33" t="str">
        <f aca="false">IF($A316="","",_xlfn.MINIFS('سجل المراجعات'!$E$5:$E$1504,'سجل المراجعات'!$A$5:$A$1504,$A316,'سجل المراجعات'!$D$5:$D$1504,"تسليم"))</f>
        <v/>
      </c>
      <c r="K316" s="33" t="str">
        <f aca="false">IF($A316="","",_xlfn.MAXIFS('سجل المراجعات'!$E$5:$E$1504,'سجل المراجعات'!$A$5:$A$1504,$A316,'سجل المراجعات'!$D$5:$D$1504,"تسليم"))</f>
        <v/>
      </c>
      <c r="L316" s="33" t="str">
        <f aca="false">IF($A316="","",_xlfn.MAXIFS('سجل المراجعات'!$E$5:$E$1504,'سجل المراجعات'!$A$5:$A$1504,$A316,'سجل المراجعات'!$D$5:$D$1504,"رد بملاحظات"))</f>
        <v/>
      </c>
      <c r="M316" s="33" t="str">
        <f aca="false">IF($A316="","",_xlfn.MAXIFS('سجل المراجعات'!$E$5:$E$1504,'سجل المراجعات'!$A$5:$A$1504,$A316,'سجل المراجعات'!$D$5:$D$1504,"قبول"))</f>
        <v/>
      </c>
      <c r="N316" s="26" t="str">
        <f aca="false">IF($A316="","",COUNTIFS('سجل المراجعات'!$A$5:$A$1504,$A316,'سجل المراجعات'!$D$5:$D$1504,"تسليم"))</f>
        <v/>
      </c>
      <c r="O316" s="34" t="str">
        <f aca="false">IF($A316="","",IF(M316&gt;0,"تم القبول",IF(F316="معلق","معلق",IF(AND(L316&gt;0,L316&gt;=K316),"مُعاد بملاحظات",IF(K316&gt;0,"في انتظار القبول",IF(AND(ISNUMBER(E316),E316&lt;تاريخ_الاحتساب),"متأخر",IF(F316="","لم يبدأ",F316)))))))</f>
        <v/>
      </c>
      <c r="P316" s="26" t="str">
        <f aca="false">IF($A316="","",SUMIFS('سجل المراجعات'!$L$5:$L$1504,'سجل المراجعات'!$A$5:$A$1504,$A316))</f>
        <v/>
      </c>
      <c r="Q316" s="26" t="str">
        <f aca="false">IF($A316="","",SUMIFS('سجل المراجعات'!$M$5:$M$1504,'سجل المراجعات'!$A$5:$A$1504,$A316))</f>
        <v/>
      </c>
      <c r="R316" s="26" t="str">
        <f aca="false">IF(OR($A316="",NOT(ISNUMBER(E316))),"",MAX(0,NETWORKDAYS.INTL(E316,IF(J316&gt;0,J316,تاريخ_الاحتساب),رمز_العطلة,أيام_الأجازات)-1))</f>
        <v/>
      </c>
      <c r="S316" s="22"/>
    </row>
    <row r="317" customFormat="false" ht="15" hidden="false" customHeight="false" outlineLevel="0" collapsed="false">
      <c r="A317" s="20"/>
      <c r="B317" s="20"/>
      <c r="C317" s="30" t="str">
        <f aca="false">IF($A317="","",IFERROR(INDEX(بند_الاسم,MATCH($B317,قائمة_البنود,0)),"⚠ بند غير موجود"))</f>
        <v/>
      </c>
      <c r="D317" s="22"/>
      <c r="E317" s="31"/>
      <c r="F317" s="21"/>
      <c r="G317" s="32"/>
      <c r="H317" s="25" t="str">
        <f aca="false">IF($A317="","",IFERROR(INDEX(بند_سعر_الوحدة,MATCH($B317,قائمة_البنود,0)),0))</f>
        <v/>
      </c>
      <c r="I317" s="25" t="str">
        <f aca="false">IF($A317="","",H317*(1+نسبة_الضريبة))</f>
        <v/>
      </c>
      <c r="J317" s="33" t="str">
        <f aca="false">IF($A317="","",_xlfn.MINIFS('سجل المراجعات'!$E$5:$E$1504,'سجل المراجعات'!$A$5:$A$1504,$A317,'سجل المراجعات'!$D$5:$D$1504,"تسليم"))</f>
        <v/>
      </c>
      <c r="K317" s="33" t="str">
        <f aca="false">IF($A317="","",_xlfn.MAXIFS('سجل المراجعات'!$E$5:$E$1504,'سجل المراجعات'!$A$5:$A$1504,$A317,'سجل المراجعات'!$D$5:$D$1504,"تسليم"))</f>
        <v/>
      </c>
      <c r="L317" s="33" t="str">
        <f aca="false">IF($A317="","",_xlfn.MAXIFS('سجل المراجعات'!$E$5:$E$1504,'سجل المراجعات'!$A$5:$A$1504,$A317,'سجل المراجعات'!$D$5:$D$1504,"رد بملاحظات"))</f>
        <v/>
      </c>
      <c r="M317" s="33" t="str">
        <f aca="false">IF($A317="","",_xlfn.MAXIFS('سجل المراجعات'!$E$5:$E$1504,'سجل المراجعات'!$A$5:$A$1504,$A317,'سجل المراجعات'!$D$5:$D$1504,"قبول"))</f>
        <v/>
      </c>
      <c r="N317" s="26" t="str">
        <f aca="false">IF($A317="","",COUNTIFS('سجل المراجعات'!$A$5:$A$1504,$A317,'سجل المراجعات'!$D$5:$D$1504,"تسليم"))</f>
        <v/>
      </c>
      <c r="O317" s="34" t="str">
        <f aca="false">IF($A317="","",IF(M317&gt;0,"تم القبول",IF(F317="معلق","معلق",IF(AND(L317&gt;0,L317&gt;=K317),"مُعاد بملاحظات",IF(K317&gt;0,"في انتظار القبول",IF(AND(ISNUMBER(E317),E317&lt;تاريخ_الاحتساب),"متأخر",IF(F317="","لم يبدأ",F317)))))))</f>
        <v/>
      </c>
      <c r="P317" s="26" t="str">
        <f aca="false">IF($A317="","",SUMIFS('سجل المراجعات'!$L$5:$L$1504,'سجل المراجعات'!$A$5:$A$1504,$A317))</f>
        <v/>
      </c>
      <c r="Q317" s="26" t="str">
        <f aca="false">IF($A317="","",SUMIFS('سجل المراجعات'!$M$5:$M$1504,'سجل المراجعات'!$A$5:$A$1504,$A317))</f>
        <v/>
      </c>
      <c r="R317" s="26" t="str">
        <f aca="false">IF(OR($A317="",NOT(ISNUMBER(E317))),"",MAX(0,NETWORKDAYS.INTL(E317,IF(J317&gt;0,J317,تاريخ_الاحتساب),رمز_العطلة,أيام_الأجازات)-1))</f>
        <v/>
      </c>
      <c r="S317" s="22"/>
    </row>
    <row r="318" customFormat="false" ht="15" hidden="false" customHeight="false" outlineLevel="0" collapsed="false">
      <c r="A318" s="20"/>
      <c r="B318" s="20"/>
      <c r="C318" s="30" t="str">
        <f aca="false">IF($A318="","",IFERROR(INDEX(بند_الاسم,MATCH($B318,قائمة_البنود,0)),"⚠ بند غير موجود"))</f>
        <v/>
      </c>
      <c r="D318" s="22"/>
      <c r="E318" s="31"/>
      <c r="F318" s="21"/>
      <c r="G318" s="32"/>
      <c r="H318" s="25" t="str">
        <f aca="false">IF($A318="","",IFERROR(INDEX(بند_سعر_الوحدة,MATCH($B318,قائمة_البنود,0)),0))</f>
        <v/>
      </c>
      <c r="I318" s="25" t="str">
        <f aca="false">IF($A318="","",H318*(1+نسبة_الضريبة))</f>
        <v/>
      </c>
      <c r="J318" s="33" t="str">
        <f aca="false">IF($A318="","",_xlfn.MINIFS('سجل المراجعات'!$E$5:$E$1504,'سجل المراجعات'!$A$5:$A$1504,$A318,'سجل المراجعات'!$D$5:$D$1504,"تسليم"))</f>
        <v/>
      </c>
      <c r="K318" s="33" t="str">
        <f aca="false">IF($A318="","",_xlfn.MAXIFS('سجل المراجعات'!$E$5:$E$1504,'سجل المراجعات'!$A$5:$A$1504,$A318,'سجل المراجعات'!$D$5:$D$1504,"تسليم"))</f>
        <v/>
      </c>
      <c r="L318" s="33" t="str">
        <f aca="false">IF($A318="","",_xlfn.MAXIFS('سجل المراجعات'!$E$5:$E$1504,'سجل المراجعات'!$A$5:$A$1504,$A318,'سجل المراجعات'!$D$5:$D$1504,"رد بملاحظات"))</f>
        <v/>
      </c>
      <c r="M318" s="33" t="str">
        <f aca="false">IF($A318="","",_xlfn.MAXIFS('سجل المراجعات'!$E$5:$E$1504,'سجل المراجعات'!$A$5:$A$1504,$A318,'سجل المراجعات'!$D$5:$D$1504,"قبول"))</f>
        <v/>
      </c>
      <c r="N318" s="26" t="str">
        <f aca="false">IF($A318="","",COUNTIFS('سجل المراجعات'!$A$5:$A$1504,$A318,'سجل المراجعات'!$D$5:$D$1504,"تسليم"))</f>
        <v/>
      </c>
      <c r="O318" s="34" t="str">
        <f aca="false">IF($A318="","",IF(M318&gt;0,"تم القبول",IF(F318="معلق","معلق",IF(AND(L318&gt;0,L318&gt;=K318),"مُعاد بملاحظات",IF(K318&gt;0,"في انتظار القبول",IF(AND(ISNUMBER(E318),E318&lt;تاريخ_الاحتساب),"متأخر",IF(F318="","لم يبدأ",F318)))))))</f>
        <v/>
      </c>
      <c r="P318" s="26" t="str">
        <f aca="false">IF($A318="","",SUMIFS('سجل المراجعات'!$L$5:$L$1504,'سجل المراجعات'!$A$5:$A$1504,$A318))</f>
        <v/>
      </c>
      <c r="Q318" s="26" t="str">
        <f aca="false">IF($A318="","",SUMIFS('سجل المراجعات'!$M$5:$M$1504,'سجل المراجعات'!$A$5:$A$1504,$A318))</f>
        <v/>
      </c>
      <c r="R318" s="26" t="str">
        <f aca="false">IF(OR($A318="",NOT(ISNUMBER(E318))),"",MAX(0,NETWORKDAYS.INTL(E318,IF(J318&gt;0,J318,تاريخ_الاحتساب),رمز_العطلة,أيام_الأجازات)-1))</f>
        <v/>
      </c>
      <c r="S318" s="22"/>
    </row>
    <row r="319" customFormat="false" ht="15" hidden="false" customHeight="false" outlineLevel="0" collapsed="false">
      <c r="A319" s="20"/>
      <c r="B319" s="20"/>
      <c r="C319" s="30" t="str">
        <f aca="false">IF($A319="","",IFERROR(INDEX(بند_الاسم,MATCH($B319,قائمة_البنود,0)),"⚠ بند غير موجود"))</f>
        <v/>
      </c>
      <c r="D319" s="22"/>
      <c r="E319" s="31"/>
      <c r="F319" s="21"/>
      <c r="G319" s="32"/>
      <c r="H319" s="25" t="str">
        <f aca="false">IF($A319="","",IFERROR(INDEX(بند_سعر_الوحدة,MATCH($B319,قائمة_البنود,0)),0))</f>
        <v/>
      </c>
      <c r="I319" s="25" t="str">
        <f aca="false">IF($A319="","",H319*(1+نسبة_الضريبة))</f>
        <v/>
      </c>
      <c r="J319" s="33" t="str">
        <f aca="false">IF($A319="","",_xlfn.MINIFS('سجل المراجعات'!$E$5:$E$1504,'سجل المراجعات'!$A$5:$A$1504,$A319,'سجل المراجعات'!$D$5:$D$1504,"تسليم"))</f>
        <v/>
      </c>
      <c r="K319" s="33" t="str">
        <f aca="false">IF($A319="","",_xlfn.MAXIFS('سجل المراجعات'!$E$5:$E$1504,'سجل المراجعات'!$A$5:$A$1504,$A319,'سجل المراجعات'!$D$5:$D$1504,"تسليم"))</f>
        <v/>
      </c>
      <c r="L319" s="33" t="str">
        <f aca="false">IF($A319="","",_xlfn.MAXIFS('سجل المراجعات'!$E$5:$E$1504,'سجل المراجعات'!$A$5:$A$1504,$A319,'سجل المراجعات'!$D$5:$D$1504,"رد بملاحظات"))</f>
        <v/>
      </c>
      <c r="M319" s="33" t="str">
        <f aca="false">IF($A319="","",_xlfn.MAXIFS('سجل المراجعات'!$E$5:$E$1504,'سجل المراجعات'!$A$5:$A$1504,$A319,'سجل المراجعات'!$D$5:$D$1504,"قبول"))</f>
        <v/>
      </c>
      <c r="N319" s="26" t="str">
        <f aca="false">IF($A319="","",COUNTIFS('سجل المراجعات'!$A$5:$A$1504,$A319,'سجل المراجعات'!$D$5:$D$1504,"تسليم"))</f>
        <v/>
      </c>
      <c r="O319" s="34" t="str">
        <f aca="false">IF($A319="","",IF(M319&gt;0,"تم القبول",IF(F319="معلق","معلق",IF(AND(L319&gt;0,L319&gt;=K319),"مُعاد بملاحظات",IF(K319&gt;0,"في انتظار القبول",IF(AND(ISNUMBER(E319),E319&lt;تاريخ_الاحتساب),"متأخر",IF(F319="","لم يبدأ",F319)))))))</f>
        <v/>
      </c>
      <c r="P319" s="26" t="str">
        <f aca="false">IF($A319="","",SUMIFS('سجل المراجعات'!$L$5:$L$1504,'سجل المراجعات'!$A$5:$A$1504,$A319))</f>
        <v/>
      </c>
      <c r="Q319" s="26" t="str">
        <f aca="false">IF($A319="","",SUMIFS('سجل المراجعات'!$M$5:$M$1504,'سجل المراجعات'!$A$5:$A$1504,$A319))</f>
        <v/>
      </c>
      <c r="R319" s="26" t="str">
        <f aca="false">IF(OR($A319="",NOT(ISNUMBER(E319))),"",MAX(0,NETWORKDAYS.INTL(E319,IF(J319&gt;0,J319,تاريخ_الاحتساب),رمز_العطلة,أيام_الأجازات)-1))</f>
        <v/>
      </c>
      <c r="S319" s="22"/>
    </row>
    <row r="320" customFormat="false" ht="15" hidden="false" customHeight="false" outlineLevel="0" collapsed="false">
      <c r="A320" s="20"/>
      <c r="B320" s="20"/>
      <c r="C320" s="30" t="str">
        <f aca="false">IF($A320="","",IFERROR(INDEX(بند_الاسم,MATCH($B320,قائمة_البنود,0)),"⚠ بند غير موجود"))</f>
        <v/>
      </c>
      <c r="D320" s="22"/>
      <c r="E320" s="31"/>
      <c r="F320" s="21"/>
      <c r="G320" s="32"/>
      <c r="H320" s="25" t="str">
        <f aca="false">IF($A320="","",IFERROR(INDEX(بند_سعر_الوحدة,MATCH($B320,قائمة_البنود,0)),0))</f>
        <v/>
      </c>
      <c r="I320" s="25" t="str">
        <f aca="false">IF($A320="","",H320*(1+نسبة_الضريبة))</f>
        <v/>
      </c>
      <c r="J320" s="33" t="str">
        <f aca="false">IF($A320="","",_xlfn.MINIFS('سجل المراجعات'!$E$5:$E$1504,'سجل المراجعات'!$A$5:$A$1504,$A320,'سجل المراجعات'!$D$5:$D$1504,"تسليم"))</f>
        <v/>
      </c>
      <c r="K320" s="33" t="str">
        <f aca="false">IF($A320="","",_xlfn.MAXIFS('سجل المراجعات'!$E$5:$E$1504,'سجل المراجعات'!$A$5:$A$1504,$A320,'سجل المراجعات'!$D$5:$D$1504,"تسليم"))</f>
        <v/>
      </c>
      <c r="L320" s="33" t="str">
        <f aca="false">IF($A320="","",_xlfn.MAXIFS('سجل المراجعات'!$E$5:$E$1504,'سجل المراجعات'!$A$5:$A$1504,$A320,'سجل المراجعات'!$D$5:$D$1504,"رد بملاحظات"))</f>
        <v/>
      </c>
      <c r="M320" s="33" t="str">
        <f aca="false">IF($A320="","",_xlfn.MAXIFS('سجل المراجعات'!$E$5:$E$1504,'سجل المراجعات'!$A$5:$A$1504,$A320,'سجل المراجعات'!$D$5:$D$1504,"قبول"))</f>
        <v/>
      </c>
      <c r="N320" s="26" t="str">
        <f aca="false">IF($A320="","",COUNTIFS('سجل المراجعات'!$A$5:$A$1504,$A320,'سجل المراجعات'!$D$5:$D$1504,"تسليم"))</f>
        <v/>
      </c>
      <c r="O320" s="34" t="str">
        <f aca="false">IF($A320="","",IF(M320&gt;0,"تم القبول",IF(F320="معلق","معلق",IF(AND(L320&gt;0,L320&gt;=K320),"مُعاد بملاحظات",IF(K320&gt;0,"في انتظار القبول",IF(AND(ISNUMBER(E320),E320&lt;تاريخ_الاحتساب),"متأخر",IF(F320="","لم يبدأ",F320)))))))</f>
        <v/>
      </c>
      <c r="P320" s="26" t="str">
        <f aca="false">IF($A320="","",SUMIFS('سجل المراجعات'!$L$5:$L$1504,'سجل المراجعات'!$A$5:$A$1504,$A320))</f>
        <v/>
      </c>
      <c r="Q320" s="26" t="str">
        <f aca="false">IF($A320="","",SUMIFS('سجل المراجعات'!$M$5:$M$1504,'سجل المراجعات'!$A$5:$A$1504,$A320))</f>
        <v/>
      </c>
      <c r="R320" s="26" t="str">
        <f aca="false">IF(OR($A320="",NOT(ISNUMBER(E320))),"",MAX(0,NETWORKDAYS.INTL(E320,IF(J320&gt;0,J320,تاريخ_الاحتساب),رمز_العطلة,أيام_الأجازات)-1))</f>
        <v/>
      </c>
      <c r="S320" s="22"/>
    </row>
    <row r="321" customFormat="false" ht="15" hidden="false" customHeight="false" outlineLevel="0" collapsed="false">
      <c r="A321" s="20"/>
      <c r="B321" s="20"/>
      <c r="C321" s="30" t="str">
        <f aca="false">IF($A321="","",IFERROR(INDEX(بند_الاسم,MATCH($B321,قائمة_البنود,0)),"⚠ بند غير موجود"))</f>
        <v/>
      </c>
      <c r="D321" s="22"/>
      <c r="E321" s="31"/>
      <c r="F321" s="21"/>
      <c r="G321" s="32"/>
      <c r="H321" s="25" t="str">
        <f aca="false">IF($A321="","",IFERROR(INDEX(بند_سعر_الوحدة,MATCH($B321,قائمة_البنود,0)),0))</f>
        <v/>
      </c>
      <c r="I321" s="25" t="str">
        <f aca="false">IF($A321="","",H321*(1+نسبة_الضريبة))</f>
        <v/>
      </c>
      <c r="J321" s="33" t="str">
        <f aca="false">IF($A321="","",_xlfn.MINIFS('سجل المراجعات'!$E$5:$E$1504,'سجل المراجعات'!$A$5:$A$1504,$A321,'سجل المراجعات'!$D$5:$D$1504,"تسليم"))</f>
        <v/>
      </c>
      <c r="K321" s="33" t="str">
        <f aca="false">IF($A321="","",_xlfn.MAXIFS('سجل المراجعات'!$E$5:$E$1504,'سجل المراجعات'!$A$5:$A$1504,$A321,'سجل المراجعات'!$D$5:$D$1504,"تسليم"))</f>
        <v/>
      </c>
      <c r="L321" s="33" t="str">
        <f aca="false">IF($A321="","",_xlfn.MAXIFS('سجل المراجعات'!$E$5:$E$1504,'سجل المراجعات'!$A$5:$A$1504,$A321,'سجل المراجعات'!$D$5:$D$1504,"رد بملاحظات"))</f>
        <v/>
      </c>
      <c r="M321" s="33" t="str">
        <f aca="false">IF($A321="","",_xlfn.MAXIFS('سجل المراجعات'!$E$5:$E$1504,'سجل المراجعات'!$A$5:$A$1504,$A321,'سجل المراجعات'!$D$5:$D$1504,"قبول"))</f>
        <v/>
      </c>
      <c r="N321" s="26" t="str">
        <f aca="false">IF($A321="","",COUNTIFS('سجل المراجعات'!$A$5:$A$1504,$A321,'سجل المراجعات'!$D$5:$D$1504,"تسليم"))</f>
        <v/>
      </c>
      <c r="O321" s="34" t="str">
        <f aca="false">IF($A321="","",IF(M321&gt;0,"تم القبول",IF(F321="معلق","معلق",IF(AND(L321&gt;0,L321&gt;=K321),"مُعاد بملاحظات",IF(K321&gt;0,"في انتظار القبول",IF(AND(ISNUMBER(E321),E321&lt;تاريخ_الاحتساب),"متأخر",IF(F321="","لم يبدأ",F321)))))))</f>
        <v/>
      </c>
      <c r="P321" s="26" t="str">
        <f aca="false">IF($A321="","",SUMIFS('سجل المراجعات'!$L$5:$L$1504,'سجل المراجعات'!$A$5:$A$1504,$A321))</f>
        <v/>
      </c>
      <c r="Q321" s="26" t="str">
        <f aca="false">IF($A321="","",SUMIFS('سجل المراجعات'!$M$5:$M$1504,'سجل المراجعات'!$A$5:$A$1504,$A321))</f>
        <v/>
      </c>
      <c r="R321" s="26" t="str">
        <f aca="false">IF(OR($A321="",NOT(ISNUMBER(E321))),"",MAX(0,NETWORKDAYS.INTL(E321,IF(J321&gt;0,J321,تاريخ_الاحتساب),رمز_العطلة,أيام_الأجازات)-1))</f>
        <v/>
      </c>
      <c r="S321" s="22"/>
    </row>
    <row r="322" customFormat="false" ht="15" hidden="false" customHeight="false" outlineLevel="0" collapsed="false">
      <c r="A322" s="20"/>
      <c r="B322" s="20"/>
      <c r="C322" s="30" t="str">
        <f aca="false">IF($A322="","",IFERROR(INDEX(بند_الاسم,MATCH($B322,قائمة_البنود,0)),"⚠ بند غير موجود"))</f>
        <v/>
      </c>
      <c r="D322" s="22"/>
      <c r="E322" s="31"/>
      <c r="F322" s="21"/>
      <c r="G322" s="32"/>
      <c r="H322" s="25" t="str">
        <f aca="false">IF($A322="","",IFERROR(INDEX(بند_سعر_الوحدة,MATCH($B322,قائمة_البنود,0)),0))</f>
        <v/>
      </c>
      <c r="I322" s="25" t="str">
        <f aca="false">IF($A322="","",H322*(1+نسبة_الضريبة))</f>
        <v/>
      </c>
      <c r="J322" s="33" t="str">
        <f aca="false">IF($A322="","",_xlfn.MINIFS('سجل المراجعات'!$E$5:$E$1504,'سجل المراجعات'!$A$5:$A$1504,$A322,'سجل المراجعات'!$D$5:$D$1504,"تسليم"))</f>
        <v/>
      </c>
      <c r="K322" s="33" t="str">
        <f aca="false">IF($A322="","",_xlfn.MAXIFS('سجل المراجعات'!$E$5:$E$1504,'سجل المراجعات'!$A$5:$A$1504,$A322,'سجل المراجعات'!$D$5:$D$1504,"تسليم"))</f>
        <v/>
      </c>
      <c r="L322" s="33" t="str">
        <f aca="false">IF($A322="","",_xlfn.MAXIFS('سجل المراجعات'!$E$5:$E$1504,'سجل المراجعات'!$A$5:$A$1504,$A322,'سجل المراجعات'!$D$5:$D$1504,"رد بملاحظات"))</f>
        <v/>
      </c>
      <c r="M322" s="33" t="str">
        <f aca="false">IF($A322="","",_xlfn.MAXIFS('سجل المراجعات'!$E$5:$E$1504,'سجل المراجعات'!$A$5:$A$1504,$A322,'سجل المراجعات'!$D$5:$D$1504,"قبول"))</f>
        <v/>
      </c>
      <c r="N322" s="26" t="str">
        <f aca="false">IF($A322="","",COUNTIFS('سجل المراجعات'!$A$5:$A$1504,$A322,'سجل المراجعات'!$D$5:$D$1504,"تسليم"))</f>
        <v/>
      </c>
      <c r="O322" s="34" t="str">
        <f aca="false">IF($A322="","",IF(M322&gt;0,"تم القبول",IF(F322="معلق","معلق",IF(AND(L322&gt;0,L322&gt;=K322),"مُعاد بملاحظات",IF(K322&gt;0,"في انتظار القبول",IF(AND(ISNUMBER(E322),E322&lt;تاريخ_الاحتساب),"متأخر",IF(F322="","لم يبدأ",F322)))))))</f>
        <v/>
      </c>
      <c r="P322" s="26" t="str">
        <f aca="false">IF($A322="","",SUMIFS('سجل المراجعات'!$L$5:$L$1504,'سجل المراجعات'!$A$5:$A$1504,$A322))</f>
        <v/>
      </c>
      <c r="Q322" s="26" t="str">
        <f aca="false">IF($A322="","",SUMIFS('سجل المراجعات'!$M$5:$M$1504,'سجل المراجعات'!$A$5:$A$1504,$A322))</f>
        <v/>
      </c>
      <c r="R322" s="26" t="str">
        <f aca="false">IF(OR($A322="",NOT(ISNUMBER(E322))),"",MAX(0,NETWORKDAYS.INTL(E322,IF(J322&gt;0,J322,تاريخ_الاحتساب),رمز_العطلة,أيام_الأجازات)-1))</f>
        <v/>
      </c>
      <c r="S322" s="22"/>
    </row>
    <row r="323" customFormat="false" ht="15" hidden="false" customHeight="false" outlineLevel="0" collapsed="false">
      <c r="A323" s="20"/>
      <c r="B323" s="20"/>
      <c r="C323" s="30" t="str">
        <f aca="false">IF($A323="","",IFERROR(INDEX(بند_الاسم,MATCH($B323,قائمة_البنود,0)),"⚠ بند غير موجود"))</f>
        <v/>
      </c>
      <c r="D323" s="22"/>
      <c r="E323" s="31"/>
      <c r="F323" s="21"/>
      <c r="G323" s="32"/>
      <c r="H323" s="25" t="str">
        <f aca="false">IF($A323="","",IFERROR(INDEX(بند_سعر_الوحدة,MATCH($B323,قائمة_البنود,0)),0))</f>
        <v/>
      </c>
      <c r="I323" s="25" t="str">
        <f aca="false">IF($A323="","",H323*(1+نسبة_الضريبة))</f>
        <v/>
      </c>
      <c r="J323" s="33" t="str">
        <f aca="false">IF($A323="","",_xlfn.MINIFS('سجل المراجعات'!$E$5:$E$1504,'سجل المراجعات'!$A$5:$A$1504,$A323,'سجل المراجعات'!$D$5:$D$1504,"تسليم"))</f>
        <v/>
      </c>
      <c r="K323" s="33" t="str">
        <f aca="false">IF($A323="","",_xlfn.MAXIFS('سجل المراجعات'!$E$5:$E$1504,'سجل المراجعات'!$A$5:$A$1504,$A323,'سجل المراجعات'!$D$5:$D$1504,"تسليم"))</f>
        <v/>
      </c>
      <c r="L323" s="33" t="str">
        <f aca="false">IF($A323="","",_xlfn.MAXIFS('سجل المراجعات'!$E$5:$E$1504,'سجل المراجعات'!$A$5:$A$1504,$A323,'سجل المراجعات'!$D$5:$D$1504,"رد بملاحظات"))</f>
        <v/>
      </c>
      <c r="M323" s="33" t="str">
        <f aca="false">IF($A323="","",_xlfn.MAXIFS('سجل المراجعات'!$E$5:$E$1504,'سجل المراجعات'!$A$5:$A$1504,$A323,'سجل المراجعات'!$D$5:$D$1504,"قبول"))</f>
        <v/>
      </c>
      <c r="N323" s="26" t="str">
        <f aca="false">IF($A323="","",COUNTIFS('سجل المراجعات'!$A$5:$A$1504,$A323,'سجل المراجعات'!$D$5:$D$1504,"تسليم"))</f>
        <v/>
      </c>
      <c r="O323" s="34" t="str">
        <f aca="false">IF($A323="","",IF(M323&gt;0,"تم القبول",IF(F323="معلق","معلق",IF(AND(L323&gt;0,L323&gt;=K323),"مُعاد بملاحظات",IF(K323&gt;0,"في انتظار القبول",IF(AND(ISNUMBER(E323),E323&lt;تاريخ_الاحتساب),"متأخر",IF(F323="","لم يبدأ",F323)))))))</f>
        <v/>
      </c>
      <c r="P323" s="26" t="str">
        <f aca="false">IF($A323="","",SUMIFS('سجل المراجعات'!$L$5:$L$1504,'سجل المراجعات'!$A$5:$A$1504,$A323))</f>
        <v/>
      </c>
      <c r="Q323" s="26" t="str">
        <f aca="false">IF($A323="","",SUMIFS('سجل المراجعات'!$M$5:$M$1504,'سجل المراجعات'!$A$5:$A$1504,$A323))</f>
        <v/>
      </c>
      <c r="R323" s="26" t="str">
        <f aca="false">IF(OR($A323="",NOT(ISNUMBER(E323))),"",MAX(0,NETWORKDAYS.INTL(E323,IF(J323&gt;0,J323,تاريخ_الاحتساب),رمز_العطلة,أيام_الأجازات)-1))</f>
        <v/>
      </c>
      <c r="S323" s="22"/>
    </row>
    <row r="324" customFormat="false" ht="15" hidden="false" customHeight="false" outlineLevel="0" collapsed="false">
      <c r="A324" s="20"/>
      <c r="B324" s="20"/>
      <c r="C324" s="30" t="str">
        <f aca="false">IF($A324="","",IFERROR(INDEX(بند_الاسم,MATCH($B324,قائمة_البنود,0)),"⚠ بند غير موجود"))</f>
        <v/>
      </c>
      <c r="D324" s="22"/>
      <c r="E324" s="31"/>
      <c r="F324" s="21"/>
      <c r="G324" s="32"/>
      <c r="H324" s="25" t="str">
        <f aca="false">IF($A324="","",IFERROR(INDEX(بند_سعر_الوحدة,MATCH($B324,قائمة_البنود,0)),0))</f>
        <v/>
      </c>
      <c r="I324" s="25" t="str">
        <f aca="false">IF($A324="","",H324*(1+نسبة_الضريبة))</f>
        <v/>
      </c>
      <c r="J324" s="33" t="str">
        <f aca="false">IF($A324="","",_xlfn.MINIFS('سجل المراجعات'!$E$5:$E$1504,'سجل المراجعات'!$A$5:$A$1504,$A324,'سجل المراجعات'!$D$5:$D$1504,"تسليم"))</f>
        <v/>
      </c>
      <c r="K324" s="33" t="str">
        <f aca="false">IF($A324="","",_xlfn.MAXIFS('سجل المراجعات'!$E$5:$E$1504,'سجل المراجعات'!$A$5:$A$1504,$A324,'سجل المراجعات'!$D$5:$D$1504,"تسليم"))</f>
        <v/>
      </c>
      <c r="L324" s="33" t="str">
        <f aca="false">IF($A324="","",_xlfn.MAXIFS('سجل المراجعات'!$E$5:$E$1504,'سجل المراجعات'!$A$5:$A$1504,$A324,'سجل المراجعات'!$D$5:$D$1504,"رد بملاحظات"))</f>
        <v/>
      </c>
      <c r="M324" s="33" t="str">
        <f aca="false">IF($A324="","",_xlfn.MAXIFS('سجل المراجعات'!$E$5:$E$1504,'سجل المراجعات'!$A$5:$A$1504,$A324,'سجل المراجعات'!$D$5:$D$1504,"قبول"))</f>
        <v/>
      </c>
      <c r="N324" s="26" t="str">
        <f aca="false">IF($A324="","",COUNTIFS('سجل المراجعات'!$A$5:$A$1504,$A324,'سجل المراجعات'!$D$5:$D$1504,"تسليم"))</f>
        <v/>
      </c>
      <c r="O324" s="34" t="str">
        <f aca="false">IF($A324="","",IF(M324&gt;0,"تم القبول",IF(F324="معلق","معلق",IF(AND(L324&gt;0,L324&gt;=K324),"مُعاد بملاحظات",IF(K324&gt;0,"في انتظار القبول",IF(AND(ISNUMBER(E324),E324&lt;تاريخ_الاحتساب),"متأخر",IF(F324="","لم يبدأ",F324)))))))</f>
        <v/>
      </c>
      <c r="P324" s="26" t="str">
        <f aca="false">IF($A324="","",SUMIFS('سجل المراجعات'!$L$5:$L$1504,'سجل المراجعات'!$A$5:$A$1504,$A324))</f>
        <v/>
      </c>
      <c r="Q324" s="26" t="str">
        <f aca="false">IF($A324="","",SUMIFS('سجل المراجعات'!$M$5:$M$1504,'سجل المراجعات'!$A$5:$A$1504,$A324))</f>
        <v/>
      </c>
      <c r="R324" s="26" t="str">
        <f aca="false">IF(OR($A324="",NOT(ISNUMBER(E324))),"",MAX(0,NETWORKDAYS.INTL(E324,IF(J324&gt;0,J324,تاريخ_الاحتساب),رمز_العطلة,أيام_الأجازات)-1))</f>
        <v/>
      </c>
      <c r="S324" s="22"/>
    </row>
    <row r="325" customFormat="false" ht="15" hidden="false" customHeight="false" outlineLevel="0" collapsed="false">
      <c r="A325" s="20"/>
      <c r="B325" s="20"/>
      <c r="C325" s="30" t="str">
        <f aca="false">IF($A325="","",IFERROR(INDEX(بند_الاسم,MATCH($B325,قائمة_البنود,0)),"⚠ بند غير موجود"))</f>
        <v/>
      </c>
      <c r="D325" s="22"/>
      <c r="E325" s="31"/>
      <c r="F325" s="21"/>
      <c r="G325" s="32"/>
      <c r="H325" s="25" t="str">
        <f aca="false">IF($A325="","",IFERROR(INDEX(بند_سعر_الوحدة,MATCH($B325,قائمة_البنود,0)),0))</f>
        <v/>
      </c>
      <c r="I325" s="25" t="str">
        <f aca="false">IF($A325="","",H325*(1+نسبة_الضريبة))</f>
        <v/>
      </c>
      <c r="J325" s="33" t="str">
        <f aca="false">IF($A325="","",_xlfn.MINIFS('سجل المراجعات'!$E$5:$E$1504,'سجل المراجعات'!$A$5:$A$1504,$A325,'سجل المراجعات'!$D$5:$D$1504,"تسليم"))</f>
        <v/>
      </c>
      <c r="K325" s="33" t="str">
        <f aca="false">IF($A325="","",_xlfn.MAXIFS('سجل المراجعات'!$E$5:$E$1504,'سجل المراجعات'!$A$5:$A$1504,$A325,'سجل المراجعات'!$D$5:$D$1504,"تسليم"))</f>
        <v/>
      </c>
      <c r="L325" s="33" t="str">
        <f aca="false">IF($A325="","",_xlfn.MAXIFS('سجل المراجعات'!$E$5:$E$1504,'سجل المراجعات'!$A$5:$A$1504,$A325,'سجل المراجعات'!$D$5:$D$1504,"رد بملاحظات"))</f>
        <v/>
      </c>
      <c r="M325" s="33" t="str">
        <f aca="false">IF($A325="","",_xlfn.MAXIFS('سجل المراجعات'!$E$5:$E$1504,'سجل المراجعات'!$A$5:$A$1504,$A325,'سجل المراجعات'!$D$5:$D$1504,"قبول"))</f>
        <v/>
      </c>
      <c r="N325" s="26" t="str">
        <f aca="false">IF($A325="","",COUNTIFS('سجل المراجعات'!$A$5:$A$1504,$A325,'سجل المراجعات'!$D$5:$D$1504,"تسليم"))</f>
        <v/>
      </c>
      <c r="O325" s="34" t="str">
        <f aca="false">IF($A325="","",IF(M325&gt;0,"تم القبول",IF(F325="معلق","معلق",IF(AND(L325&gt;0,L325&gt;=K325),"مُعاد بملاحظات",IF(K325&gt;0,"في انتظار القبول",IF(AND(ISNUMBER(E325),E325&lt;تاريخ_الاحتساب),"متأخر",IF(F325="","لم يبدأ",F325)))))))</f>
        <v/>
      </c>
      <c r="P325" s="26" t="str">
        <f aca="false">IF($A325="","",SUMIFS('سجل المراجعات'!$L$5:$L$1504,'سجل المراجعات'!$A$5:$A$1504,$A325))</f>
        <v/>
      </c>
      <c r="Q325" s="26" t="str">
        <f aca="false">IF($A325="","",SUMIFS('سجل المراجعات'!$M$5:$M$1504,'سجل المراجعات'!$A$5:$A$1504,$A325))</f>
        <v/>
      </c>
      <c r="R325" s="26" t="str">
        <f aca="false">IF(OR($A325="",NOT(ISNUMBER(E325))),"",MAX(0,NETWORKDAYS.INTL(E325,IF(J325&gt;0,J325,تاريخ_الاحتساب),رمز_العطلة,أيام_الأجازات)-1))</f>
        <v/>
      </c>
      <c r="S325" s="22"/>
    </row>
    <row r="326" customFormat="false" ht="15" hidden="false" customHeight="false" outlineLevel="0" collapsed="false">
      <c r="A326" s="20"/>
      <c r="B326" s="20"/>
      <c r="C326" s="30" t="str">
        <f aca="false">IF($A326="","",IFERROR(INDEX(بند_الاسم,MATCH($B326,قائمة_البنود,0)),"⚠ بند غير موجود"))</f>
        <v/>
      </c>
      <c r="D326" s="22"/>
      <c r="E326" s="31"/>
      <c r="F326" s="21"/>
      <c r="G326" s="32"/>
      <c r="H326" s="25" t="str">
        <f aca="false">IF($A326="","",IFERROR(INDEX(بند_سعر_الوحدة,MATCH($B326,قائمة_البنود,0)),0))</f>
        <v/>
      </c>
      <c r="I326" s="25" t="str">
        <f aca="false">IF($A326="","",H326*(1+نسبة_الضريبة))</f>
        <v/>
      </c>
      <c r="J326" s="33" t="str">
        <f aca="false">IF($A326="","",_xlfn.MINIFS('سجل المراجعات'!$E$5:$E$1504,'سجل المراجعات'!$A$5:$A$1504,$A326,'سجل المراجعات'!$D$5:$D$1504,"تسليم"))</f>
        <v/>
      </c>
      <c r="K326" s="33" t="str">
        <f aca="false">IF($A326="","",_xlfn.MAXIFS('سجل المراجعات'!$E$5:$E$1504,'سجل المراجعات'!$A$5:$A$1504,$A326,'سجل المراجعات'!$D$5:$D$1504,"تسليم"))</f>
        <v/>
      </c>
      <c r="L326" s="33" t="str">
        <f aca="false">IF($A326="","",_xlfn.MAXIFS('سجل المراجعات'!$E$5:$E$1504,'سجل المراجعات'!$A$5:$A$1504,$A326,'سجل المراجعات'!$D$5:$D$1504,"رد بملاحظات"))</f>
        <v/>
      </c>
      <c r="M326" s="33" t="str">
        <f aca="false">IF($A326="","",_xlfn.MAXIFS('سجل المراجعات'!$E$5:$E$1504,'سجل المراجعات'!$A$5:$A$1504,$A326,'سجل المراجعات'!$D$5:$D$1504,"قبول"))</f>
        <v/>
      </c>
      <c r="N326" s="26" t="str">
        <f aca="false">IF($A326="","",COUNTIFS('سجل المراجعات'!$A$5:$A$1504,$A326,'سجل المراجعات'!$D$5:$D$1504,"تسليم"))</f>
        <v/>
      </c>
      <c r="O326" s="34" t="str">
        <f aca="false">IF($A326="","",IF(M326&gt;0,"تم القبول",IF(F326="معلق","معلق",IF(AND(L326&gt;0,L326&gt;=K326),"مُعاد بملاحظات",IF(K326&gt;0,"في انتظار القبول",IF(AND(ISNUMBER(E326),E326&lt;تاريخ_الاحتساب),"متأخر",IF(F326="","لم يبدأ",F326)))))))</f>
        <v/>
      </c>
      <c r="P326" s="26" t="str">
        <f aca="false">IF($A326="","",SUMIFS('سجل المراجعات'!$L$5:$L$1504,'سجل المراجعات'!$A$5:$A$1504,$A326))</f>
        <v/>
      </c>
      <c r="Q326" s="26" t="str">
        <f aca="false">IF($A326="","",SUMIFS('سجل المراجعات'!$M$5:$M$1504,'سجل المراجعات'!$A$5:$A$1504,$A326))</f>
        <v/>
      </c>
      <c r="R326" s="26" t="str">
        <f aca="false">IF(OR($A326="",NOT(ISNUMBER(E326))),"",MAX(0,NETWORKDAYS.INTL(E326,IF(J326&gt;0,J326,تاريخ_الاحتساب),رمز_العطلة,أيام_الأجازات)-1))</f>
        <v/>
      </c>
      <c r="S326" s="22"/>
    </row>
    <row r="327" customFormat="false" ht="15" hidden="false" customHeight="false" outlineLevel="0" collapsed="false">
      <c r="A327" s="20"/>
      <c r="B327" s="20"/>
      <c r="C327" s="30" t="str">
        <f aca="false">IF($A327="","",IFERROR(INDEX(بند_الاسم,MATCH($B327,قائمة_البنود,0)),"⚠ بند غير موجود"))</f>
        <v/>
      </c>
      <c r="D327" s="22"/>
      <c r="E327" s="31"/>
      <c r="F327" s="21"/>
      <c r="G327" s="32"/>
      <c r="H327" s="25" t="str">
        <f aca="false">IF($A327="","",IFERROR(INDEX(بند_سعر_الوحدة,MATCH($B327,قائمة_البنود,0)),0))</f>
        <v/>
      </c>
      <c r="I327" s="25" t="str">
        <f aca="false">IF($A327="","",H327*(1+نسبة_الضريبة))</f>
        <v/>
      </c>
      <c r="J327" s="33" t="str">
        <f aca="false">IF($A327="","",_xlfn.MINIFS('سجل المراجعات'!$E$5:$E$1504,'سجل المراجعات'!$A$5:$A$1504,$A327,'سجل المراجعات'!$D$5:$D$1504,"تسليم"))</f>
        <v/>
      </c>
      <c r="K327" s="33" t="str">
        <f aca="false">IF($A327="","",_xlfn.MAXIFS('سجل المراجعات'!$E$5:$E$1504,'سجل المراجعات'!$A$5:$A$1504,$A327,'سجل المراجعات'!$D$5:$D$1504,"تسليم"))</f>
        <v/>
      </c>
      <c r="L327" s="33" t="str">
        <f aca="false">IF($A327="","",_xlfn.MAXIFS('سجل المراجعات'!$E$5:$E$1504,'سجل المراجعات'!$A$5:$A$1504,$A327,'سجل المراجعات'!$D$5:$D$1504,"رد بملاحظات"))</f>
        <v/>
      </c>
      <c r="M327" s="33" t="str">
        <f aca="false">IF($A327="","",_xlfn.MAXIFS('سجل المراجعات'!$E$5:$E$1504,'سجل المراجعات'!$A$5:$A$1504,$A327,'سجل المراجعات'!$D$5:$D$1504,"قبول"))</f>
        <v/>
      </c>
      <c r="N327" s="26" t="str">
        <f aca="false">IF($A327="","",COUNTIFS('سجل المراجعات'!$A$5:$A$1504,$A327,'سجل المراجعات'!$D$5:$D$1504,"تسليم"))</f>
        <v/>
      </c>
      <c r="O327" s="34" t="str">
        <f aca="false">IF($A327="","",IF(M327&gt;0,"تم القبول",IF(F327="معلق","معلق",IF(AND(L327&gt;0,L327&gt;=K327),"مُعاد بملاحظات",IF(K327&gt;0,"في انتظار القبول",IF(AND(ISNUMBER(E327),E327&lt;تاريخ_الاحتساب),"متأخر",IF(F327="","لم يبدأ",F327)))))))</f>
        <v/>
      </c>
      <c r="P327" s="26" t="str">
        <f aca="false">IF($A327="","",SUMIFS('سجل المراجعات'!$L$5:$L$1504,'سجل المراجعات'!$A$5:$A$1504,$A327))</f>
        <v/>
      </c>
      <c r="Q327" s="26" t="str">
        <f aca="false">IF($A327="","",SUMIFS('سجل المراجعات'!$M$5:$M$1504,'سجل المراجعات'!$A$5:$A$1504,$A327))</f>
        <v/>
      </c>
      <c r="R327" s="26" t="str">
        <f aca="false">IF(OR($A327="",NOT(ISNUMBER(E327))),"",MAX(0,NETWORKDAYS.INTL(E327,IF(J327&gt;0,J327,تاريخ_الاحتساب),رمز_العطلة,أيام_الأجازات)-1))</f>
        <v/>
      </c>
      <c r="S327" s="22"/>
    </row>
    <row r="328" customFormat="false" ht="15" hidden="false" customHeight="false" outlineLevel="0" collapsed="false">
      <c r="A328" s="20"/>
      <c r="B328" s="20"/>
      <c r="C328" s="30" t="str">
        <f aca="false">IF($A328="","",IFERROR(INDEX(بند_الاسم,MATCH($B328,قائمة_البنود,0)),"⚠ بند غير موجود"))</f>
        <v/>
      </c>
      <c r="D328" s="22"/>
      <c r="E328" s="31"/>
      <c r="F328" s="21"/>
      <c r="G328" s="32"/>
      <c r="H328" s="25" t="str">
        <f aca="false">IF($A328="","",IFERROR(INDEX(بند_سعر_الوحدة,MATCH($B328,قائمة_البنود,0)),0))</f>
        <v/>
      </c>
      <c r="I328" s="25" t="str">
        <f aca="false">IF($A328="","",H328*(1+نسبة_الضريبة))</f>
        <v/>
      </c>
      <c r="J328" s="33" t="str">
        <f aca="false">IF($A328="","",_xlfn.MINIFS('سجل المراجعات'!$E$5:$E$1504,'سجل المراجعات'!$A$5:$A$1504,$A328,'سجل المراجعات'!$D$5:$D$1504,"تسليم"))</f>
        <v/>
      </c>
      <c r="K328" s="33" t="str">
        <f aca="false">IF($A328="","",_xlfn.MAXIFS('سجل المراجعات'!$E$5:$E$1504,'سجل المراجعات'!$A$5:$A$1504,$A328,'سجل المراجعات'!$D$5:$D$1504,"تسليم"))</f>
        <v/>
      </c>
      <c r="L328" s="33" t="str">
        <f aca="false">IF($A328="","",_xlfn.MAXIFS('سجل المراجعات'!$E$5:$E$1504,'سجل المراجعات'!$A$5:$A$1504,$A328,'سجل المراجعات'!$D$5:$D$1504,"رد بملاحظات"))</f>
        <v/>
      </c>
      <c r="M328" s="33" t="str">
        <f aca="false">IF($A328="","",_xlfn.MAXIFS('سجل المراجعات'!$E$5:$E$1504,'سجل المراجعات'!$A$5:$A$1504,$A328,'سجل المراجعات'!$D$5:$D$1504,"قبول"))</f>
        <v/>
      </c>
      <c r="N328" s="26" t="str">
        <f aca="false">IF($A328="","",COUNTIFS('سجل المراجعات'!$A$5:$A$1504,$A328,'سجل المراجعات'!$D$5:$D$1504,"تسليم"))</f>
        <v/>
      </c>
      <c r="O328" s="34" t="str">
        <f aca="false">IF($A328="","",IF(M328&gt;0,"تم القبول",IF(F328="معلق","معلق",IF(AND(L328&gt;0,L328&gt;=K328),"مُعاد بملاحظات",IF(K328&gt;0,"في انتظار القبول",IF(AND(ISNUMBER(E328),E328&lt;تاريخ_الاحتساب),"متأخر",IF(F328="","لم يبدأ",F328)))))))</f>
        <v/>
      </c>
      <c r="P328" s="26" t="str">
        <f aca="false">IF($A328="","",SUMIFS('سجل المراجعات'!$L$5:$L$1504,'سجل المراجعات'!$A$5:$A$1504,$A328))</f>
        <v/>
      </c>
      <c r="Q328" s="26" t="str">
        <f aca="false">IF($A328="","",SUMIFS('سجل المراجعات'!$M$5:$M$1504,'سجل المراجعات'!$A$5:$A$1504,$A328))</f>
        <v/>
      </c>
      <c r="R328" s="26" t="str">
        <f aca="false">IF(OR($A328="",NOT(ISNUMBER(E328))),"",MAX(0,NETWORKDAYS.INTL(E328,IF(J328&gt;0,J328,تاريخ_الاحتساب),رمز_العطلة,أيام_الأجازات)-1))</f>
        <v/>
      </c>
      <c r="S328" s="22"/>
    </row>
    <row r="329" customFormat="false" ht="15" hidden="false" customHeight="false" outlineLevel="0" collapsed="false">
      <c r="A329" s="20"/>
      <c r="B329" s="20"/>
      <c r="C329" s="30" t="str">
        <f aca="false">IF($A329="","",IFERROR(INDEX(بند_الاسم,MATCH($B329,قائمة_البنود,0)),"⚠ بند غير موجود"))</f>
        <v/>
      </c>
      <c r="D329" s="22"/>
      <c r="E329" s="31"/>
      <c r="F329" s="21"/>
      <c r="G329" s="32"/>
      <c r="H329" s="25" t="str">
        <f aca="false">IF($A329="","",IFERROR(INDEX(بند_سعر_الوحدة,MATCH($B329,قائمة_البنود,0)),0))</f>
        <v/>
      </c>
      <c r="I329" s="25" t="str">
        <f aca="false">IF($A329="","",H329*(1+نسبة_الضريبة))</f>
        <v/>
      </c>
      <c r="J329" s="33" t="str">
        <f aca="false">IF($A329="","",_xlfn.MINIFS('سجل المراجعات'!$E$5:$E$1504,'سجل المراجعات'!$A$5:$A$1504,$A329,'سجل المراجعات'!$D$5:$D$1504,"تسليم"))</f>
        <v/>
      </c>
      <c r="K329" s="33" t="str">
        <f aca="false">IF($A329="","",_xlfn.MAXIFS('سجل المراجعات'!$E$5:$E$1504,'سجل المراجعات'!$A$5:$A$1504,$A329,'سجل المراجعات'!$D$5:$D$1504,"تسليم"))</f>
        <v/>
      </c>
      <c r="L329" s="33" t="str">
        <f aca="false">IF($A329="","",_xlfn.MAXIFS('سجل المراجعات'!$E$5:$E$1504,'سجل المراجعات'!$A$5:$A$1504,$A329,'سجل المراجعات'!$D$5:$D$1504,"رد بملاحظات"))</f>
        <v/>
      </c>
      <c r="M329" s="33" t="str">
        <f aca="false">IF($A329="","",_xlfn.MAXIFS('سجل المراجعات'!$E$5:$E$1504,'سجل المراجعات'!$A$5:$A$1504,$A329,'سجل المراجعات'!$D$5:$D$1504,"قبول"))</f>
        <v/>
      </c>
      <c r="N329" s="26" t="str">
        <f aca="false">IF($A329="","",COUNTIFS('سجل المراجعات'!$A$5:$A$1504,$A329,'سجل المراجعات'!$D$5:$D$1504,"تسليم"))</f>
        <v/>
      </c>
      <c r="O329" s="34" t="str">
        <f aca="false">IF($A329="","",IF(M329&gt;0,"تم القبول",IF(F329="معلق","معلق",IF(AND(L329&gt;0,L329&gt;=K329),"مُعاد بملاحظات",IF(K329&gt;0,"في انتظار القبول",IF(AND(ISNUMBER(E329),E329&lt;تاريخ_الاحتساب),"متأخر",IF(F329="","لم يبدأ",F329)))))))</f>
        <v/>
      </c>
      <c r="P329" s="26" t="str">
        <f aca="false">IF($A329="","",SUMIFS('سجل المراجعات'!$L$5:$L$1504,'سجل المراجعات'!$A$5:$A$1504,$A329))</f>
        <v/>
      </c>
      <c r="Q329" s="26" t="str">
        <f aca="false">IF($A329="","",SUMIFS('سجل المراجعات'!$M$5:$M$1504,'سجل المراجعات'!$A$5:$A$1504,$A329))</f>
        <v/>
      </c>
      <c r="R329" s="26" t="str">
        <f aca="false">IF(OR($A329="",NOT(ISNUMBER(E329))),"",MAX(0,NETWORKDAYS.INTL(E329,IF(J329&gt;0,J329,تاريخ_الاحتساب),رمز_العطلة,أيام_الأجازات)-1))</f>
        <v/>
      </c>
      <c r="S329" s="22"/>
    </row>
    <row r="330" customFormat="false" ht="15" hidden="false" customHeight="false" outlineLevel="0" collapsed="false">
      <c r="A330" s="20"/>
      <c r="B330" s="20"/>
      <c r="C330" s="30" t="str">
        <f aca="false">IF($A330="","",IFERROR(INDEX(بند_الاسم,MATCH($B330,قائمة_البنود,0)),"⚠ بند غير موجود"))</f>
        <v/>
      </c>
      <c r="D330" s="22"/>
      <c r="E330" s="31"/>
      <c r="F330" s="21"/>
      <c r="G330" s="32"/>
      <c r="H330" s="25" t="str">
        <f aca="false">IF($A330="","",IFERROR(INDEX(بند_سعر_الوحدة,MATCH($B330,قائمة_البنود,0)),0))</f>
        <v/>
      </c>
      <c r="I330" s="25" t="str">
        <f aca="false">IF($A330="","",H330*(1+نسبة_الضريبة))</f>
        <v/>
      </c>
      <c r="J330" s="33" t="str">
        <f aca="false">IF($A330="","",_xlfn.MINIFS('سجل المراجعات'!$E$5:$E$1504,'سجل المراجعات'!$A$5:$A$1504,$A330,'سجل المراجعات'!$D$5:$D$1504,"تسليم"))</f>
        <v/>
      </c>
      <c r="K330" s="33" t="str">
        <f aca="false">IF($A330="","",_xlfn.MAXIFS('سجل المراجعات'!$E$5:$E$1504,'سجل المراجعات'!$A$5:$A$1504,$A330,'سجل المراجعات'!$D$5:$D$1504,"تسليم"))</f>
        <v/>
      </c>
      <c r="L330" s="33" t="str">
        <f aca="false">IF($A330="","",_xlfn.MAXIFS('سجل المراجعات'!$E$5:$E$1504,'سجل المراجعات'!$A$5:$A$1504,$A330,'سجل المراجعات'!$D$5:$D$1504,"رد بملاحظات"))</f>
        <v/>
      </c>
      <c r="M330" s="33" t="str">
        <f aca="false">IF($A330="","",_xlfn.MAXIFS('سجل المراجعات'!$E$5:$E$1504,'سجل المراجعات'!$A$5:$A$1504,$A330,'سجل المراجعات'!$D$5:$D$1504,"قبول"))</f>
        <v/>
      </c>
      <c r="N330" s="26" t="str">
        <f aca="false">IF($A330="","",COUNTIFS('سجل المراجعات'!$A$5:$A$1504,$A330,'سجل المراجعات'!$D$5:$D$1504,"تسليم"))</f>
        <v/>
      </c>
      <c r="O330" s="34" t="str">
        <f aca="false">IF($A330="","",IF(M330&gt;0,"تم القبول",IF(F330="معلق","معلق",IF(AND(L330&gt;0,L330&gt;=K330),"مُعاد بملاحظات",IF(K330&gt;0,"في انتظار القبول",IF(AND(ISNUMBER(E330),E330&lt;تاريخ_الاحتساب),"متأخر",IF(F330="","لم يبدأ",F330)))))))</f>
        <v/>
      </c>
      <c r="P330" s="26" t="str">
        <f aca="false">IF($A330="","",SUMIFS('سجل المراجعات'!$L$5:$L$1504,'سجل المراجعات'!$A$5:$A$1504,$A330))</f>
        <v/>
      </c>
      <c r="Q330" s="26" t="str">
        <f aca="false">IF($A330="","",SUMIFS('سجل المراجعات'!$M$5:$M$1504,'سجل المراجعات'!$A$5:$A$1504,$A330))</f>
        <v/>
      </c>
      <c r="R330" s="26" t="str">
        <f aca="false">IF(OR($A330="",NOT(ISNUMBER(E330))),"",MAX(0,NETWORKDAYS.INTL(E330,IF(J330&gt;0,J330,تاريخ_الاحتساب),رمز_العطلة,أيام_الأجازات)-1))</f>
        <v/>
      </c>
      <c r="S330" s="22"/>
    </row>
    <row r="331" customFormat="false" ht="15" hidden="false" customHeight="false" outlineLevel="0" collapsed="false">
      <c r="A331" s="20"/>
      <c r="B331" s="20"/>
      <c r="C331" s="30" t="str">
        <f aca="false">IF($A331="","",IFERROR(INDEX(بند_الاسم,MATCH($B331,قائمة_البنود,0)),"⚠ بند غير موجود"))</f>
        <v/>
      </c>
      <c r="D331" s="22"/>
      <c r="E331" s="31"/>
      <c r="F331" s="21"/>
      <c r="G331" s="32"/>
      <c r="H331" s="25" t="str">
        <f aca="false">IF($A331="","",IFERROR(INDEX(بند_سعر_الوحدة,MATCH($B331,قائمة_البنود,0)),0))</f>
        <v/>
      </c>
      <c r="I331" s="25" t="str">
        <f aca="false">IF($A331="","",H331*(1+نسبة_الضريبة))</f>
        <v/>
      </c>
      <c r="J331" s="33" t="str">
        <f aca="false">IF($A331="","",_xlfn.MINIFS('سجل المراجعات'!$E$5:$E$1504,'سجل المراجعات'!$A$5:$A$1504,$A331,'سجل المراجعات'!$D$5:$D$1504,"تسليم"))</f>
        <v/>
      </c>
      <c r="K331" s="33" t="str">
        <f aca="false">IF($A331="","",_xlfn.MAXIFS('سجل المراجعات'!$E$5:$E$1504,'سجل المراجعات'!$A$5:$A$1504,$A331,'سجل المراجعات'!$D$5:$D$1504,"تسليم"))</f>
        <v/>
      </c>
      <c r="L331" s="33" t="str">
        <f aca="false">IF($A331="","",_xlfn.MAXIFS('سجل المراجعات'!$E$5:$E$1504,'سجل المراجعات'!$A$5:$A$1504,$A331,'سجل المراجعات'!$D$5:$D$1504,"رد بملاحظات"))</f>
        <v/>
      </c>
      <c r="M331" s="33" t="str">
        <f aca="false">IF($A331="","",_xlfn.MAXIFS('سجل المراجعات'!$E$5:$E$1504,'سجل المراجعات'!$A$5:$A$1504,$A331,'سجل المراجعات'!$D$5:$D$1504,"قبول"))</f>
        <v/>
      </c>
      <c r="N331" s="26" t="str">
        <f aca="false">IF($A331="","",COUNTIFS('سجل المراجعات'!$A$5:$A$1504,$A331,'سجل المراجعات'!$D$5:$D$1504,"تسليم"))</f>
        <v/>
      </c>
      <c r="O331" s="34" t="str">
        <f aca="false">IF($A331="","",IF(M331&gt;0,"تم القبول",IF(F331="معلق","معلق",IF(AND(L331&gt;0,L331&gt;=K331),"مُعاد بملاحظات",IF(K331&gt;0,"في انتظار القبول",IF(AND(ISNUMBER(E331),E331&lt;تاريخ_الاحتساب),"متأخر",IF(F331="","لم يبدأ",F331)))))))</f>
        <v/>
      </c>
      <c r="P331" s="26" t="str">
        <f aca="false">IF($A331="","",SUMIFS('سجل المراجعات'!$L$5:$L$1504,'سجل المراجعات'!$A$5:$A$1504,$A331))</f>
        <v/>
      </c>
      <c r="Q331" s="26" t="str">
        <f aca="false">IF($A331="","",SUMIFS('سجل المراجعات'!$M$5:$M$1504,'سجل المراجعات'!$A$5:$A$1504,$A331))</f>
        <v/>
      </c>
      <c r="R331" s="26" t="str">
        <f aca="false">IF(OR($A331="",NOT(ISNUMBER(E331))),"",MAX(0,NETWORKDAYS.INTL(E331,IF(J331&gt;0,J331,تاريخ_الاحتساب),رمز_العطلة,أيام_الأجازات)-1))</f>
        <v/>
      </c>
      <c r="S331" s="22"/>
    </row>
    <row r="332" customFormat="false" ht="15" hidden="false" customHeight="false" outlineLevel="0" collapsed="false">
      <c r="A332" s="20"/>
      <c r="B332" s="20"/>
      <c r="C332" s="30" t="str">
        <f aca="false">IF($A332="","",IFERROR(INDEX(بند_الاسم,MATCH($B332,قائمة_البنود,0)),"⚠ بند غير موجود"))</f>
        <v/>
      </c>
      <c r="D332" s="22"/>
      <c r="E332" s="31"/>
      <c r="F332" s="21"/>
      <c r="G332" s="32"/>
      <c r="H332" s="25" t="str">
        <f aca="false">IF($A332="","",IFERROR(INDEX(بند_سعر_الوحدة,MATCH($B332,قائمة_البنود,0)),0))</f>
        <v/>
      </c>
      <c r="I332" s="25" t="str">
        <f aca="false">IF($A332="","",H332*(1+نسبة_الضريبة))</f>
        <v/>
      </c>
      <c r="J332" s="33" t="str">
        <f aca="false">IF($A332="","",_xlfn.MINIFS('سجل المراجعات'!$E$5:$E$1504,'سجل المراجعات'!$A$5:$A$1504,$A332,'سجل المراجعات'!$D$5:$D$1504,"تسليم"))</f>
        <v/>
      </c>
      <c r="K332" s="33" t="str">
        <f aca="false">IF($A332="","",_xlfn.MAXIFS('سجل المراجعات'!$E$5:$E$1504,'سجل المراجعات'!$A$5:$A$1504,$A332,'سجل المراجعات'!$D$5:$D$1504,"تسليم"))</f>
        <v/>
      </c>
      <c r="L332" s="33" t="str">
        <f aca="false">IF($A332="","",_xlfn.MAXIFS('سجل المراجعات'!$E$5:$E$1504,'سجل المراجعات'!$A$5:$A$1504,$A332,'سجل المراجعات'!$D$5:$D$1504,"رد بملاحظات"))</f>
        <v/>
      </c>
      <c r="M332" s="33" t="str">
        <f aca="false">IF($A332="","",_xlfn.MAXIFS('سجل المراجعات'!$E$5:$E$1504,'سجل المراجعات'!$A$5:$A$1504,$A332,'سجل المراجعات'!$D$5:$D$1504,"قبول"))</f>
        <v/>
      </c>
      <c r="N332" s="26" t="str">
        <f aca="false">IF($A332="","",COUNTIFS('سجل المراجعات'!$A$5:$A$1504,$A332,'سجل المراجعات'!$D$5:$D$1504,"تسليم"))</f>
        <v/>
      </c>
      <c r="O332" s="34" t="str">
        <f aca="false">IF($A332="","",IF(M332&gt;0,"تم القبول",IF(F332="معلق","معلق",IF(AND(L332&gt;0,L332&gt;=K332),"مُعاد بملاحظات",IF(K332&gt;0,"في انتظار القبول",IF(AND(ISNUMBER(E332),E332&lt;تاريخ_الاحتساب),"متأخر",IF(F332="","لم يبدأ",F332)))))))</f>
        <v/>
      </c>
      <c r="P332" s="26" t="str">
        <f aca="false">IF($A332="","",SUMIFS('سجل المراجعات'!$L$5:$L$1504,'سجل المراجعات'!$A$5:$A$1504,$A332))</f>
        <v/>
      </c>
      <c r="Q332" s="26" t="str">
        <f aca="false">IF($A332="","",SUMIFS('سجل المراجعات'!$M$5:$M$1504,'سجل المراجعات'!$A$5:$A$1504,$A332))</f>
        <v/>
      </c>
      <c r="R332" s="26" t="str">
        <f aca="false">IF(OR($A332="",NOT(ISNUMBER(E332))),"",MAX(0,NETWORKDAYS.INTL(E332,IF(J332&gt;0,J332,تاريخ_الاحتساب),رمز_العطلة,أيام_الأجازات)-1))</f>
        <v/>
      </c>
      <c r="S332" s="22"/>
    </row>
    <row r="333" customFormat="false" ht="15" hidden="false" customHeight="false" outlineLevel="0" collapsed="false">
      <c r="A333" s="20"/>
      <c r="B333" s="20"/>
      <c r="C333" s="30" t="str">
        <f aca="false">IF($A333="","",IFERROR(INDEX(بند_الاسم,MATCH($B333,قائمة_البنود,0)),"⚠ بند غير موجود"))</f>
        <v/>
      </c>
      <c r="D333" s="22"/>
      <c r="E333" s="31"/>
      <c r="F333" s="21"/>
      <c r="G333" s="32"/>
      <c r="H333" s="25" t="str">
        <f aca="false">IF($A333="","",IFERROR(INDEX(بند_سعر_الوحدة,MATCH($B333,قائمة_البنود,0)),0))</f>
        <v/>
      </c>
      <c r="I333" s="25" t="str">
        <f aca="false">IF($A333="","",H333*(1+نسبة_الضريبة))</f>
        <v/>
      </c>
      <c r="J333" s="33" t="str">
        <f aca="false">IF($A333="","",_xlfn.MINIFS('سجل المراجعات'!$E$5:$E$1504,'سجل المراجعات'!$A$5:$A$1504,$A333,'سجل المراجعات'!$D$5:$D$1504,"تسليم"))</f>
        <v/>
      </c>
      <c r="K333" s="33" t="str">
        <f aca="false">IF($A333="","",_xlfn.MAXIFS('سجل المراجعات'!$E$5:$E$1504,'سجل المراجعات'!$A$5:$A$1504,$A333,'سجل المراجعات'!$D$5:$D$1504,"تسليم"))</f>
        <v/>
      </c>
      <c r="L333" s="33" t="str">
        <f aca="false">IF($A333="","",_xlfn.MAXIFS('سجل المراجعات'!$E$5:$E$1504,'سجل المراجعات'!$A$5:$A$1504,$A333,'سجل المراجعات'!$D$5:$D$1504,"رد بملاحظات"))</f>
        <v/>
      </c>
      <c r="M333" s="33" t="str">
        <f aca="false">IF($A333="","",_xlfn.MAXIFS('سجل المراجعات'!$E$5:$E$1504,'سجل المراجعات'!$A$5:$A$1504,$A333,'سجل المراجعات'!$D$5:$D$1504,"قبول"))</f>
        <v/>
      </c>
      <c r="N333" s="26" t="str">
        <f aca="false">IF($A333="","",COUNTIFS('سجل المراجعات'!$A$5:$A$1504,$A333,'سجل المراجعات'!$D$5:$D$1504,"تسليم"))</f>
        <v/>
      </c>
      <c r="O333" s="34" t="str">
        <f aca="false">IF($A333="","",IF(M333&gt;0,"تم القبول",IF(F333="معلق","معلق",IF(AND(L333&gt;0,L333&gt;=K333),"مُعاد بملاحظات",IF(K333&gt;0,"في انتظار القبول",IF(AND(ISNUMBER(E333),E333&lt;تاريخ_الاحتساب),"متأخر",IF(F333="","لم يبدأ",F333)))))))</f>
        <v/>
      </c>
      <c r="P333" s="26" t="str">
        <f aca="false">IF($A333="","",SUMIFS('سجل المراجعات'!$L$5:$L$1504,'سجل المراجعات'!$A$5:$A$1504,$A333))</f>
        <v/>
      </c>
      <c r="Q333" s="26" t="str">
        <f aca="false">IF($A333="","",SUMIFS('سجل المراجعات'!$M$5:$M$1504,'سجل المراجعات'!$A$5:$A$1504,$A333))</f>
        <v/>
      </c>
      <c r="R333" s="26" t="str">
        <f aca="false">IF(OR($A333="",NOT(ISNUMBER(E333))),"",MAX(0,NETWORKDAYS.INTL(E333,IF(J333&gt;0,J333,تاريخ_الاحتساب),رمز_العطلة,أيام_الأجازات)-1))</f>
        <v/>
      </c>
      <c r="S333" s="22"/>
    </row>
    <row r="334" customFormat="false" ht="15" hidden="false" customHeight="false" outlineLevel="0" collapsed="false">
      <c r="A334" s="20"/>
      <c r="B334" s="20"/>
      <c r="C334" s="30" t="str">
        <f aca="false">IF($A334="","",IFERROR(INDEX(بند_الاسم,MATCH($B334,قائمة_البنود,0)),"⚠ بند غير موجود"))</f>
        <v/>
      </c>
      <c r="D334" s="22"/>
      <c r="E334" s="31"/>
      <c r="F334" s="21"/>
      <c r="G334" s="32"/>
      <c r="H334" s="25" t="str">
        <f aca="false">IF($A334="","",IFERROR(INDEX(بند_سعر_الوحدة,MATCH($B334,قائمة_البنود,0)),0))</f>
        <v/>
      </c>
      <c r="I334" s="25" t="str">
        <f aca="false">IF($A334="","",H334*(1+نسبة_الضريبة))</f>
        <v/>
      </c>
      <c r="J334" s="33" t="str">
        <f aca="false">IF($A334="","",_xlfn.MINIFS('سجل المراجعات'!$E$5:$E$1504,'سجل المراجعات'!$A$5:$A$1504,$A334,'سجل المراجعات'!$D$5:$D$1504,"تسليم"))</f>
        <v/>
      </c>
      <c r="K334" s="33" t="str">
        <f aca="false">IF($A334="","",_xlfn.MAXIFS('سجل المراجعات'!$E$5:$E$1504,'سجل المراجعات'!$A$5:$A$1504,$A334,'سجل المراجعات'!$D$5:$D$1504,"تسليم"))</f>
        <v/>
      </c>
      <c r="L334" s="33" t="str">
        <f aca="false">IF($A334="","",_xlfn.MAXIFS('سجل المراجعات'!$E$5:$E$1504,'سجل المراجعات'!$A$5:$A$1504,$A334,'سجل المراجعات'!$D$5:$D$1504,"رد بملاحظات"))</f>
        <v/>
      </c>
      <c r="M334" s="33" t="str">
        <f aca="false">IF($A334="","",_xlfn.MAXIFS('سجل المراجعات'!$E$5:$E$1504,'سجل المراجعات'!$A$5:$A$1504,$A334,'سجل المراجعات'!$D$5:$D$1504,"قبول"))</f>
        <v/>
      </c>
      <c r="N334" s="26" t="str">
        <f aca="false">IF($A334="","",COUNTIFS('سجل المراجعات'!$A$5:$A$1504,$A334,'سجل المراجعات'!$D$5:$D$1504,"تسليم"))</f>
        <v/>
      </c>
      <c r="O334" s="34" t="str">
        <f aca="false">IF($A334="","",IF(M334&gt;0,"تم القبول",IF(F334="معلق","معلق",IF(AND(L334&gt;0,L334&gt;=K334),"مُعاد بملاحظات",IF(K334&gt;0,"في انتظار القبول",IF(AND(ISNUMBER(E334),E334&lt;تاريخ_الاحتساب),"متأخر",IF(F334="","لم يبدأ",F334)))))))</f>
        <v/>
      </c>
      <c r="P334" s="26" t="str">
        <f aca="false">IF($A334="","",SUMIFS('سجل المراجعات'!$L$5:$L$1504,'سجل المراجعات'!$A$5:$A$1504,$A334))</f>
        <v/>
      </c>
      <c r="Q334" s="26" t="str">
        <f aca="false">IF($A334="","",SUMIFS('سجل المراجعات'!$M$5:$M$1504,'سجل المراجعات'!$A$5:$A$1504,$A334))</f>
        <v/>
      </c>
      <c r="R334" s="26" t="str">
        <f aca="false">IF(OR($A334="",NOT(ISNUMBER(E334))),"",MAX(0,NETWORKDAYS.INTL(E334,IF(J334&gt;0,J334,تاريخ_الاحتساب),رمز_العطلة,أيام_الأجازات)-1))</f>
        <v/>
      </c>
      <c r="S334" s="22"/>
    </row>
    <row r="335" customFormat="false" ht="15" hidden="false" customHeight="false" outlineLevel="0" collapsed="false">
      <c r="A335" s="20"/>
      <c r="B335" s="20"/>
      <c r="C335" s="30" t="str">
        <f aca="false">IF($A335="","",IFERROR(INDEX(بند_الاسم,MATCH($B335,قائمة_البنود,0)),"⚠ بند غير موجود"))</f>
        <v/>
      </c>
      <c r="D335" s="22"/>
      <c r="E335" s="31"/>
      <c r="F335" s="21"/>
      <c r="G335" s="32"/>
      <c r="H335" s="25" t="str">
        <f aca="false">IF($A335="","",IFERROR(INDEX(بند_سعر_الوحدة,MATCH($B335,قائمة_البنود,0)),0))</f>
        <v/>
      </c>
      <c r="I335" s="25" t="str">
        <f aca="false">IF($A335="","",H335*(1+نسبة_الضريبة))</f>
        <v/>
      </c>
      <c r="J335" s="33" t="str">
        <f aca="false">IF($A335="","",_xlfn.MINIFS('سجل المراجعات'!$E$5:$E$1504,'سجل المراجعات'!$A$5:$A$1504,$A335,'سجل المراجعات'!$D$5:$D$1504,"تسليم"))</f>
        <v/>
      </c>
      <c r="K335" s="33" t="str">
        <f aca="false">IF($A335="","",_xlfn.MAXIFS('سجل المراجعات'!$E$5:$E$1504,'سجل المراجعات'!$A$5:$A$1504,$A335,'سجل المراجعات'!$D$5:$D$1504,"تسليم"))</f>
        <v/>
      </c>
      <c r="L335" s="33" t="str">
        <f aca="false">IF($A335="","",_xlfn.MAXIFS('سجل المراجعات'!$E$5:$E$1504,'سجل المراجعات'!$A$5:$A$1504,$A335,'سجل المراجعات'!$D$5:$D$1504,"رد بملاحظات"))</f>
        <v/>
      </c>
      <c r="M335" s="33" t="str">
        <f aca="false">IF($A335="","",_xlfn.MAXIFS('سجل المراجعات'!$E$5:$E$1504,'سجل المراجعات'!$A$5:$A$1504,$A335,'سجل المراجعات'!$D$5:$D$1504,"قبول"))</f>
        <v/>
      </c>
      <c r="N335" s="26" t="str">
        <f aca="false">IF($A335="","",COUNTIFS('سجل المراجعات'!$A$5:$A$1504,$A335,'سجل المراجعات'!$D$5:$D$1504,"تسليم"))</f>
        <v/>
      </c>
      <c r="O335" s="34" t="str">
        <f aca="false">IF($A335="","",IF(M335&gt;0,"تم القبول",IF(F335="معلق","معلق",IF(AND(L335&gt;0,L335&gt;=K335),"مُعاد بملاحظات",IF(K335&gt;0,"في انتظار القبول",IF(AND(ISNUMBER(E335),E335&lt;تاريخ_الاحتساب),"متأخر",IF(F335="","لم يبدأ",F335)))))))</f>
        <v/>
      </c>
      <c r="P335" s="26" t="str">
        <f aca="false">IF($A335="","",SUMIFS('سجل المراجعات'!$L$5:$L$1504,'سجل المراجعات'!$A$5:$A$1504,$A335))</f>
        <v/>
      </c>
      <c r="Q335" s="26" t="str">
        <f aca="false">IF($A335="","",SUMIFS('سجل المراجعات'!$M$5:$M$1504,'سجل المراجعات'!$A$5:$A$1504,$A335))</f>
        <v/>
      </c>
      <c r="R335" s="26" t="str">
        <f aca="false">IF(OR($A335="",NOT(ISNUMBER(E335))),"",MAX(0,NETWORKDAYS.INTL(E335,IF(J335&gt;0,J335,تاريخ_الاحتساب),رمز_العطلة,أيام_الأجازات)-1))</f>
        <v/>
      </c>
      <c r="S335" s="22"/>
    </row>
    <row r="336" customFormat="false" ht="15" hidden="false" customHeight="false" outlineLevel="0" collapsed="false">
      <c r="A336" s="20"/>
      <c r="B336" s="20"/>
      <c r="C336" s="30" t="str">
        <f aca="false">IF($A336="","",IFERROR(INDEX(بند_الاسم,MATCH($B336,قائمة_البنود,0)),"⚠ بند غير موجود"))</f>
        <v/>
      </c>
      <c r="D336" s="22"/>
      <c r="E336" s="31"/>
      <c r="F336" s="21"/>
      <c r="G336" s="32"/>
      <c r="H336" s="25" t="str">
        <f aca="false">IF($A336="","",IFERROR(INDEX(بند_سعر_الوحدة,MATCH($B336,قائمة_البنود,0)),0))</f>
        <v/>
      </c>
      <c r="I336" s="25" t="str">
        <f aca="false">IF($A336="","",H336*(1+نسبة_الضريبة))</f>
        <v/>
      </c>
      <c r="J336" s="33" t="str">
        <f aca="false">IF($A336="","",_xlfn.MINIFS('سجل المراجعات'!$E$5:$E$1504,'سجل المراجعات'!$A$5:$A$1504,$A336,'سجل المراجعات'!$D$5:$D$1504,"تسليم"))</f>
        <v/>
      </c>
      <c r="K336" s="33" t="str">
        <f aca="false">IF($A336="","",_xlfn.MAXIFS('سجل المراجعات'!$E$5:$E$1504,'سجل المراجعات'!$A$5:$A$1504,$A336,'سجل المراجعات'!$D$5:$D$1504,"تسليم"))</f>
        <v/>
      </c>
      <c r="L336" s="33" t="str">
        <f aca="false">IF($A336="","",_xlfn.MAXIFS('سجل المراجعات'!$E$5:$E$1504,'سجل المراجعات'!$A$5:$A$1504,$A336,'سجل المراجعات'!$D$5:$D$1504,"رد بملاحظات"))</f>
        <v/>
      </c>
      <c r="M336" s="33" t="str">
        <f aca="false">IF($A336="","",_xlfn.MAXIFS('سجل المراجعات'!$E$5:$E$1504,'سجل المراجعات'!$A$5:$A$1504,$A336,'سجل المراجعات'!$D$5:$D$1504,"قبول"))</f>
        <v/>
      </c>
      <c r="N336" s="26" t="str">
        <f aca="false">IF($A336="","",COUNTIFS('سجل المراجعات'!$A$5:$A$1504,$A336,'سجل المراجعات'!$D$5:$D$1504,"تسليم"))</f>
        <v/>
      </c>
      <c r="O336" s="34" t="str">
        <f aca="false">IF($A336="","",IF(M336&gt;0,"تم القبول",IF(F336="معلق","معلق",IF(AND(L336&gt;0,L336&gt;=K336),"مُعاد بملاحظات",IF(K336&gt;0,"في انتظار القبول",IF(AND(ISNUMBER(E336),E336&lt;تاريخ_الاحتساب),"متأخر",IF(F336="","لم يبدأ",F336)))))))</f>
        <v/>
      </c>
      <c r="P336" s="26" t="str">
        <f aca="false">IF($A336="","",SUMIFS('سجل المراجعات'!$L$5:$L$1504,'سجل المراجعات'!$A$5:$A$1504,$A336))</f>
        <v/>
      </c>
      <c r="Q336" s="26" t="str">
        <f aca="false">IF($A336="","",SUMIFS('سجل المراجعات'!$M$5:$M$1504,'سجل المراجعات'!$A$5:$A$1504,$A336))</f>
        <v/>
      </c>
      <c r="R336" s="26" t="str">
        <f aca="false">IF(OR($A336="",NOT(ISNUMBER(E336))),"",MAX(0,NETWORKDAYS.INTL(E336,IF(J336&gt;0,J336,تاريخ_الاحتساب),رمز_العطلة,أيام_الأجازات)-1))</f>
        <v/>
      </c>
      <c r="S336" s="22"/>
    </row>
    <row r="337" customFormat="false" ht="15" hidden="false" customHeight="false" outlineLevel="0" collapsed="false">
      <c r="A337" s="20"/>
      <c r="B337" s="20"/>
      <c r="C337" s="30" t="str">
        <f aca="false">IF($A337="","",IFERROR(INDEX(بند_الاسم,MATCH($B337,قائمة_البنود,0)),"⚠ بند غير موجود"))</f>
        <v/>
      </c>
      <c r="D337" s="22"/>
      <c r="E337" s="31"/>
      <c r="F337" s="21"/>
      <c r="G337" s="32"/>
      <c r="H337" s="25" t="str">
        <f aca="false">IF($A337="","",IFERROR(INDEX(بند_سعر_الوحدة,MATCH($B337,قائمة_البنود,0)),0))</f>
        <v/>
      </c>
      <c r="I337" s="25" t="str">
        <f aca="false">IF($A337="","",H337*(1+نسبة_الضريبة))</f>
        <v/>
      </c>
      <c r="J337" s="33" t="str">
        <f aca="false">IF($A337="","",_xlfn.MINIFS('سجل المراجعات'!$E$5:$E$1504,'سجل المراجعات'!$A$5:$A$1504,$A337,'سجل المراجعات'!$D$5:$D$1504,"تسليم"))</f>
        <v/>
      </c>
      <c r="K337" s="33" t="str">
        <f aca="false">IF($A337="","",_xlfn.MAXIFS('سجل المراجعات'!$E$5:$E$1504,'سجل المراجعات'!$A$5:$A$1504,$A337,'سجل المراجعات'!$D$5:$D$1504,"تسليم"))</f>
        <v/>
      </c>
      <c r="L337" s="33" t="str">
        <f aca="false">IF($A337="","",_xlfn.MAXIFS('سجل المراجعات'!$E$5:$E$1504,'سجل المراجعات'!$A$5:$A$1504,$A337,'سجل المراجعات'!$D$5:$D$1504,"رد بملاحظات"))</f>
        <v/>
      </c>
      <c r="M337" s="33" t="str">
        <f aca="false">IF($A337="","",_xlfn.MAXIFS('سجل المراجعات'!$E$5:$E$1504,'سجل المراجعات'!$A$5:$A$1504,$A337,'سجل المراجعات'!$D$5:$D$1504,"قبول"))</f>
        <v/>
      </c>
      <c r="N337" s="26" t="str">
        <f aca="false">IF($A337="","",COUNTIFS('سجل المراجعات'!$A$5:$A$1504,$A337,'سجل المراجعات'!$D$5:$D$1504,"تسليم"))</f>
        <v/>
      </c>
      <c r="O337" s="34" t="str">
        <f aca="false">IF($A337="","",IF(M337&gt;0,"تم القبول",IF(F337="معلق","معلق",IF(AND(L337&gt;0,L337&gt;=K337),"مُعاد بملاحظات",IF(K337&gt;0,"في انتظار القبول",IF(AND(ISNUMBER(E337),E337&lt;تاريخ_الاحتساب),"متأخر",IF(F337="","لم يبدأ",F337)))))))</f>
        <v/>
      </c>
      <c r="P337" s="26" t="str">
        <f aca="false">IF($A337="","",SUMIFS('سجل المراجعات'!$L$5:$L$1504,'سجل المراجعات'!$A$5:$A$1504,$A337))</f>
        <v/>
      </c>
      <c r="Q337" s="26" t="str">
        <f aca="false">IF($A337="","",SUMIFS('سجل المراجعات'!$M$5:$M$1504,'سجل المراجعات'!$A$5:$A$1504,$A337))</f>
        <v/>
      </c>
      <c r="R337" s="26" t="str">
        <f aca="false">IF(OR($A337="",NOT(ISNUMBER(E337))),"",MAX(0,NETWORKDAYS.INTL(E337,IF(J337&gt;0,J337,تاريخ_الاحتساب),رمز_العطلة,أيام_الأجازات)-1))</f>
        <v/>
      </c>
      <c r="S337" s="22"/>
    </row>
    <row r="338" customFormat="false" ht="15" hidden="false" customHeight="false" outlineLevel="0" collapsed="false">
      <c r="A338" s="20"/>
      <c r="B338" s="20"/>
      <c r="C338" s="30" t="str">
        <f aca="false">IF($A338="","",IFERROR(INDEX(بند_الاسم,MATCH($B338,قائمة_البنود,0)),"⚠ بند غير موجود"))</f>
        <v/>
      </c>
      <c r="D338" s="22"/>
      <c r="E338" s="31"/>
      <c r="F338" s="21"/>
      <c r="G338" s="32"/>
      <c r="H338" s="25" t="str">
        <f aca="false">IF($A338="","",IFERROR(INDEX(بند_سعر_الوحدة,MATCH($B338,قائمة_البنود,0)),0))</f>
        <v/>
      </c>
      <c r="I338" s="25" t="str">
        <f aca="false">IF($A338="","",H338*(1+نسبة_الضريبة))</f>
        <v/>
      </c>
      <c r="J338" s="33" t="str">
        <f aca="false">IF($A338="","",_xlfn.MINIFS('سجل المراجعات'!$E$5:$E$1504,'سجل المراجعات'!$A$5:$A$1504,$A338,'سجل المراجعات'!$D$5:$D$1504,"تسليم"))</f>
        <v/>
      </c>
      <c r="K338" s="33" t="str">
        <f aca="false">IF($A338="","",_xlfn.MAXIFS('سجل المراجعات'!$E$5:$E$1504,'سجل المراجعات'!$A$5:$A$1504,$A338,'سجل المراجعات'!$D$5:$D$1504,"تسليم"))</f>
        <v/>
      </c>
      <c r="L338" s="33" t="str">
        <f aca="false">IF($A338="","",_xlfn.MAXIFS('سجل المراجعات'!$E$5:$E$1504,'سجل المراجعات'!$A$5:$A$1504,$A338,'سجل المراجعات'!$D$5:$D$1504,"رد بملاحظات"))</f>
        <v/>
      </c>
      <c r="M338" s="33" t="str">
        <f aca="false">IF($A338="","",_xlfn.MAXIFS('سجل المراجعات'!$E$5:$E$1504,'سجل المراجعات'!$A$5:$A$1504,$A338,'سجل المراجعات'!$D$5:$D$1504,"قبول"))</f>
        <v/>
      </c>
      <c r="N338" s="26" t="str">
        <f aca="false">IF($A338="","",COUNTIFS('سجل المراجعات'!$A$5:$A$1504,$A338,'سجل المراجعات'!$D$5:$D$1504,"تسليم"))</f>
        <v/>
      </c>
      <c r="O338" s="34" t="str">
        <f aca="false">IF($A338="","",IF(M338&gt;0,"تم القبول",IF(F338="معلق","معلق",IF(AND(L338&gt;0,L338&gt;=K338),"مُعاد بملاحظات",IF(K338&gt;0,"في انتظار القبول",IF(AND(ISNUMBER(E338),E338&lt;تاريخ_الاحتساب),"متأخر",IF(F338="","لم يبدأ",F338)))))))</f>
        <v/>
      </c>
      <c r="P338" s="26" t="str">
        <f aca="false">IF($A338="","",SUMIFS('سجل المراجعات'!$L$5:$L$1504,'سجل المراجعات'!$A$5:$A$1504,$A338))</f>
        <v/>
      </c>
      <c r="Q338" s="26" t="str">
        <f aca="false">IF($A338="","",SUMIFS('سجل المراجعات'!$M$5:$M$1504,'سجل المراجعات'!$A$5:$A$1504,$A338))</f>
        <v/>
      </c>
      <c r="R338" s="26" t="str">
        <f aca="false">IF(OR($A338="",NOT(ISNUMBER(E338))),"",MAX(0,NETWORKDAYS.INTL(E338,IF(J338&gt;0,J338,تاريخ_الاحتساب),رمز_العطلة,أيام_الأجازات)-1))</f>
        <v/>
      </c>
      <c r="S338" s="22"/>
    </row>
    <row r="339" customFormat="false" ht="15" hidden="false" customHeight="false" outlineLevel="0" collapsed="false">
      <c r="A339" s="20"/>
      <c r="B339" s="20"/>
      <c r="C339" s="30" t="str">
        <f aca="false">IF($A339="","",IFERROR(INDEX(بند_الاسم,MATCH($B339,قائمة_البنود,0)),"⚠ بند غير موجود"))</f>
        <v/>
      </c>
      <c r="D339" s="22"/>
      <c r="E339" s="31"/>
      <c r="F339" s="21"/>
      <c r="G339" s="32"/>
      <c r="H339" s="25" t="str">
        <f aca="false">IF($A339="","",IFERROR(INDEX(بند_سعر_الوحدة,MATCH($B339,قائمة_البنود,0)),0))</f>
        <v/>
      </c>
      <c r="I339" s="25" t="str">
        <f aca="false">IF($A339="","",H339*(1+نسبة_الضريبة))</f>
        <v/>
      </c>
      <c r="J339" s="33" t="str">
        <f aca="false">IF($A339="","",_xlfn.MINIFS('سجل المراجعات'!$E$5:$E$1504,'سجل المراجعات'!$A$5:$A$1504,$A339,'سجل المراجعات'!$D$5:$D$1504,"تسليم"))</f>
        <v/>
      </c>
      <c r="K339" s="33" t="str">
        <f aca="false">IF($A339="","",_xlfn.MAXIFS('سجل المراجعات'!$E$5:$E$1504,'سجل المراجعات'!$A$5:$A$1504,$A339,'سجل المراجعات'!$D$5:$D$1504,"تسليم"))</f>
        <v/>
      </c>
      <c r="L339" s="33" t="str">
        <f aca="false">IF($A339="","",_xlfn.MAXIFS('سجل المراجعات'!$E$5:$E$1504,'سجل المراجعات'!$A$5:$A$1504,$A339,'سجل المراجعات'!$D$5:$D$1504,"رد بملاحظات"))</f>
        <v/>
      </c>
      <c r="M339" s="33" t="str">
        <f aca="false">IF($A339="","",_xlfn.MAXIFS('سجل المراجعات'!$E$5:$E$1504,'سجل المراجعات'!$A$5:$A$1504,$A339,'سجل المراجعات'!$D$5:$D$1504,"قبول"))</f>
        <v/>
      </c>
      <c r="N339" s="26" t="str">
        <f aca="false">IF($A339="","",COUNTIFS('سجل المراجعات'!$A$5:$A$1504,$A339,'سجل المراجعات'!$D$5:$D$1504,"تسليم"))</f>
        <v/>
      </c>
      <c r="O339" s="34" t="str">
        <f aca="false">IF($A339="","",IF(M339&gt;0,"تم القبول",IF(F339="معلق","معلق",IF(AND(L339&gt;0,L339&gt;=K339),"مُعاد بملاحظات",IF(K339&gt;0,"في انتظار القبول",IF(AND(ISNUMBER(E339),E339&lt;تاريخ_الاحتساب),"متأخر",IF(F339="","لم يبدأ",F339)))))))</f>
        <v/>
      </c>
      <c r="P339" s="26" t="str">
        <f aca="false">IF($A339="","",SUMIFS('سجل المراجعات'!$L$5:$L$1504,'سجل المراجعات'!$A$5:$A$1504,$A339))</f>
        <v/>
      </c>
      <c r="Q339" s="26" t="str">
        <f aca="false">IF($A339="","",SUMIFS('سجل المراجعات'!$M$5:$M$1504,'سجل المراجعات'!$A$5:$A$1504,$A339))</f>
        <v/>
      </c>
      <c r="R339" s="26" t="str">
        <f aca="false">IF(OR($A339="",NOT(ISNUMBER(E339))),"",MAX(0,NETWORKDAYS.INTL(E339,IF(J339&gt;0,J339,تاريخ_الاحتساب),رمز_العطلة,أيام_الأجازات)-1))</f>
        <v/>
      </c>
      <c r="S339" s="22"/>
    </row>
    <row r="340" customFormat="false" ht="15" hidden="false" customHeight="false" outlineLevel="0" collapsed="false">
      <c r="A340" s="20"/>
      <c r="B340" s="20"/>
      <c r="C340" s="30" t="str">
        <f aca="false">IF($A340="","",IFERROR(INDEX(بند_الاسم,MATCH($B340,قائمة_البنود,0)),"⚠ بند غير موجود"))</f>
        <v/>
      </c>
      <c r="D340" s="22"/>
      <c r="E340" s="31"/>
      <c r="F340" s="21"/>
      <c r="G340" s="32"/>
      <c r="H340" s="25" t="str">
        <f aca="false">IF($A340="","",IFERROR(INDEX(بند_سعر_الوحدة,MATCH($B340,قائمة_البنود,0)),0))</f>
        <v/>
      </c>
      <c r="I340" s="25" t="str">
        <f aca="false">IF($A340="","",H340*(1+نسبة_الضريبة))</f>
        <v/>
      </c>
      <c r="J340" s="33" t="str">
        <f aca="false">IF($A340="","",_xlfn.MINIFS('سجل المراجعات'!$E$5:$E$1504,'سجل المراجعات'!$A$5:$A$1504,$A340,'سجل المراجعات'!$D$5:$D$1504,"تسليم"))</f>
        <v/>
      </c>
      <c r="K340" s="33" t="str">
        <f aca="false">IF($A340="","",_xlfn.MAXIFS('سجل المراجعات'!$E$5:$E$1504,'سجل المراجعات'!$A$5:$A$1504,$A340,'سجل المراجعات'!$D$5:$D$1504,"تسليم"))</f>
        <v/>
      </c>
      <c r="L340" s="33" t="str">
        <f aca="false">IF($A340="","",_xlfn.MAXIFS('سجل المراجعات'!$E$5:$E$1504,'سجل المراجعات'!$A$5:$A$1504,$A340,'سجل المراجعات'!$D$5:$D$1504,"رد بملاحظات"))</f>
        <v/>
      </c>
      <c r="M340" s="33" t="str">
        <f aca="false">IF($A340="","",_xlfn.MAXIFS('سجل المراجعات'!$E$5:$E$1504,'سجل المراجعات'!$A$5:$A$1504,$A340,'سجل المراجعات'!$D$5:$D$1504,"قبول"))</f>
        <v/>
      </c>
      <c r="N340" s="26" t="str">
        <f aca="false">IF($A340="","",COUNTIFS('سجل المراجعات'!$A$5:$A$1504,$A340,'سجل المراجعات'!$D$5:$D$1504,"تسليم"))</f>
        <v/>
      </c>
      <c r="O340" s="34" t="str">
        <f aca="false">IF($A340="","",IF(M340&gt;0,"تم القبول",IF(F340="معلق","معلق",IF(AND(L340&gt;0,L340&gt;=K340),"مُعاد بملاحظات",IF(K340&gt;0,"في انتظار القبول",IF(AND(ISNUMBER(E340),E340&lt;تاريخ_الاحتساب),"متأخر",IF(F340="","لم يبدأ",F340)))))))</f>
        <v/>
      </c>
      <c r="P340" s="26" t="str">
        <f aca="false">IF($A340="","",SUMIFS('سجل المراجعات'!$L$5:$L$1504,'سجل المراجعات'!$A$5:$A$1504,$A340))</f>
        <v/>
      </c>
      <c r="Q340" s="26" t="str">
        <f aca="false">IF($A340="","",SUMIFS('سجل المراجعات'!$M$5:$M$1504,'سجل المراجعات'!$A$5:$A$1504,$A340))</f>
        <v/>
      </c>
      <c r="R340" s="26" t="str">
        <f aca="false">IF(OR($A340="",NOT(ISNUMBER(E340))),"",MAX(0,NETWORKDAYS.INTL(E340,IF(J340&gt;0,J340,تاريخ_الاحتساب),رمز_العطلة,أيام_الأجازات)-1))</f>
        <v/>
      </c>
      <c r="S340" s="22"/>
    </row>
    <row r="341" customFormat="false" ht="15" hidden="false" customHeight="false" outlineLevel="0" collapsed="false">
      <c r="A341" s="20"/>
      <c r="B341" s="20"/>
      <c r="C341" s="30" t="str">
        <f aca="false">IF($A341="","",IFERROR(INDEX(بند_الاسم,MATCH($B341,قائمة_البنود,0)),"⚠ بند غير موجود"))</f>
        <v/>
      </c>
      <c r="D341" s="22"/>
      <c r="E341" s="31"/>
      <c r="F341" s="21"/>
      <c r="G341" s="32"/>
      <c r="H341" s="25" t="str">
        <f aca="false">IF($A341="","",IFERROR(INDEX(بند_سعر_الوحدة,MATCH($B341,قائمة_البنود,0)),0))</f>
        <v/>
      </c>
      <c r="I341" s="25" t="str">
        <f aca="false">IF($A341="","",H341*(1+نسبة_الضريبة))</f>
        <v/>
      </c>
      <c r="J341" s="33" t="str">
        <f aca="false">IF($A341="","",_xlfn.MINIFS('سجل المراجعات'!$E$5:$E$1504,'سجل المراجعات'!$A$5:$A$1504,$A341,'سجل المراجعات'!$D$5:$D$1504,"تسليم"))</f>
        <v/>
      </c>
      <c r="K341" s="33" t="str">
        <f aca="false">IF($A341="","",_xlfn.MAXIFS('سجل المراجعات'!$E$5:$E$1504,'سجل المراجعات'!$A$5:$A$1504,$A341,'سجل المراجعات'!$D$5:$D$1504,"تسليم"))</f>
        <v/>
      </c>
      <c r="L341" s="33" t="str">
        <f aca="false">IF($A341="","",_xlfn.MAXIFS('سجل المراجعات'!$E$5:$E$1504,'سجل المراجعات'!$A$5:$A$1504,$A341,'سجل المراجعات'!$D$5:$D$1504,"رد بملاحظات"))</f>
        <v/>
      </c>
      <c r="M341" s="33" t="str">
        <f aca="false">IF($A341="","",_xlfn.MAXIFS('سجل المراجعات'!$E$5:$E$1504,'سجل المراجعات'!$A$5:$A$1504,$A341,'سجل المراجعات'!$D$5:$D$1504,"قبول"))</f>
        <v/>
      </c>
      <c r="N341" s="26" t="str">
        <f aca="false">IF($A341="","",COUNTIFS('سجل المراجعات'!$A$5:$A$1504,$A341,'سجل المراجعات'!$D$5:$D$1504,"تسليم"))</f>
        <v/>
      </c>
      <c r="O341" s="34" t="str">
        <f aca="false">IF($A341="","",IF(M341&gt;0,"تم القبول",IF(F341="معلق","معلق",IF(AND(L341&gt;0,L341&gt;=K341),"مُعاد بملاحظات",IF(K341&gt;0,"في انتظار القبول",IF(AND(ISNUMBER(E341),E341&lt;تاريخ_الاحتساب),"متأخر",IF(F341="","لم يبدأ",F341)))))))</f>
        <v/>
      </c>
      <c r="P341" s="26" t="str">
        <f aca="false">IF($A341="","",SUMIFS('سجل المراجعات'!$L$5:$L$1504,'سجل المراجعات'!$A$5:$A$1504,$A341))</f>
        <v/>
      </c>
      <c r="Q341" s="26" t="str">
        <f aca="false">IF($A341="","",SUMIFS('سجل المراجعات'!$M$5:$M$1504,'سجل المراجعات'!$A$5:$A$1504,$A341))</f>
        <v/>
      </c>
      <c r="R341" s="26" t="str">
        <f aca="false">IF(OR($A341="",NOT(ISNUMBER(E341))),"",MAX(0,NETWORKDAYS.INTL(E341,IF(J341&gt;0,J341,تاريخ_الاحتساب),رمز_العطلة,أيام_الأجازات)-1))</f>
        <v/>
      </c>
      <c r="S341" s="22"/>
    </row>
    <row r="342" customFormat="false" ht="15" hidden="false" customHeight="false" outlineLevel="0" collapsed="false">
      <c r="A342" s="20"/>
      <c r="B342" s="20"/>
      <c r="C342" s="30" t="str">
        <f aca="false">IF($A342="","",IFERROR(INDEX(بند_الاسم,MATCH($B342,قائمة_البنود,0)),"⚠ بند غير موجود"))</f>
        <v/>
      </c>
      <c r="D342" s="22"/>
      <c r="E342" s="31"/>
      <c r="F342" s="21"/>
      <c r="G342" s="32"/>
      <c r="H342" s="25" t="str">
        <f aca="false">IF($A342="","",IFERROR(INDEX(بند_سعر_الوحدة,MATCH($B342,قائمة_البنود,0)),0))</f>
        <v/>
      </c>
      <c r="I342" s="25" t="str">
        <f aca="false">IF($A342="","",H342*(1+نسبة_الضريبة))</f>
        <v/>
      </c>
      <c r="J342" s="33" t="str">
        <f aca="false">IF($A342="","",_xlfn.MINIFS('سجل المراجعات'!$E$5:$E$1504,'سجل المراجعات'!$A$5:$A$1504,$A342,'سجل المراجعات'!$D$5:$D$1504,"تسليم"))</f>
        <v/>
      </c>
      <c r="K342" s="33" t="str">
        <f aca="false">IF($A342="","",_xlfn.MAXIFS('سجل المراجعات'!$E$5:$E$1504,'سجل المراجعات'!$A$5:$A$1504,$A342,'سجل المراجعات'!$D$5:$D$1504,"تسليم"))</f>
        <v/>
      </c>
      <c r="L342" s="33" t="str">
        <f aca="false">IF($A342="","",_xlfn.MAXIFS('سجل المراجعات'!$E$5:$E$1504,'سجل المراجعات'!$A$5:$A$1504,$A342,'سجل المراجعات'!$D$5:$D$1504,"رد بملاحظات"))</f>
        <v/>
      </c>
      <c r="M342" s="33" t="str">
        <f aca="false">IF($A342="","",_xlfn.MAXIFS('سجل المراجعات'!$E$5:$E$1504,'سجل المراجعات'!$A$5:$A$1504,$A342,'سجل المراجعات'!$D$5:$D$1504,"قبول"))</f>
        <v/>
      </c>
      <c r="N342" s="26" t="str">
        <f aca="false">IF($A342="","",COUNTIFS('سجل المراجعات'!$A$5:$A$1504,$A342,'سجل المراجعات'!$D$5:$D$1504,"تسليم"))</f>
        <v/>
      </c>
      <c r="O342" s="34" t="str">
        <f aca="false">IF($A342="","",IF(M342&gt;0,"تم القبول",IF(F342="معلق","معلق",IF(AND(L342&gt;0,L342&gt;=K342),"مُعاد بملاحظات",IF(K342&gt;0,"في انتظار القبول",IF(AND(ISNUMBER(E342),E342&lt;تاريخ_الاحتساب),"متأخر",IF(F342="","لم يبدأ",F342)))))))</f>
        <v/>
      </c>
      <c r="P342" s="26" t="str">
        <f aca="false">IF($A342="","",SUMIFS('سجل المراجعات'!$L$5:$L$1504,'سجل المراجعات'!$A$5:$A$1504,$A342))</f>
        <v/>
      </c>
      <c r="Q342" s="26" t="str">
        <f aca="false">IF($A342="","",SUMIFS('سجل المراجعات'!$M$5:$M$1504,'سجل المراجعات'!$A$5:$A$1504,$A342))</f>
        <v/>
      </c>
      <c r="R342" s="26" t="str">
        <f aca="false">IF(OR($A342="",NOT(ISNUMBER(E342))),"",MAX(0,NETWORKDAYS.INTL(E342,IF(J342&gt;0,J342,تاريخ_الاحتساب),رمز_العطلة,أيام_الأجازات)-1))</f>
        <v/>
      </c>
      <c r="S342" s="22"/>
    </row>
    <row r="343" customFormat="false" ht="15" hidden="false" customHeight="false" outlineLevel="0" collapsed="false">
      <c r="A343" s="20"/>
      <c r="B343" s="20"/>
      <c r="C343" s="30" t="str">
        <f aca="false">IF($A343="","",IFERROR(INDEX(بند_الاسم,MATCH($B343,قائمة_البنود,0)),"⚠ بند غير موجود"))</f>
        <v/>
      </c>
      <c r="D343" s="22"/>
      <c r="E343" s="31"/>
      <c r="F343" s="21"/>
      <c r="G343" s="32"/>
      <c r="H343" s="25" t="str">
        <f aca="false">IF($A343="","",IFERROR(INDEX(بند_سعر_الوحدة,MATCH($B343,قائمة_البنود,0)),0))</f>
        <v/>
      </c>
      <c r="I343" s="25" t="str">
        <f aca="false">IF($A343="","",H343*(1+نسبة_الضريبة))</f>
        <v/>
      </c>
      <c r="J343" s="33" t="str">
        <f aca="false">IF($A343="","",_xlfn.MINIFS('سجل المراجعات'!$E$5:$E$1504,'سجل المراجعات'!$A$5:$A$1504,$A343,'سجل المراجعات'!$D$5:$D$1504,"تسليم"))</f>
        <v/>
      </c>
      <c r="K343" s="33" t="str">
        <f aca="false">IF($A343="","",_xlfn.MAXIFS('سجل المراجعات'!$E$5:$E$1504,'سجل المراجعات'!$A$5:$A$1504,$A343,'سجل المراجعات'!$D$5:$D$1504,"تسليم"))</f>
        <v/>
      </c>
      <c r="L343" s="33" t="str">
        <f aca="false">IF($A343="","",_xlfn.MAXIFS('سجل المراجعات'!$E$5:$E$1504,'سجل المراجعات'!$A$5:$A$1504,$A343,'سجل المراجعات'!$D$5:$D$1504,"رد بملاحظات"))</f>
        <v/>
      </c>
      <c r="M343" s="33" t="str">
        <f aca="false">IF($A343="","",_xlfn.MAXIFS('سجل المراجعات'!$E$5:$E$1504,'سجل المراجعات'!$A$5:$A$1504,$A343,'سجل المراجعات'!$D$5:$D$1504,"قبول"))</f>
        <v/>
      </c>
      <c r="N343" s="26" t="str">
        <f aca="false">IF($A343="","",COUNTIFS('سجل المراجعات'!$A$5:$A$1504,$A343,'سجل المراجعات'!$D$5:$D$1504,"تسليم"))</f>
        <v/>
      </c>
      <c r="O343" s="34" t="str">
        <f aca="false">IF($A343="","",IF(M343&gt;0,"تم القبول",IF(F343="معلق","معلق",IF(AND(L343&gt;0,L343&gt;=K343),"مُعاد بملاحظات",IF(K343&gt;0,"في انتظار القبول",IF(AND(ISNUMBER(E343),E343&lt;تاريخ_الاحتساب),"متأخر",IF(F343="","لم يبدأ",F343)))))))</f>
        <v/>
      </c>
      <c r="P343" s="26" t="str">
        <f aca="false">IF($A343="","",SUMIFS('سجل المراجعات'!$L$5:$L$1504,'سجل المراجعات'!$A$5:$A$1504,$A343))</f>
        <v/>
      </c>
      <c r="Q343" s="26" t="str">
        <f aca="false">IF($A343="","",SUMIFS('سجل المراجعات'!$M$5:$M$1504,'سجل المراجعات'!$A$5:$A$1504,$A343))</f>
        <v/>
      </c>
      <c r="R343" s="26" t="str">
        <f aca="false">IF(OR($A343="",NOT(ISNUMBER(E343))),"",MAX(0,NETWORKDAYS.INTL(E343,IF(J343&gt;0,J343,تاريخ_الاحتساب),رمز_العطلة,أيام_الأجازات)-1))</f>
        <v/>
      </c>
      <c r="S343" s="22"/>
    </row>
    <row r="344" customFormat="false" ht="15" hidden="false" customHeight="false" outlineLevel="0" collapsed="false">
      <c r="A344" s="20"/>
      <c r="B344" s="20"/>
      <c r="C344" s="30" t="str">
        <f aca="false">IF($A344="","",IFERROR(INDEX(بند_الاسم,MATCH($B344,قائمة_البنود,0)),"⚠ بند غير موجود"))</f>
        <v/>
      </c>
      <c r="D344" s="22"/>
      <c r="E344" s="31"/>
      <c r="F344" s="21"/>
      <c r="G344" s="32"/>
      <c r="H344" s="25" t="str">
        <f aca="false">IF($A344="","",IFERROR(INDEX(بند_سعر_الوحدة,MATCH($B344,قائمة_البنود,0)),0))</f>
        <v/>
      </c>
      <c r="I344" s="25" t="str">
        <f aca="false">IF($A344="","",H344*(1+نسبة_الضريبة))</f>
        <v/>
      </c>
      <c r="J344" s="33" t="str">
        <f aca="false">IF($A344="","",_xlfn.MINIFS('سجل المراجعات'!$E$5:$E$1504,'سجل المراجعات'!$A$5:$A$1504,$A344,'سجل المراجعات'!$D$5:$D$1504,"تسليم"))</f>
        <v/>
      </c>
      <c r="K344" s="33" t="str">
        <f aca="false">IF($A344="","",_xlfn.MAXIFS('سجل المراجعات'!$E$5:$E$1504,'سجل المراجعات'!$A$5:$A$1504,$A344,'سجل المراجعات'!$D$5:$D$1504,"تسليم"))</f>
        <v/>
      </c>
      <c r="L344" s="33" t="str">
        <f aca="false">IF($A344="","",_xlfn.MAXIFS('سجل المراجعات'!$E$5:$E$1504,'سجل المراجعات'!$A$5:$A$1504,$A344,'سجل المراجعات'!$D$5:$D$1504,"رد بملاحظات"))</f>
        <v/>
      </c>
      <c r="M344" s="33" t="str">
        <f aca="false">IF($A344="","",_xlfn.MAXIFS('سجل المراجعات'!$E$5:$E$1504,'سجل المراجعات'!$A$5:$A$1504,$A344,'سجل المراجعات'!$D$5:$D$1504,"قبول"))</f>
        <v/>
      </c>
      <c r="N344" s="26" t="str">
        <f aca="false">IF($A344="","",COUNTIFS('سجل المراجعات'!$A$5:$A$1504,$A344,'سجل المراجعات'!$D$5:$D$1504,"تسليم"))</f>
        <v/>
      </c>
      <c r="O344" s="34" t="str">
        <f aca="false">IF($A344="","",IF(M344&gt;0,"تم القبول",IF(F344="معلق","معلق",IF(AND(L344&gt;0,L344&gt;=K344),"مُعاد بملاحظات",IF(K344&gt;0,"في انتظار القبول",IF(AND(ISNUMBER(E344),E344&lt;تاريخ_الاحتساب),"متأخر",IF(F344="","لم يبدأ",F344)))))))</f>
        <v/>
      </c>
      <c r="P344" s="26" t="str">
        <f aca="false">IF($A344="","",SUMIFS('سجل المراجعات'!$L$5:$L$1504,'سجل المراجعات'!$A$5:$A$1504,$A344))</f>
        <v/>
      </c>
      <c r="Q344" s="26" t="str">
        <f aca="false">IF($A344="","",SUMIFS('سجل المراجعات'!$M$5:$M$1504,'سجل المراجعات'!$A$5:$A$1504,$A344))</f>
        <v/>
      </c>
      <c r="R344" s="26" t="str">
        <f aca="false">IF(OR($A344="",NOT(ISNUMBER(E344))),"",MAX(0,NETWORKDAYS.INTL(E344,IF(J344&gt;0,J344,تاريخ_الاحتساب),رمز_العطلة,أيام_الأجازات)-1))</f>
        <v/>
      </c>
      <c r="S344" s="22"/>
    </row>
    <row r="345" customFormat="false" ht="15" hidden="false" customHeight="false" outlineLevel="0" collapsed="false">
      <c r="A345" s="20"/>
      <c r="B345" s="20"/>
      <c r="C345" s="30" t="str">
        <f aca="false">IF($A345="","",IFERROR(INDEX(بند_الاسم,MATCH($B345,قائمة_البنود,0)),"⚠ بند غير موجود"))</f>
        <v/>
      </c>
      <c r="D345" s="22"/>
      <c r="E345" s="31"/>
      <c r="F345" s="21"/>
      <c r="G345" s="32"/>
      <c r="H345" s="25" t="str">
        <f aca="false">IF($A345="","",IFERROR(INDEX(بند_سعر_الوحدة,MATCH($B345,قائمة_البنود,0)),0))</f>
        <v/>
      </c>
      <c r="I345" s="25" t="str">
        <f aca="false">IF($A345="","",H345*(1+نسبة_الضريبة))</f>
        <v/>
      </c>
      <c r="J345" s="33" t="str">
        <f aca="false">IF($A345="","",_xlfn.MINIFS('سجل المراجعات'!$E$5:$E$1504,'سجل المراجعات'!$A$5:$A$1504,$A345,'سجل المراجعات'!$D$5:$D$1504,"تسليم"))</f>
        <v/>
      </c>
      <c r="K345" s="33" t="str">
        <f aca="false">IF($A345="","",_xlfn.MAXIFS('سجل المراجعات'!$E$5:$E$1504,'سجل المراجعات'!$A$5:$A$1504,$A345,'سجل المراجعات'!$D$5:$D$1504,"تسليم"))</f>
        <v/>
      </c>
      <c r="L345" s="33" t="str">
        <f aca="false">IF($A345="","",_xlfn.MAXIFS('سجل المراجعات'!$E$5:$E$1504,'سجل المراجعات'!$A$5:$A$1504,$A345,'سجل المراجعات'!$D$5:$D$1504,"رد بملاحظات"))</f>
        <v/>
      </c>
      <c r="M345" s="33" t="str">
        <f aca="false">IF($A345="","",_xlfn.MAXIFS('سجل المراجعات'!$E$5:$E$1504,'سجل المراجعات'!$A$5:$A$1504,$A345,'سجل المراجعات'!$D$5:$D$1504,"قبول"))</f>
        <v/>
      </c>
      <c r="N345" s="26" t="str">
        <f aca="false">IF($A345="","",COUNTIFS('سجل المراجعات'!$A$5:$A$1504,$A345,'سجل المراجعات'!$D$5:$D$1504,"تسليم"))</f>
        <v/>
      </c>
      <c r="O345" s="34" t="str">
        <f aca="false">IF($A345="","",IF(M345&gt;0,"تم القبول",IF(F345="معلق","معلق",IF(AND(L345&gt;0,L345&gt;=K345),"مُعاد بملاحظات",IF(K345&gt;0,"في انتظار القبول",IF(AND(ISNUMBER(E345),E345&lt;تاريخ_الاحتساب),"متأخر",IF(F345="","لم يبدأ",F345)))))))</f>
        <v/>
      </c>
      <c r="P345" s="26" t="str">
        <f aca="false">IF($A345="","",SUMIFS('سجل المراجعات'!$L$5:$L$1504,'سجل المراجعات'!$A$5:$A$1504,$A345))</f>
        <v/>
      </c>
      <c r="Q345" s="26" t="str">
        <f aca="false">IF($A345="","",SUMIFS('سجل المراجعات'!$M$5:$M$1504,'سجل المراجعات'!$A$5:$A$1504,$A345))</f>
        <v/>
      </c>
      <c r="R345" s="26" t="str">
        <f aca="false">IF(OR($A345="",NOT(ISNUMBER(E345))),"",MAX(0,NETWORKDAYS.INTL(E345,IF(J345&gt;0,J345,تاريخ_الاحتساب),رمز_العطلة,أيام_الأجازات)-1))</f>
        <v/>
      </c>
      <c r="S345" s="22"/>
    </row>
    <row r="346" customFormat="false" ht="15" hidden="false" customHeight="false" outlineLevel="0" collapsed="false">
      <c r="A346" s="20"/>
      <c r="B346" s="20"/>
      <c r="C346" s="30" t="str">
        <f aca="false">IF($A346="","",IFERROR(INDEX(بند_الاسم,MATCH($B346,قائمة_البنود,0)),"⚠ بند غير موجود"))</f>
        <v/>
      </c>
      <c r="D346" s="22"/>
      <c r="E346" s="31"/>
      <c r="F346" s="21"/>
      <c r="G346" s="32"/>
      <c r="H346" s="25" t="str">
        <f aca="false">IF($A346="","",IFERROR(INDEX(بند_سعر_الوحدة,MATCH($B346,قائمة_البنود,0)),0))</f>
        <v/>
      </c>
      <c r="I346" s="25" t="str">
        <f aca="false">IF($A346="","",H346*(1+نسبة_الضريبة))</f>
        <v/>
      </c>
      <c r="J346" s="33" t="str">
        <f aca="false">IF($A346="","",_xlfn.MINIFS('سجل المراجعات'!$E$5:$E$1504,'سجل المراجعات'!$A$5:$A$1504,$A346,'سجل المراجعات'!$D$5:$D$1504,"تسليم"))</f>
        <v/>
      </c>
      <c r="K346" s="33" t="str">
        <f aca="false">IF($A346="","",_xlfn.MAXIFS('سجل المراجعات'!$E$5:$E$1504,'سجل المراجعات'!$A$5:$A$1504,$A346,'سجل المراجعات'!$D$5:$D$1504,"تسليم"))</f>
        <v/>
      </c>
      <c r="L346" s="33" t="str">
        <f aca="false">IF($A346="","",_xlfn.MAXIFS('سجل المراجعات'!$E$5:$E$1504,'سجل المراجعات'!$A$5:$A$1504,$A346,'سجل المراجعات'!$D$5:$D$1504,"رد بملاحظات"))</f>
        <v/>
      </c>
      <c r="M346" s="33" t="str">
        <f aca="false">IF($A346="","",_xlfn.MAXIFS('سجل المراجعات'!$E$5:$E$1504,'سجل المراجعات'!$A$5:$A$1504,$A346,'سجل المراجعات'!$D$5:$D$1504,"قبول"))</f>
        <v/>
      </c>
      <c r="N346" s="26" t="str">
        <f aca="false">IF($A346="","",COUNTIFS('سجل المراجعات'!$A$5:$A$1504,$A346,'سجل المراجعات'!$D$5:$D$1504,"تسليم"))</f>
        <v/>
      </c>
      <c r="O346" s="34" t="str">
        <f aca="false">IF($A346="","",IF(M346&gt;0,"تم القبول",IF(F346="معلق","معلق",IF(AND(L346&gt;0,L346&gt;=K346),"مُعاد بملاحظات",IF(K346&gt;0,"في انتظار القبول",IF(AND(ISNUMBER(E346),E346&lt;تاريخ_الاحتساب),"متأخر",IF(F346="","لم يبدأ",F346)))))))</f>
        <v/>
      </c>
      <c r="P346" s="26" t="str">
        <f aca="false">IF($A346="","",SUMIFS('سجل المراجعات'!$L$5:$L$1504,'سجل المراجعات'!$A$5:$A$1504,$A346))</f>
        <v/>
      </c>
      <c r="Q346" s="26" t="str">
        <f aca="false">IF($A346="","",SUMIFS('سجل المراجعات'!$M$5:$M$1504,'سجل المراجعات'!$A$5:$A$1504,$A346))</f>
        <v/>
      </c>
      <c r="R346" s="26" t="str">
        <f aca="false">IF(OR($A346="",NOT(ISNUMBER(E346))),"",MAX(0,NETWORKDAYS.INTL(E346,IF(J346&gt;0,J346,تاريخ_الاحتساب),رمز_العطلة,أيام_الأجازات)-1))</f>
        <v/>
      </c>
      <c r="S346" s="22"/>
    </row>
    <row r="347" customFormat="false" ht="15" hidden="false" customHeight="false" outlineLevel="0" collapsed="false">
      <c r="A347" s="20"/>
      <c r="B347" s="20"/>
      <c r="C347" s="30" t="str">
        <f aca="false">IF($A347="","",IFERROR(INDEX(بند_الاسم,MATCH($B347,قائمة_البنود,0)),"⚠ بند غير موجود"))</f>
        <v/>
      </c>
      <c r="D347" s="22"/>
      <c r="E347" s="31"/>
      <c r="F347" s="21"/>
      <c r="G347" s="32"/>
      <c r="H347" s="25" t="str">
        <f aca="false">IF($A347="","",IFERROR(INDEX(بند_سعر_الوحدة,MATCH($B347,قائمة_البنود,0)),0))</f>
        <v/>
      </c>
      <c r="I347" s="25" t="str">
        <f aca="false">IF($A347="","",H347*(1+نسبة_الضريبة))</f>
        <v/>
      </c>
      <c r="J347" s="33" t="str">
        <f aca="false">IF($A347="","",_xlfn.MINIFS('سجل المراجعات'!$E$5:$E$1504,'سجل المراجعات'!$A$5:$A$1504,$A347,'سجل المراجعات'!$D$5:$D$1504,"تسليم"))</f>
        <v/>
      </c>
      <c r="K347" s="33" t="str">
        <f aca="false">IF($A347="","",_xlfn.MAXIFS('سجل المراجعات'!$E$5:$E$1504,'سجل المراجعات'!$A$5:$A$1504,$A347,'سجل المراجعات'!$D$5:$D$1504,"تسليم"))</f>
        <v/>
      </c>
      <c r="L347" s="33" t="str">
        <f aca="false">IF($A347="","",_xlfn.MAXIFS('سجل المراجعات'!$E$5:$E$1504,'سجل المراجعات'!$A$5:$A$1504,$A347,'سجل المراجعات'!$D$5:$D$1504,"رد بملاحظات"))</f>
        <v/>
      </c>
      <c r="M347" s="33" t="str">
        <f aca="false">IF($A347="","",_xlfn.MAXIFS('سجل المراجعات'!$E$5:$E$1504,'سجل المراجعات'!$A$5:$A$1504,$A347,'سجل المراجعات'!$D$5:$D$1504,"قبول"))</f>
        <v/>
      </c>
      <c r="N347" s="26" t="str">
        <f aca="false">IF($A347="","",COUNTIFS('سجل المراجعات'!$A$5:$A$1504,$A347,'سجل المراجعات'!$D$5:$D$1504,"تسليم"))</f>
        <v/>
      </c>
      <c r="O347" s="34" t="str">
        <f aca="false">IF($A347="","",IF(M347&gt;0,"تم القبول",IF(F347="معلق","معلق",IF(AND(L347&gt;0,L347&gt;=K347),"مُعاد بملاحظات",IF(K347&gt;0,"في انتظار القبول",IF(AND(ISNUMBER(E347),E347&lt;تاريخ_الاحتساب),"متأخر",IF(F347="","لم يبدأ",F347)))))))</f>
        <v/>
      </c>
      <c r="P347" s="26" t="str">
        <f aca="false">IF($A347="","",SUMIFS('سجل المراجعات'!$L$5:$L$1504,'سجل المراجعات'!$A$5:$A$1504,$A347))</f>
        <v/>
      </c>
      <c r="Q347" s="26" t="str">
        <f aca="false">IF($A347="","",SUMIFS('سجل المراجعات'!$M$5:$M$1504,'سجل المراجعات'!$A$5:$A$1504,$A347))</f>
        <v/>
      </c>
      <c r="R347" s="26" t="str">
        <f aca="false">IF(OR($A347="",NOT(ISNUMBER(E347))),"",MAX(0,NETWORKDAYS.INTL(E347,IF(J347&gt;0,J347,تاريخ_الاحتساب),رمز_العطلة,أيام_الأجازات)-1))</f>
        <v/>
      </c>
      <c r="S347" s="22"/>
    </row>
    <row r="348" customFormat="false" ht="15" hidden="false" customHeight="false" outlineLevel="0" collapsed="false">
      <c r="A348" s="20"/>
      <c r="B348" s="20"/>
      <c r="C348" s="30" t="str">
        <f aca="false">IF($A348="","",IFERROR(INDEX(بند_الاسم,MATCH($B348,قائمة_البنود,0)),"⚠ بند غير موجود"))</f>
        <v/>
      </c>
      <c r="D348" s="22"/>
      <c r="E348" s="31"/>
      <c r="F348" s="21"/>
      <c r="G348" s="32"/>
      <c r="H348" s="25" t="str">
        <f aca="false">IF($A348="","",IFERROR(INDEX(بند_سعر_الوحدة,MATCH($B348,قائمة_البنود,0)),0))</f>
        <v/>
      </c>
      <c r="I348" s="25" t="str">
        <f aca="false">IF($A348="","",H348*(1+نسبة_الضريبة))</f>
        <v/>
      </c>
      <c r="J348" s="33" t="str">
        <f aca="false">IF($A348="","",_xlfn.MINIFS('سجل المراجعات'!$E$5:$E$1504,'سجل المراجعات'!$A$5:$A$1504,$A348,'سجل المراجعات'!$D$5:$D$1504,"تسليم"))</f>
        <v/>
      </c>
      <c r="K348" s="33" t="str">
        <f aca="false">IF($A348="","",_xlfn.MAXIFS('سجل المراجعات'!$E$5:$E$1504,'سجل المراجعات'!$A$5:$A$1504,$A348,'سجل المراجعات'!$D$5:$D$1504,"تسليم"))</f>
        <v/>
      </c>
      <c r="L348" s="33" t="str">
        <f aca="false">IF($A348="","",_xlfn.MAXIFS('سجل المراجعات'!$E$5:$E$1504,'سجل المراجعات'!$A$5:$A$1504,$A348,'سجل المراجعات'!$D$5:$D$1504,"رد بملاحظات"))</f>
        <v/>
      </c>
      <c r="M348" s="33" t="str">
        <f aca="false">IF($A348="","",_xlfn.MAXIFS('سجل المراجعات'!$E$5:$E$1504,'سجل المراجعات'!$A$5:$A$1504,$A348,'سجل المراجعات'!$D$5:$D$1504,"قبول"))</f>
        <v/>
      </c>
      <c r="N348" s="26" t="str">
        <f aca="false">IF($A348="","",COUNTIFS('سجل المراجعات'!$A$5:$A$1504,$A348,'سجل المراجعات'!$D$5:$D$1504,"تسليم"))</f>
        <v/>
      </c>
      <c r="O348" s="34" t="str">
        <f aca="false">IF($A348="","",IF(M348&gt;0,"تم القبول",IF(F348="معلق","معلق",IF(AND(L348&gt;0,L348&gt;=K348),"مُعاد بملاحظات",IF(K348&gt;0,"في انتظار القبول",IF(AND(ISNUMBER(E348),E348&lt;تاريخ_الاحتساب),"متأخر",IF(F348="","لم يبدأ",F348)))))))</f>
        <v/>
      </c>
      <c r="P348" s="26" t="str">
        <f aca="false">IF($A348="","",SUMIFS('سجل المراجعات'!$L$5:$L$1504,'سجل المراجعات'!$A$5:$A$1504,$A348))</f>
        <v/>
      </c>
      <c r="Q348" s="26" t="str">
        <f aca="false">IF($A348="","",SUMIFS('سجل المراجعات'!$M$5:$M$1504,'سجل المراجعات'!$A$5:$A$1504,$A348))</f>
        <v/>
      </c>
      <c r="R348" s="26" t="str">
        <f aca="false">IF(OR($A348="",NOT(ISNUMBER(E348))),"",MAX(0,NETWORKDAYS.INTL(E348,IF(J348&gt;0,J348,تاريخ_الاحتساب),رمز_العطلة,أيام_الأجازات)-1))</f>
        <v/>
      </c>
      <c r="S348" s="22"/>
    </row>
    <row r="349" customFormat="false" ht="15" hidden="false" customHeight="false" outlineLevel="0" collapsed="false">
      <c r="A349" s="20"/>
      <c r="B349" s="20"/>
      <c r="C349" s="30" t="str">
        <f aca="false">IF($A349="","",IFERROR(INDEX(بند_الاسم,MATCH($B349,قائمة_البنود,0)),"⚠ بند غير موجود"))</f>
        <v/>
      </c>
      <c r="D349" s="22"/>
      <c r="E349" s="31"/>
      <c r="F349" s="21"/>
      <c r="G349" s="32"/>
      <c r="H349" s="25" t="str">
        <f aca="false">IF($A349="","",IFERROR(INDEX(بند_سعر_الوحدة,MATCH($B349,قائمة_البنود,0)),0))</f>
        <v/>
      </c>
      <c r="I349" s="25" t="str">
        <f aca="false">IF($A349="","",H349*(1+نسبة_الضريبة))</f>
        <v/>
      </c>
      <c r="J349" s="33" t="str">
        <f aca="false">IF($A349="","",_xlfn.MINIFS('سجل المراجعات'!$E$5:$E$1504,'سجل المراجعات'!$A$5:$A$1504,$A349,'سجل المراجعات'!$D$5:$D$1504,"تسليم"))</f>
        <v/>
      </c>
      <c r="K349" s="33" t="str">
        <f aca="false">IF($A349="","",_xlfn.MAXIFS('سجل المراجعات'!$E$5:$E$1504,'سجل المراجعات'!$A$5:$A$1504,$A349,'سجل المراجعات'!$D$5:$D$1504,"تسليم"))</f>
        <v/>
      </c>
      <c r="L349" s="33" t="str">
        <f aca="false">IF($A349="","",_xlfn.MAXIFS('سجل المراجعات'!$E$5:$E$1504,'سجل المراجعات'!$A$5:$A$1504,$A349,'سجل المراجعات'!$D$5:$D$1504,"رد بملاحظات"))</f>
        <v/>
      </c>
      <c r="M349" s="33" t="str">
        <f aca="false">IF($A349="","",_xlfn.MAXIFS('سجل المراجعات'!$E$5:$E$1504,'سجل المراجعات'!$A$5:$A$1504,$A349,'سجل المراجعات'!$D$5:$D$1504,"قبول"))</f>
        <v/>
      </c>
      <c r="N349" s="26" t="str">
        <f aca="false">IF($A349="","",COUNTIFS('سجل المراجعات'!$A$5:$A$1504,$A349,'سجل المراجعات'!$D$5:$D$1504,"تسليم"))</f>
        <v/>
      </c>
      <c r="O349" s="34" t="str">
        <f aca="false">IF($A349="","",IF(M349&gt;0,"تم القبول",IF(F349="معلق","معلق",IF(AND(L349&gt;0,L349&gt;=K349),"مُعاد بملاحظات",IF(K349&gt;0,"في انتظار القبول",IF(AND(ISNUMBER(E349),E349&lt;تاريخ_الاحتساب),"متأخر",IF(F349="","لم يبدأ",F349)))))))</f>
        <v/>
      </c>
      <c r="P349" s="26" t="str">
        <f aca="false">IF($A349="","",SUMIFS('سجل المراجعات'!$L$5:$L$1504,'سجل المراجعات'!$A$5:$A$1504,$A349))</f>
        <v/>
      </c>
      <c r="Q349" s="26" t="str">
        <f aca="false">IF($A349="","",SUMIFS('سجل المراجعات'!$M$5:$M$1504,'سجل المراجعات'!$A$5:$A$1504,$A349))</f>
        <v/>
      </c>
      <c r="R349" s="26" t="str">
        <f aca="false">IF(OR($A349="",NOT(ISNUMBER(E349))),"",MAX(0,NETWORKDAYS.INTL(E349,IF(J349&gt;0,J349,تاريخ_الاحتساب),رمز_العطلة,أيام_الأجازات)-1))</f>
        <v/>
      </c>
      <c r="S349" s="22"/>
    </row>
    <row r="350" customFormat="false" ht="15" hidden="false" customHeight="false" outlineLevel="0" collapsed="false">
      <c r="A350" s="20"/>
      <c r="B350" s="20"/>
      <c r="C350" s="30" t="str">
        <f aca="false">IF($A350="","",IFERROR(INDEX(بند_الاسم,MATCH($B350,قائمة_البنود,0)),"⚠ بند غير موجود"))</f>
        <v/>
      </c>
      <c r="D350" s="22"/>
      <c r="E350" s="31"/>
      <c r="F350" s="21"/>
      <c r="G350" s="32"/>
      <c r="H350" s="25" t="str">
        <f aca="false">IF($A350="","",IFERROR(INDEX(بند_سعر_الوحدة,MATCH($B350,قائمة_البنود,0)),0))</f>
        <v/>
      </c>
      <c r="I350" s="25" t="str">
        <f aca="false">IF($A350="","",H350*(1+نسبة_الضريبة))</f>
        <v/>
      </c>
      <c r="J350" s="33" t="str">
        <f aca="false">IF($A350="","",_xlfn.MINIFS('سجل المراجعات'!$E$5:$E$1504,'سجل المراجعات'!$A$5:$A$1504,$A350,'سجل المراجعات'!$D$5:$D$1504,"تسليم"))</f>
        <v/>
      </c>
      <c r="K350" s="33" t="str">
        <f aca="false">IF($A350="","",_xlfn.MAXIFS('سجل المراجعات'!$E$5:$E$1504,'سجل المراجعات'!$A$5:$A$1504,$A350,'سجل المراجعات'!$D$5:$D$1504,"تسليم"))</f>
        <v/>
      </c>
      <c r="L350" s="33" t="str">
        <f aca="false">IF($A350="","",_xlfn.MAXIFS('سجل المراجعات'!$E$5:$E$1504,'سجل المراجعات'!$A$5:$A$1504,$A350,'سجل المراجعات'!$D$5:$D$1504,"رد بملاحظات"))</f>
        <v/>
      </c>
      <c r="M350" s="33" t="str">
        <f aca="false">IF($A350="","",_xlfn.MAXIFS('سجل المراجعات'!$E$5:$E$1504,'سجل المراجعات'!$A$5:$A$1504,$A350,'سجل المراجعات'!$D$5:$D$1504,"قبول"))</f>
        <v/>
      </c>
      <c r="N350" s="26" t="str">
        <f aca="false">IF($A350="","",COUNTIFS('سجل المراجعات'!$A$5:$A$1504,$A350,'سجل المراجعات'!$D$5:$D$1504,"تسليم"))</f>
        <v/>
      </c>
      <c r="O350" s="34" t="str">
        <f aca="false">IF($A350="","",IF(M350&gt;0,"تم القبول",IF(F350="معلق","معلق",IF(AND(L350&gt;0,L350&gt;=K350),"مُعاد بملاحظات",IF(K350&gt;0,"في انتظار القبول",IF(AND(ISNUMBER(E350),E350&lt;تاريخ_الاحتساب),"متأخر",IF(F350="","لم يبدأ",F350)))))))</f>
        <v/>
      </c>
      <c r="P350" s="26" t="str">
        <f aca="false">IF($A350="","",SUMIFS('سجل المراجعات'!$L$5:$L$1504,'سجل المراجعات'!$A$5:$A$1504,$A350))</f>
        <v/>
      </c>
      <c r="Q350" s="26" t="str">
        <f aca="false">IF($A350="","",SUMIFS('سجل المراجعات'!$M$5:$M$1504,'سجل المراجعات'!$A$5:$A$1504,$A350))</f>
        <v/>
      </c>
      <c r="R350" s="26" t="str">
        <f aca="false">IF(OR($A350="",NOT(ISNUMBER(E350))),"",MAX(0,NETWORKDAYS.INTL(E350,IF(J350&gt;0,J350,تاريخ_الاحتساب),رمز_العطلة,أيام_الأجازات)-1))</f>
        <v/>
      </c>
      <c r="S350" s="22"/>
    </row>
    <row r="351" customFormat="false" ht="15" hidden="false" customHeight="false" outlineLevel="0" collapsed="false">
      <c r="A351" s="20"/>
      <c r="B351" s="20"/>
      <c r="C351" s="30" t="str">
        <f aca="false">IF($A351="","",IFERROR(INDEX(بند_الاسم,MATCH($B351,قائمة_البنود,0)),"⚠ بند غير موجود"))</f>
        <v/>
      </c>
      <c r="D351" s="22"/>
      <c r="E351" s="31"/>
      <c r="F351" s="21"/>
      <c r="G351" s="32"/>
      <c r="H351" s="25" t="str">
        <f aca="false">IF($A351="","",IFERROR(INDEX(بند_سعر_الوحدة,MATCH($B351,قائمة_البنود,0)),0))</f>
        <v/>
      </c>
      <c r="I351" s="25" t="str">
        <f aca="false">IF($A351="","",H351*(1+نسبة_الضريبة))</f>
        <v/>
      </c>
      <c r="J351" s="33" t="str">
        <f aca="false">IF($A351="","",_xlfn.MINIFS('سجل المراجعات'!$E$5:$E$1504,'سجل المراجعات'!$A$5:$A$1504,$A351,'سجل المراجعات'!$D$5:$D$1504,"تسليم"))</f>
        <v/>
      </c>
      <c r="K351" s="33" t="str">
        <f aca="false">IF($A351="","",_xlfn.MAXIFS('سجل المراجعات'!$E$5:$E$1504,'سجل المراجعات'!$A$5:$A$1504,$A351,'سجل المراجعات'!$D$5:$D$1504,"تسليم"))</f>
        <v/>
      </c>
      <c r="L351" s="33" t="str">
        <f aca="false">IF($A351="","",_xlfn.MAXIFS('سجل المراجعات'!$E$5:$E$1504,'سجل المراجعات'!$A$5:$A$1504,$A351,'سجل المراجعات'!$D$5:$D$1504,"رد بملاحظات"))</f>
        <v/>
      </c>
      <c r="M351" s="33" t="str">
        <f aca="false">IF($A351="","",_xlfn.MAXIFS('سجل المراجعات'!$E$5:$E$1504,'سجل المراجعات'!$A$5:$A$1504,$A351,'سجل المراجعات'!$D$5:$D$1504,"قبول"))</f>
        <v/>
      </c>
      <c r="N351" s="26" t="str">
        <f aca="false">IF($A351="","",COUNTIFS('سجل المراجعات'!$A$5:$A$1504,$A351,'سجل المراجعات'!$D$5:$D$1504,"تسليم"))</f>
        <v/>
      </c>
      <c r="O351" s="34" t="str">
        <f aca="false">IF($A351="","",IF(M351&gt;0,"تم القبول",IF(F351="معلق","معلق",IF(AND(L351&gt;0,L351&gt;=K351),"مُعاد بملاحظات",IF(K351&gt;0,"في انتظار القبول",IF(AND(ISNUMBER(E351),E351&lt;تاريخ_الاحتساب),"متأخر",IF(F351="","لم يبدأ",F351)))))))</f>
        <v/>
      </c>
      <c r="P351" s="26" t="str">
        <f aca="false">IF($A351="","",SUMIFS('سجل المراجعات'!$L$5:$L$1504,'سجل المراجعات'!$A$5:$A$1504,$A351))</f>
        <v/>
      </c>
      <c r="Q351" s="26" t="str">
        <f aca="false">IF($A351="","",SUMIFS('سجل المراجعات'!$M$5:$M$1504,'سجل المراجعات'!$A$5:$A$1504,$A351))</f>
        <v/>
      </c>
      <c r="R351" s="26" t="str">
        <f aca="false">IF(OR($A351="",NOT(ISNUMBER(E351))),"",MAX(0,NETWORKDAYS.INTL(E351,IF(J351&gt;0,J351,تاريخ_الاحتساب),رمز_العطلة,أيام_الأجازات)-1))</f>
        <v/>
      </c>
      <c r="S351" s="22"/>
    </row>
    <row r="352" customFormat="false" ht="15" hidden="false" customHeight="false" outlineLevel="0" collapsed="false">
      <c r="A352" s="20"/>
      <c r="B352" s="20"/>
      <c r="C352" s="30" t="str">
        <f aca="false">IF($A352="","",IFERROR(INDEX(بند_الاسم,MATCH($B352,قائمة_البنود,0)),"⚠ بند غير موجود"))</f>
        <v/>
      </c>
      <c r="D352" s="22"/>
      <c r="E352" s="31"/>
      <c r="F352" s="21"/>
      <c r="G352" s="32"/>
      <c r="H352" s="25" t="str">
        <f aca="false">IF($A352="","",IFERROR(INDEX(بند_سعر_الوحدة,MATCH($B352,قائمة_البنود,0)),0))</f>
        <v/>
      </c>
      <c r="I352" s="25" t="str">
        <f aca="false">IF($A352="","",H352*(1+نسبة_الضريبة))</f>
        <v/>
      </c>
      <c r="J352" s="33" t="str">
        <f aca="false">IF($A352="","",_xlfn.MINIFS('سجل المراجعات'!$E$5:$E$1504,'سجل المراجعات'!$A$5:$A$1504,$A352,'سجل المراجعات'!$D$5:$D$1504,"تسليم"))</f>
        <v/>
      </c>
      <c r="K352" s="33" t="str">
        <f aca="false">IF($A352="","",_xlfn.MAXIFS('سجل المراجعات'!$E$5:$E$1504,'سجل المراجعات'!$A$5:$A$1504,$A352,'سجل المراجعات'!$D$5:$D$1504,"تسليم"))</f>
        <v/>
      </c>
      <c r="L352" s="33" t="str">
        <f aca="false">IF($A352="","",_xlfn.MAXIFS('سجل المراجعات'!$E$5:$E$1504,'سجل المراجعات'!$A$5:$A$1504,$A352,'سجل المراجعات'!$D$5:$D$1504,"رد بملاحظات"))</f>
        <v/>
      </c>
      <c r="M352" s="33" t="str">
        <f aca="false">IF($A352="","",_xlfn.MAXIFS('سجل المراجعات'!$E$5:$E$1504,'سجل المراجعات'!$A$5:$A$1504,$A352,'سجل المراجعات'!$D$5:$D$1504,"قبول"))</f>
        <v/>
      </c>
      <c r="N352" s="26" t="str">
        <f aca="false">IF($A352="","",COUNTIFS('سجل المراجعات'!$A$5:$A$1504,$A352,'سجل المراجعات'!$D$5:$D$1504,"تسليم"))</f>
        <v/>
      </c>
      <c r="O352" s="34" t="str">
        <f aca="false">IF($A352="","",IF(M352&gt;0,"تم القبول",IF(F352="معلق","معلق",IF(AND(L352&gt;0,L352&gt;=K352),"مُعاد بملاحظات",IF(K352&gt;0,"في انتظار القبول",IF(AND(ISNUMBER(E352),E352&lt;تاريخ_الاحتساب),"متأخر",IF(F352="","لم يبدأ",F352)))))))</f>
        <v/>
      </c>
      <c r="P352" s="26" t="str">
        <f aca="false">IF($A352="","",SUMIFS('سجل المراجعات'!$L$5:$L$1504,'سجل المراجعات'!$A$5:$A$1504,$A352))</f>
        <v/>
      </c>
      <c r="Q352" s="26" t="str">
        <f aca="false">IF($A352="","",SUMIFS('سجل المراجعات'!$M$5:$M$1504,'سجل المراجعات'!$A$5:$A$1504,$A352))</f>
        <v/>
      </c>
      <c r="R352" s="26" t="str">
        <f aca="false">IF(OR($A352="",NOT(ISNUMBER(E352))),"",MAX(0,NETWORKDAYS.INTL(E352,IF(J352&gt;0,J352,تاريخ_الاحتساب),رمز_العطلة,أيام_الأجازات)-1))</f>
        <v/>
      </c>
      <c r="S352" s="22"/>
    </row>
    <row r="353" customFormat="false" ht="15" hidden="false" customHeight="false" outlineLevel="0" collapsed="false">
      <c r="A353" s="20"/>
      <c r="B353" s="20"/>
      <c r="C353" s="30" t="str">
        <f aca="false">IF($A353="","",IFERROR(INDEX(بند_الاسم,MATCH($B353,قائمة_البنود,0)),"⚠ بند غير موجود"))</f>
        <v/>
      </c>
      <c r="D353" s="22"/>
      <c r="E353" s="31"/>
      <c r="F353" s="21"/>
      <c r="G353" s="32"/>
      <c r="H353" s="25" t="str">
        <f aca="false">IF($A353="","",IFERROR(INDEX(بند_سعر_الوحدة,MATCH($B353,قائمة_البنود,0)),0))</f>
        <v/>
      </c>
      <c r="I353" s="25" t="str">
        <f aca="false">IF($A353="","",H353*(1+نسبة_الضريبة))</f>
        <v/>
      </c>
      <c r="J353" s="33" t="str">
        <f aca="false">IF($A353="","",_xlfn.MINIFS('سجل المراجعات'!$E$5:$E$1504,'سجل المراجعات'!$A$5:$A$1504,$A353,'سجل المراجعات'!$D$5:$D$1504,"تسليم"))</f>
        <v/>
      </c>
      <c r="K353" s="33" t="str">
        <f aca="false">IF($A353="","",_xlfn.MAXIFS('سجل المراجعات'!$E$5:$E$1504,'سجل المراجعات'!$A$5:$A$1504,$A353,'سجل المراجعات'!$D$5:$D$1504,"تسليم"))</f>
        <v/>
      </c>
      <c r="L353" s="33" t="str">
        <f aca="false">IF($A353="","",_xlfn.MAXIFS('سجل المراجعات'!$E$5:$E$1504,'سجل المراجعات'!$A$5:$A$1504,$A353,'سجل المراجعات'!$D$5:$D$1504,"رد بملاحظات"))</f>
        <v/>
      </c>
      <c r="M353" s="33" t="str">
        <f aca="false">IF($A353="","",_xlfn.MAXIFS('سجل المراجعات'!$E$5:$E$1504,'سجل المراجعات'!$A$5:$A$1504,$A353,'سجل المراجعات'!$D$5:$D$1504,"قبول"))</f>
        <v/>
      </c>
      <c r="N353" s="26" t="str">
        <f aca="false">IF($A353="","",COUNTIFS('سجل المراجعات'!$A$5:$A$1504,$A353,'سجل المراجعات'!$D$5:$D$1504,"تسليم"))</f>
        <v/>
      </c>
      <c r="O353" s="34" t="str">
        <f aca="false">IF($A353="","",IF(M353&gt;0,"تم القبول",IF(F353="معلق","معلق",IF(AND(L353&gt;0,L353&gt;=K353),"مُعاد بملاحظات",IF(K353&gt;0,"في انتظار القبول",IF(AND(ISNUMBER(E353),E353&lt;تاريخ_الاحتساب),"متأخر",IF(F353="","لم يبدأ",F353)))))))</f>
        <v/>
      </c>
      <c r="P353" s="26" t="str">
        <f aca="false">IF($A353="","",SUMIFS('سجل المراجعات'!$L$5:$L$1504,'سجل المراجعات'!$A$5:$A$1504,$A353))</f>
        <v/>
      </c>
      <c r="Q353" s="26" t="str">
        <f aca="false">IF($A353="","",SUMIFS('سجل المراجعات'!$M$5:$M$1504,'سجل المراجعات'!$A$5:$A$1504,$A353))</f>
        <v/>
      </c>
      <c r="R353" s="26" t="str">
        <f aca="false">IF(OR($A353="",NOT(ISNUMBER(E353))),"",MAX(0,NETWORKDAYS.INTL(E353,IF(J353&gt;0,J353,تاريخ_الاحتساب),رمز_العطلة,أيام_الأجازات)-1))</f>
        <v/>
      </c>
      <c r="S353" s="22"/>
    </row>
    <row r="354" customFormat="false" ht="15" hidden="false" customHeight="false" outlineLevel="0" collapsed="false">
      <c r="A354" s="20"/>
      <c r="B354" s="20"/>
      <c r="C354" s="30" t="str">
        <f aca="false">IF($A354="","",IFERROR(INDEX(بند_الاسم,MATCH($B354,قائمة_البنود,0)),"⚠ بند غير موجود"))</f>
        <v/>
      </c>
      <c r="D354" s="22"/>
      <c r="E354" s="31"/>
      <c r="F354" s="21"/>
      <c r="G354" s="32"/>
      <c r="H354" s="25" t="str">
        <f aca="false">IF($A354="","",IFERROR(INDEX(بند_سعر_الوحدة,MATCH($B354,قائمة_البنود,0)),0))</f>
        <v/>
      </c>
      <c r="I354" s="25" t="str">
        <f aca="false">IF($A354="","",H354*(1+نسبة_الضريبة))</f>
        <v/>
      </c>
      <c r="J354" s="33" t="str">
        <f aca="false">IF($A354="","",_xlfn.MINIFS('سجل المراجعات'!$E$5:$E$1504,'سجل المراجعات'!$A$5:$A$1504,$A354,'سجل المراجعات'!$D$5:$D$1504,"تسليم"))</f>
        <v/>
      </c>
      <c r="K354" s="33" t="str">
        <f aca="false">IF($A354="","",_xlfn.MAXIFS('سجل المراجعات'!$E$5:$E$1504,'سجل المراجعات'!$A$5:$A$1504,$A354,'سجل المراجعات'!$D$5:$D$1504,"تسليم"))</f>
        <v/>
      </c>
      <c r="L354" s="33" t="str">
        <f aca="false">IF($A354="","",_xlfn.MAXIFS('سجل المراجعات'!$E$5:$E$1504,'سجل المراجعات'!$A$5:$A$1504,$A354,'سجل المراجعات'!$D$5:$D$1504,"رد بملاحظات"))</f>
        <v/>
      </c>
      <c r="M354" s="33" t="str">
        <f aca="false">IF($A354="","",_xlfn.MAXIFS('سجل المراجعات'!$E$5:$E$1504,'سجل المراجعات'!$A$5:$A$1504,$A354,'سجل المراجعات'!$D$5:$D$1504,"قبول"))</f>
        <v/>
      </c>
      <c r="N354" s="26" t="str">
        <f aca="false">IF($A354="","",COUNTIFS('سجل المراجعات'!$A$5:$A$1504,$A354,'سجل المراجعات'!$D$5:$D$1504,"تسليم"))</f>
        <v/>
      </c>
      <c r="O354" s="34" t="str">
        <f aca="false">IF($A354="","",IF(M354&gt;0,"تم القبول",IF(F354="معلق","معلق",IF(AND(L354&gt;0,L354&gt;=K354),"مُعاد بملاحظات",IF(K354&gt;0,"في انتظار القبول",IF(AND(ISNUMBER(E354),E354&lt;تاريخ_الاحتساب),"متأخر",IF(F354="","لم يبدأ",F354)))))))</f>
        <v/>
      </c>
      <c r="P354" s="26" t="str">
        <f aca="false">IF($A354="","",SUMIFS('سجل المراجعات'!$L$5:$L$1504,'سجل المراجعات'!$A$5:$A$1504,$A354))</f>
        <v/>
      </c>
      <c r="Q354" s="26" t="str">
        <f aca="false">IF($A354="","",SUMIFS('سجل المراجعات'!$M$5:$M$1504,'سجل المراجعات'!$A$5:$A$1504,$A354))</f>
        <v/>
      </c>
      <c r="R354" s="26" t="str">
        <f aca="false">IF(OR($A354="",NOT(ISNUMBER(E354))),"",MAX(0,NETWORKDAYS.INTL(E354,IF(J354&gt;0,J354,تاريخ_الاحتساب),رمز_العطلة,أيام_الأجازات)-1))</f>
        <v/>
      </c>
      <c r="S354" s="22"/>
    </row>
    <row r="355" customFormat="false" ht="15" hidden="false" customHeight="false" outlineLevel="0" collapsed="false">
      <c r="A355" s="20"/>
      <c r="B355" s="20"/>
      <c r="C355" s="30" t="str">
        <f aca="false">IF($A355="","",IFERROR(INDEX(بند_الاسم,MATCH($B355,قائمة_البنود,0)),"⚠ بند غير موجود"))</f>
        <v/>
      </c>
      <c r="D355" s="22"/>
      <c r="E355" s="31"/>
      <c r="F355" s="21"/>
      <c r="G355" s="32"/>
      <c r="H355" s="25" t="str">
        <f aca="false">IF($A355="","",IFERROR(INDEX(بند_سعر_الوحدة,MATCH($B355,قائمة_البنود,0)),0))</f>
        <v/>
      </c>
      <c r="I355" s="25" t="str">
        <f aca="false">IF($A355="","",H355*(1+نسبة_الضريبة))</f>
        <v/>
      </c>
      <c r="J355" s="33" t="str">
        <f aca="false">IF($A355="","",_xlfn.MINIFS('سجل المراجعات'!$E$5:$E$1504,'سجل المراجعات'!$A$5:$A$1504,$A355,'سجل المراجعات'!$D$5:$D$1504,"تسليم"))</f>
        <v/>
      </c>
      <c r="K355" s="33" t="str">
        <f aca="false">IF($A355="","",_xlfn.MAXIFS('سجل المراجعات'!$E$5:$E$1504,'سجل المراجعات'!$A$5:$A$1504,$A355,'سجل المراجعات'!$D$5:$D$1504,"تسليم"))</f>
        <v/>
      </c>
      <c r="L355" s="33" t="str">
        <f aca="false">IF($A355="","",_xlfn.MAXIFS('سجل المراجعات'!$E$5:$E$1504,'سجل المراجعات'!$A$5:$A$1504,$A355,'سجل المراجعات'!$D$5:$D$1504,"رد بملاحظات"))</f>
        <v/>
      </c>
      <c r="M355" s="33" t="str">
        <f aca="false">IF($A355="","",_xlfn.MAXIFS('سجل المراجعات'!$E$5:$E$1504,'سجل المراجعات'!$A$5:$A$1504,$A355,'سجل المراجعات'!$D$5:$D$1504,"قبول"))</f>
        <v/>
      </c>
      <c r="N355" s="26" t="str">
        <f aca="false">IF($A355="","",COUNTIFS('سجل المراجعات'!$A$5:$A$1504,$A355,'سجل المراجعات'!$D$5:$D$1504,"تسليم"))</f>
        <v/>
      </c>
      <c r="O355" s="34" t="str">
        <f aca="false">IF($A355="","",IF(M355&gt;0,"تم القبول",IF(F355="معلق","معلق",IF(AND(L355&gt;0,L355&gt;=K355),"مُعاد بملاحظات",IF(K355&gt;0,"في انتظار القبول",IF(AND(ISNUMBER(E355),E355&lt;تاريخ_الاحتساب),"متأخر",IF(F355="","لم يبدأ",F355)))))))</f>
        <v/>
      </c>
      <c r="P355" s="26" t="str">
        <f aca="false">IF($A355="","",SUMIFS('سجل المراجعات'!$L$5:$L$1504,'سجل المراجعات'!$A$5:$A$1504,$A355))</f>
        <v/>
      </c>
      <c r="Q355" s="26" t="str">
        <f aca="false">IF($A355="","",SUMIFS('سجل المراجعات'!$M$5:$M$1504,'سجل المراجعات'!$A$5:$A$1504,$A355))</f>
        <v/>
      </c>
      <c r="R355" s="26" t="str">
        <f aca="false">IF(OR($A355="",NOT(ISNUMBER(E355))),"",MAX(0,NETWORKDAYS.INTL(E355,IF(J355&gt;0,J355,تاريخ_الاحتساب),رمز_العطلة,أيام_الأجازات)-1))</f>
        <v/>
      </c>
      <c r="S355" s="22"/>
    </row>
    <row r="356" customFormat="false" ht="15" hidden="false" customHeight="false" outlineLevel="0" collapsed="false">
      <c r="A356" s="20"/>
      <c r="B356" s="20"/>
      <c r="C356" s="30" t="str">
        <f aca="false">IF($A356="","",IFERROR(INDEX(بند_الاسم,MATCH($B356,قائمة_البنود,0)),"⚠ بند غير موجود"))</f>
        <v/>
      </c>
      <c r="D356" s="22"/>
      <c r="E356" s="31"/>
      <c r="F356" s="21"/>
      <c r="G356" s="32"/>
      <c r="H356" s="25" t="str">
        <f aca="false">IF($A356="","",IFERROR(INDEX(بند_سعر_الوحدة,MATCH($B356,قائمة_البنود,0)),0))</f>
        <v/>
      </c>
      <c r="I356" s="25" t="str">
        <f aca="false">IF($A356="","",H356*(1+نسبة_الضريبة))</f>
        <v/>
      </c>
      <c r="J356" s="33" t="str">
        <f aca="false">IF($A356="","",_xlfn.MINIFS('سجل المراجعات'!$E$5:$E$1504,'سجل المراجعات'!$A$5:$A$1504,$A356,'سجل المراجعات'!$D$5:$D$1504,"تسليم"))</f>
        <v/>
      </c>
      <c r="K356" s="33" t="str">
        <f aca="false">IF($A356="","",_xlfn.MAXIFS('سجل المراجعات'!$E$5:$E$1504,'سجل المراجعات'!$A$5:$A$1504,$A356,'سجل المراجعات'!$D$5:$D$1504,"تسليم"))</f>
        <v/>
      </c>
      <c r="L356" s="33" t="str">
        <f aca="false">IF($A356="","",_xlfn.MAXIFS('سجل المراجعات'!$E$5:$E$1504,'سجل المراجعات'!$A$5:$A$1504,$A356,'سجل المراجعات'!$D$5:$D$1504,"رد بملاحظات"))</f>
        <v/>
      </c>
      <c r="M356" s="33" t="str">
        <f aca="false">IF($A356="","",_xlfn.MAXIFS('سجل المراجعات'!$E$5:$E$1504,'سجل المراجعات'!$A$5:$A$1504,$A356,'سجل المراجعات'!$D$5:$D$1504,"قبول"))</f>
        <v/>
      </c>
      <c r="N356" s="26" t="str">
        <f aca="false">IF($A356="","",COUNTIFS('سجل المراجعات'!$A$5:$A$1504,$A356,'سجل المراجعات'!$D$5:$D$1504,"تسليم"))</f>
        <v/>
      </c>
      <c r="O356" s="34" t="str">
        <f aca="false">IF($A356="","",IF(M356&gt;0,"تم القبول",IF(F356="معلق","معلق",IF(AND(L356&gt;0,L356&gt;=K356),"مُعاد بملاحظات",IF(K356&gt;0,"في انتظار القبول",IF(AND(ISNUMBER(E356),E356&lt;تاريخ_الاحتساب),"متأخر",IF(F356="","لم يبدأ",F356)))))))</f>
        <v/>
      </c>
      <c r="P356" s="26" t="str">
        <f aca="false">IF($A356="","",SUMIFS('سجل المراجعات'!$L$5:$L$1504,'سجل المراجعات'!$A$5:$A$1504,$A356))</f>
        <v/>
      </c>
      <c r="Q356" s="26" t="str">
        <f aca="false">IF($A356="","",SUMIFS('سجل المراجعات'!$M$5:$M$1504,'سجل المراجعات'!$A$5:$A$1504,$A356))</f>
        <v/>
      </c>
      <c r="R356" s="26" t="str">
        <f aca="false">IF(OR($A356="",NOT(ISNUMBER(E356))),"",MAX(0,NETWORKDAYS.INTL(E356,IF(J356&gt;0,J356,تاريخ_الاحتساب),رمز_العطلة,أيام_الأجازات)-1))</f>
        <v/>
      </c>
      <c r="S356" s="22"/>
    </row>
    <row r="357" customFormat="false" ht="15" hidden="false" customHeight="false" outlineLevel="0" collapsed="false">
      <c r="A357" s="20"/>
      <c r="B357" s="20"/>
      <c r="C357" s="30" t="str">
        <f aca="false">IF($A357="","",IFERROR(INDEX(بند_الاسم,MATCH($B357,قائمة_البنود,0)),"⚠ بند غير موجود"))</f>
        <v/>
      </c>
      <c r="D357" s="22"/>
      <c r="E357" s="31"/>
      <c r="F357" s="21"/>
      <c r="G357" s="32"/>
      <c r="H357" s="25" t="str">
        <f aca="false">IF($A357="","",IFERROR(INDEX(بند_سعر_الوحدة,MATCH($B357,قائمة_البنود,0)),0))</f>
        <v/>
      </c>
      <c r="I357" s="25" t="str">
        <f aca="false">IF($A357="","",H357*(1+نسبة_الضريبة))</f>
        <v/>
      </c>
      <c r="J357" s="33" t="str">
        <f aca="false">IF($A357="","",_xlfn.MINIFS('سجل المراجعات'!$E$5:$E$1504,'سجل المراجعات'!$A$5:$A$1504,$A357,'سجل المراجعات'!$D$5:$D$1504,"تسليم"))</f>
        <v/>
      </c>
      <c r="K357" s="33" t="str">
        <f aca="false">IF($A357="","",_xlfn.MAXIFS('سجل المراجعات'!$E$5:$E$1504,'سجل المراجعات'!$A$5:$A$1504,$A357,'سجل المراجعات'!$D$5:$D$1504,"تسليم"))</f>
        <v/>
      </c>
      <c r="L357" s="33" t="str">
        <f aca="false">IF($A357="","",_xlfn.MAXIFS('سجل المراجعات'!$E$5:$E$1504,'سجل المراجعات'!$A$5:$A$1504,$A357,'سجل المراجعات'!$D$5:$D$1504,"رد بملاحظات"))</f>
        <v/>
      </c>
      <c r="M357" s="33" t="str">
        <f aca="false">IF($A357="","",_xlfn.MAXIFS('سجل المراجعات'!$E$5:$E$1504,'سجل المراجعات'!$A$5:$A$1504,$A357,'سجل المراجعات'!$D$5:$D$1504,"قبول"))</f>
        <v/>
      </c>
      <c r="N357" s="26" t="str">
        <f aca="false">IF($A357="","",COUNTIFS('سجل المراجعات'!$A$5:$A$1504,$A357,'سجل المراجعات'!$D$5:$D$1504,"تسليم"))</f>
        <v/>
      </c>
      <c r="O357" s="34" t="str">
        <f aca="false">IF($A357="","",IF(M357&gt;0,"تم القبول",IF(F357="معلق","معلق",IF(AND(L357&gt;0,L357&gt;=K357),"مُعاد بملاحظات",IF(K357&gt;0,"في انتظار القبول",IF(AND(ISNUMBER(E357),E357&lt;تاريخ_الاحتساب),"متأخر",IF(F357="","لم يبدأ",F357)))))))</f>
        <v/>
      </c>
      <c r="P357" s="26" t="str">
        <f aca="false">IF($A357="","",SUMIFS('سجل المراجعات'!$L$5:$L$1504,'سجل المراجعات'!$A$5:$A$1504,$A357))</f>
        <v/>
      </c>
      <c r="Q357" s="26" t="str">
        <f aca="false">IF($A357="","",SUMIFS('سجل المراجعات'!$M$5:$M$1504,'سجل المراجعات'!$A$5:$A$1504,$A357))</f>
        <v/>
      </c>
      <c r="R357" s="26" t="str">
        <f aca="false">IF(OR($A357="",NOT(ISNUMBER(E357))),"",MAX(0,NETWORKDAYS.INTL(E357,IF(J357&gt;0,J357,تاريخ_الاحتساب),رمز_العطلة,أيام_الأجازات)-1))</f>
        <v/>
      </c>
      <c r="S357" s="22"/>
    </row>
    <row r="358" customFormat="false" ht="15" hidden="false" customHeight="false" outlineLevel="0" collapsed="false">
      <c r="A358" s="20"/>
      <c r="B358" s="20"/>
      <c r="C358" s="30" t="str">
        <f aca="false">IF($A358="","",IFERROR(INDEX(بند_الاسم,MATCH($B358,قائمة_البنود,0)),"⚠ بند غير موجود"))</f>
        <v/>
      </c>
      <c r="D358" s="22"/>
      <c r="E358" s="31"/>
      <c r="F358" s="21"/>
      <c r="G358" s="32"/>
      <c r="H358" s="25" t="str">
        <f aca="false">IF($A358="","",IFERROR(INDEX(بند_سعر_الوحدة,MATCH($B358,قائمة_البنود,0)),0))</f>
        <v/>
      </c>
      <c r="I358" s="25" t="str">
        <f aca="false">IF($A358="","",H358*(1+نسبة_الضريبة))</f>
        <v/>
      </c>
      <c r="J358" s="33" t="str">
        <f aca="false">IF($A358="","",_xlfn.MINIFS('سجل المراجعات'!$E$5:$E$1504,'سجل المراجعات'!$A$5:$A$1504,$A358,'سجل المراجعات'!$D$5:$D$1504,"تسليم"))</f>
        <v/>
      </c>
      <c r="K358" s="33" t="str">
        <f aca="false">IF($A358="","",_xlfn.MAXIFS('سجل المراجعات'!$E$5:$E$1504,'سجل المراجعات'!$A$5:$A$1504,$A358,'سجل المراجعات'!$D$5:$D$1504,"تسليم"))</f>
        <v/>
      </c>
      <c r="L358" s="33" t="str">
        <f aca="false">IF($A358="","",_xlfn.MAXIFS('سجل المراجعات'!$E$5:$E$1504,'سجل المراجعات'!$A$5:$A$1504,$A358,'سجل المراجعات'!$D$5:$D$1504,"رد بملاحظات"))</f>
        <v/>
      </c>
      <c r="M358" s="33" t="str">
        <f aca="false">IF($A358="","",_xlfn.MAXIFS('سجل المراجعات'!$E$5:$E$1504,'سجل المراجعات'!$A$5:$A$1504,$A358,'سجل المراجعات'!$D$5:$D$1504,"قبول"))</f>
        <v/>
      </c>
      <c r="N358" s="26" t="str">
        <f aca="false">IF($A358="","",COUNTIFS('سجل المراجعات'!$A$5:$A$1504,$A358,'سجل المراجعات'!$D$5:$D$1504,"تسليم"))</f>
        <v/>
      </c>
      <c r="O358" s="34" t="str">
        <f aca="false">IF($A358="","",IF(M358&gt;0,"تم القبول",IF(F358="معلق","معلق",IF(AND(L358&gt;0,L358&gt;=K358),"مُعاد بملاحظات",IF(K358&gt;0,"في انتظار القبول",IF(AND(ISNUMBER(E358),E358&lt;تاريخ_الاحتساب),"متأخر",IF(F358="","لم يبدأ",F358)))))))</f>
        <v/>
      </c>
      <c r="P358" s="26" t="str">
        <f aca="false">IF($A358="","",SUMIFS('سجل المراجعات'!$L$5:$L$1504,'سجل المراجعات'!$A$5:$A$1504,$A358))</f>
        <v/>
      </c>
      <c r="Q358" s="26" t="str">
        <f aca="false">IF($A358="","",SUMIFS('سجل المراجعات'!$M$5:$M$1504,'سجل المراجعات'!$A$5:$A$1504,$A358))</f>
        <v/>
      </c>
      <c r="R358" s="26" t="str">
        <f aca="false">IF(OR($A358="",NOT(ISNUMBER(E358))),"",MAX(0,NETWORKDAYS.INTL(E358,IF(J358&gt;0,J358,تاريخ_الاحتساب),رمز_العطلة,أيام_الأجازات)-1))</f>
        <v/>
      </c>
      <c r="S358" s="22"/>
    </row>
    <row r="359" customFormat="false" ht="15" hidden="false" customHeight="false" outlineLevel="0" collapsed="false">
      <c r="A359" s="20"/>
      <c r="B359" s="20"/>
      <c r="C359" s="30" t="str">
        <f aca="false">IF($A359="","",IFERROR(INDEX(بند_الاسم,MATCH($B359,قائمة_البنود,0)),"⚠ بند غير موجود"))</f>
        <v/>
      </c>
      <c r="D359" s="22"/>
      <c r="E359" s="31"/>
      <c r="F359" s="21"/>
      <c r="G359" s="32"/>
      <c r="H359" s="25" t="str">
        <f aca="false">IF($A359="","",IFERROR(INDEX(بند_سعر_الوحدة,MATCH($B359,قائمة_البنود,0)),0))</f>
        <v/>
      </c>
      <c r="I359" s="25" t="str">
        <f aca="false">IF($A359="","",H359*(1+نسبة_الضريبة))</f>
        <v/>
      </c>
      <c r="J359" s="33" t="str">
        <f aca="false">IF($A359="","",_xlfn.MINIFS('سجل المراجعات'!$E$5:$E$1504,'سجل المراجعات'!$A$5:$A$1504,$A359,'سجل المراجعات'!$D$5:$D$1504,"تسليم"))</f>
        <v/>
      </c>
      <c r="K359" s="33" t="str">
        <f aca="false">IF($A359="","",_xlfn.MAXIFS('سجل المراجعات'!$E$5:$E$1504,'سجل المراجعات'!$A$5:$A$1504,$A359,'سجل المراجعات'!$D$5:$D$1504,"تسليم"))</f>
        <v/>
      </c>
      <c r="L359" s="33" t="str">
        <f aca="false">IF($A359="","",_xlfn.MAXIFS('سجل المراجعات'!$E$5:$E$1504,'سجل المراجعات'!$A$5:$A$1504,$A359,'سجل المراجعات'!$D$5:$D$1504,"رد بملاحظات"))</f>
        <v/>
      </c>
      <c r="M359" s="33" t="str">
        <f aca="false">IF($A359="","",_xlfn.MAXIFS('سجل المراجعات'!$E$5:$E$1504,'سجل المراجعات'!$A$5:$A$1504,$A359,'سجل المراجعات'!$D$5:$D$1504,"قبول"))</f>
        <v/>
      </c>
      <c r="N359" s="26" t="str">
        <f aca="false">IF($A359="","",COUNTIFS('سجل المراجعات'!$A$5:$A$1504,$A359,'سجل المراجعات'!$D$5:$D$1504,"تسليم"))</f>
        <v/>
      </c>
      <c r="O359" s="34" t="str">
        <f aca="false">IF($A359="","",IF(M359&gt;0,"تم القبول",IF(F359="معلق","معلق",IF(AND(L359&gt;0,L359&gt;=K359),"مُعاد بملاحظات",IF(K359&gt;0,"في انتظار القبول",IF(AND(ISNUMBER(E359),E359&lt;تاريخ_الاحتساب),"متأخر",IF(F359="","لم يبدأ",F359)))))))</f>
        <v/>
      </c>
      <c r="P359" s="26" t="str">
        <f aca="false">IF($A359="","",SUMIFS('سجل المراجعات'!$L$5:$L$1504,'سجل المراجعات'!$A$5:$A$1504,$A359))</f>
        <v/>
      </c>
      <c r="Q359" s="26" t="str">
        <f aca="false">IF($A359="","",SUMIFS('سجل المراجعات'!$M$5:$M$1504,'سجل المراجعات'!$A$5:$A$1504,$A359))</f>
        <v/>
      </c>
      <c r="R359" s="26" t="str">
        <f aca="false">IF(OR($A359="",NOT(ISNUMBER(E359))),"",MAX(0,NETWORKDAYS.INTL(E359,IF(J359&gt;0,J359,تاريخ_الاحتساب),رمز_العطلة,أيام_الأجازات)-1))</f>
        <v/>
      </c>
      <c r="S359" s="22"/>
    </row>
    <row r="360" customFormat="false" ht="15" hidden="false" customHeight="false" outlineLevel="0" collapsed="false">
      <c r="A360" s="20"/>
      <c r="B360" s="20"/>
      <c r="C360" s="30" t="str">
        <f aca="false">IF($A360="","",IFERROR(INDEX(بند_الاسم,MATCH($B360,قائمة_البنود,0)),"⚠ بند غير موجود"))</f>
        <v/>
      </c>
      <c r="D360" s="22"/>
      <c r="E360" s="31"/>
      <c r="F360" s="21"/>
      <c r="G360" s="32"/>
      <c r="H360" s="25" t="str">
        <f aca="false">IF($A360="","",IFERROR(INDEX(بند_سعر_الوحدة,MATCH($B360,قائمة_البنود,0)),0))</f>
        <v/>
      </c>
      <c r="I360" s="25" t="str">
        <f aca="false">IF($A360="","",H360*(1+نسبة_الضريبة))</f>
        <v/>
      </c>
      <c r="J360" s="33" t="str">
        <f aca="false">IF($A360="","",_xlfn.MINIFS('سجل المراجعات'!$E$5:$E$1504,'سجل المراجعات'!$A$5:$A$1504,$A360,'سجل المراجعات'!$D$5:$D$1504,"تسليم"))</f>
        <v/>
      </c>
      <c r="K360" s="33" t="str">
        <f aca="false">IF($A360="","",_xlfn.MAXIFS('سجل المراجعات'!$E$5:$E$1504,'سجل المراجعات'!$A$5:$A$1504,$A360,'سجل المراجعات'!$D$5:$D$1504,"تسليم"))</f>
        <v/>
      </c>
      <c r="L360" s="33" t="str">
        <f aca="false">IF($A360="","",_xlfn.MAXIFS('سجل المراجعات'!$E$5:$E$1504,'سجل المراجعات'!$A$5:$A$1504,$A360,'سجل المراجعات'!$D$5:$D$1504,"رد بملاحظات"))</f>
        <v/>
      </c>
      <c r="M360" s="33" t="str">
        <f aca="false">IF($A360="","",_xlfn.MAXIFS('سجل المراجعات'!$E$5:$E$1504,'سجل المراجعات'!$A$5:$A$1504,$A360,'سجل المراجعات'!$D$5:$D$1504,"قبول"))</f>
        <v/>
      </c>
      <c r="N360" s="26" t="str">
        <f aca="false">IF($A360="","",COUNTIFS('سجل المراجعات'!$A$5:$A$1504,$A360,'سجل المراجعات'!$D$5:$D$1504,"تسليم"))</f>
        <v/>
      </c>
      <c r="O360" s="34" t="str">
        <f aca="false">IF($A360="","",IF(M360&gt;0,"تم القبول",IF(F360="معلق","معلق",IF(AND(L360&gt;0,L360&gt;=K360),"مُعاد بملاحظات",IF(K360&gt;0,"في انتظار القبول",IF(AND(ISNUMBER(E360),E360&lt;تاريخ_الاحتساب),"متأخر",IF(F360="","لم يبدأ",F360)))))))</f>
        <v/>
      </c>
      <c r="P360" s="26" t="str">
        <f aca="false">IF($A360="","",SUMIFS('سجل المراجعات'!$L$5:$L$1504,'سجل المراجعات'!$A$5:$A$1504,$A360))</f>
        <v/>
      </c>
      <c r="Q360" s="26" t="str">
        <f aca="false">IF($A360="","",SUMIFS('سجل المراجعات'!$M$5:$M$1504,'سجل المراجعات'!$A$5:$A$1504,$A360))</f>
        <v/>
      </c>
      <c r="R360" s="26" t="str">
        <f aca="false">IF(OR($A360="",NOT(ISNUMBER(E360))),"",MAX(0,NETWORKDAYS.INTL(E360,IF(J360&gt;0,J360,تاريخ_الاحتساب),رمز_العطلة,أيام_الأجازات)-1))</f>
        <v/>
      </c>
      <c r="S360" s="22"/>
    </row>
    <row r="361" customFormat="false" ht="15" hidden="false" customHeight="false" outlineLevel="0" collapsed="false">
      <c r="A361" s="20"/>
      <c r="B361" s="20"/>
      <c r="C361" s="30" t="str">
        <f aca="false">IF($A361="","",IFERROR(INDEX(بند_الاسم,MATCH($B361,قائمة_البنود,0)),"⚠ بند غير موجود"))</f>
        <v/>
      </c>
      <c r="D361" s="22"/>
      <c r="E361" s="31"/>
      <c r="F361" s="21"/>
      <c r="G361" s="32"/>
      <c r="H361" s="25" t="str">
        <f aca="false">IF($A361="","",IFERROR(INDEX(بند_سعر_الوحدة,MATCH($B361,قائمة_البنود,0)),0))</f>
        <v/>
      </c>
      <c r="I361" s="25" t="str">
        <f aca="false">IF($A361="","",H361*(1+نسبة_الضريبة))</f>
        <v/>
      </c>
      <c r="J361" s="33" t="str">
        <f aca="false">IF($A361="","",_xlfn.MINIFS('سجل المراجعات'!$E$5:$E$1504,'سجل المراجعات'!$A$5:$A$1504,$A361,'سجل المراجعات'!$D$5:$D$1504,"تسليم"))</f>
        <v/>
      </c>
      <c r="K361" s="33" t="str">
        <f aca="false">IF($A361="","",_xlfn.MAXIFS('سجل المراجعات'!$E$5:$E$1504,'سجل المراجعات'!$A$5:$A$1504,$A361,'سجل المراجعات'!$D$5:$D$1504,"تسليم"))</f>
        <v/>
      </c>
      <c r="L361" s="33" t="str">
        <f aca="false">IF($A361="","",_xlfn.MAXIFS('سجل المراجعات'!$E$5:$E$1504,'سجل المراجعات'!$A$5:$A$1504,$A361,'سجل المراجعات'!$D$5:$D$1504,"رد بملاحظات"))</f>
        <v/>
      </c>
      <c r="M361" s="33" t="str">
        <f aca="false">IF($A361="","",_xlfn.MAXIFS('سجل المراجعات'!$E$5:$E$1504,'سجل المراجعات'!$A$5:$A$1504,$A361,'سجل المراجعات'!$D$5:$D$1504,"قبول"))</f>
        <v/>
      </c>
      <c r="N361" s="26" t="str">
        <f aca="false">IF($A361="","",COUNTIFS('سجل المراجعات'!$A$5:$A$1504,$A361,'سجل المراجعات'!$D$5:$D$1504,"تسليم"))</f>
        <v/>
      </c>
      <c r="O361" s="34" t="str">
        <f aca="false">IF($A361="","",IF(M361&gt;0,"تم القبول",IF(F361="معلق","معلق",IF(AND(L361&gt;0,L361&gt;=K361),"مُعاد بملاحظات",IF(K361&gt;0,"في انتظار القبول",IF(AND(ISNUMBER(E361),E361&lt;تاريخ_الاحتساب),"متأخر",IF(F361="","لم يبدأ",F361)))))))</f>
        <v/>
      </c>
      <c r="P361" s="26" t="str">
        <f aca="false">IF($A361="","",SUMIFS('سجل المراجعات'!$L$5:$L$1504,'سجل المراجعات'!$A$5:$A$1504,$A361))</f>
        <v/>
      </c>
      <c r="Q361" s="26" t="str">
        <f aca="false">IF($A361="","",SUMIFS('سجل المراجعات'!$M$5:$M$1504,'سجل المراجعات'!$A$5:$A$1504,$A361))</f>
        <v/>
      </c>
      <c r="R361" s="26" t="str">
        <f aca="false">IF(OR($A361="",NOT(ISNUMBER(E361))),"",MAX(0,NETWORKDAYS.INTL(E361,IF(J361&gt;0,J361,تاريخ_الاحتساب),رمز_العطلة,أيام_الأجازات)-1))</f>
        <v/>
      </c>
      <c r="S361" s="22"/>
    </row>
    <row r="362" customFormat="false" ht="15" hidden="false" customHeight="false" outlineLevel="0" collapsed="false">
      <c r="A362" s="20"/>
      <c r="B362" s="20"/>
      <c r="C362" s="30" t="str">
        <f aca="false">IF($A362="","",IFERROR(INDEX(بند_الاسم,MATCH($B362,قائمة_البنود,0)),"⚠ بند غير موجود"))</f>
        <v/>
      </c>
      <c r="D362" s="22"/>
      <c r="E362" s="31"/>
      <c r="F362" s="21"/>
      <c r="G362" s="32"/>
      <c r="H362" s="25" t="str">
        <f aca="false">IF($A362="","",IFERROR(INDEX(بند_سعر_الوحدة,MATCH($B362,قائمة_البنود,0)),0))</f>
        <v/>
      </c>
      <c r="I362" s="25" t="str">
        <f aca="false">IF($A362="","",H362*(1+نسبة_الضريبة))</f>
        <v/>
      </c>
      <c r="J362" s="33" t="str">
        <f aca="false">IF($A362="","",_xlfn.MINIFS('سجل المراجعات'!$E$5:$E$1504,'سجل المراجعات'!$A$5:$A$1504,$A362,'سجل المراجعات'!$D$5:$D$1504,"تسليم"))</f>
        <v/>
      </c>
      <c r="K362" s="33" t="str">
        <f aca="false">IF($A362="","",_xlfn.MAXIFS('سجل المراجعات'!$E$5:$E$1504,'سجل المراجعات'!$A$5:$A$1504,$A362,'سجل المراجعات'!$D$5:$D$1504,"تسليم"))</f>
        <v/>
      </c>
      <c r="L362" s="33" t="str">
        <f aca="false">IF($A362="","",_xlfn.MAXIFS('سجل المراجعات'!$E$5:$E$1504,'سجل المراجعات'!$A$5:$A$1504,$A362,'سجل المراجعات'!$D$5:$D$1504,"رد بملاحظات"))</f>
        <v/>
      </c>
      <c r="M362" s="33" t="str">
        <f aca="false">IF($A362="","",_xlfn.MAXIFS('سجل المراجعات'!$E$5:$E$1504,'سجل المراجعات'!$A$5:$A$1504,$A362,'سجل المراجعات'!$D$5:$D$1504,"قبول"))</f>
        <v/>
      </c>
      <c r="N362" s="26" t="str">
        <f aca="false">IF($A362="","",COUNTIFS('سجل المراجعات'!$A$5:$A$1504,$A362,'سجل المراجعات'!$D$5:$D$1504,"تسليم"))</f>
        <v/>
      </c>
      <c r="O362" s="34" t="str">
        <f aca="false">IF($A362="","",IF(M362&gt;0,"تم القبول",IF(F362="معلق","معلق",IF(AND(L362&gt;0,L362&gt;=K362),"مُعاد بملاحظات",IF(K362&gt;0,"في انتظار القبول",IF(AND(ISNUMBER(E362),E362&lt;تاريخ_الاحتساب),"متأخر",IF(F362="","لم يبدأ",F362)))))))</f>
        <v/>
      </c>
      <c r="P362" s="26" t="str">
        <f aca="false">IF($A362="","",SUMIFS('سجل المراجعات'!$L$5:$L$1504,'سجل المراجعات'!$A$5:$A$1504,$A362))</f>
        <v/>
      </c>
      <c r="Q362" s="26" t="str">
        <f aca="false">IF($A362="","",SUMIFS('سجل المراجعات'!$M$5:$M$1504,'سجل المراجعات'!$A$5:$A$1504,$A362))</f>
        <v/>
      </c>
      <c r="R362" s="26" t="str">
        <f aca="false">IF(OR($A362="",NOT(ISNUMBER(E362))),"",MAX(0,NETWORKDAYS.INTL(E362,IF(J362&gt;0,J362,تاريخ_الاحتساب),رمز_العطلة,أيام_الأجازات)-1))</f>
        <v/>
      </c>
      <c r="S362" s="22"/>
    </row>
    <row r="363" customFormat="false" ht="15" hidden="false" customHeight="false" outlineLevel="0" collapsed="false">
      <c r="A363" s="20"/>
      <c r="B363" s="20"/>
      <c r="C363" s="30" t="str">
        <f aca="false">IF($A363="","",IFERROR(INDEX(بند_الاسم,MATCH($B363,قائمة_البنود,0)),"⚠ بند غير موجود"))</f>
        <v/>
      </c>
      <c r="D363" s="22"/>
      <c r="E363" s="31"/>
      <c r="F363" s="21"/>
      <c r="G363" s="32"/>
      <c r="H363" s="25" t="str">
        <f aca="false">IF($A363="","",IFERROR(INDEX(بند_سعر_الوحدة,MATCH($B363,قائمة_البنود,0)),0))</f>
        <v/>
      </c>
      <c r="I363" s="25" t="str">
        <f aca="false">IF($A363="","",H363*(1+نسبة_الضريبة))</f>
        <v/>
      </c>
      <c r="J363" s="33" t="str">
        <f aca="false">IF($A363="","",_xlfn.MINIFS('سجل المراجعات'!$E$5:$E$1504,'سجل المراجعات'!$A$5:$A$1504,$A363,'سجل المراجعات'!$D$5:$D$1504,"تسليم"))</f>
        <v/>
      </c>
      <c r="K363" s="33" t="str">
        <f aca="false">IF($A363="","",_xlfn.MAXIFS('سجل المراجعات'!$E$5:$E$1504,'سجل المراجعات'!$A$5:$A$1504,$A363,'سجل المراجعات'!$D$5:$D$1504,"تسليم"))</f>
        <v/>
      </c>
      <c r="L363" s="33" t="str">
        <f aca="false">IF($A363="","",_xlfn.MAXIFS('سجل المراجعات'!$E$5:$E$1504,'سجل المراجعات'!$A$5:$A$1504,$A363,'سجل المراجعات'!$D$5:$D$1504,"رد بملاحظات"))</f>
        <v/>
      </c>
      <c r="M363" s="33" t="str">
        <f aca="false">IF($A363="","",_xlfn.MAXIFS('سجل المراجعات'!$E$5:$E$1504,'سجل المراجعات'!$A$5:$A$1504,$A363,'سجل المراجعات'!$D$5:$D$1504,"قبول"))</f>
        <v/>
      </c>
      <c r="N363" s="26" t="str">
        <f aca="false">IF($A363="","",COUNTIFS('سجل المراجعات'!$A$5:$A$1504,$A363,'سجل المراجعات'!$D$5:$D$1504,"تسليم"))</f>
        <v/>
      </c>
      <c r="O363" s="34" t="str">
        <f aca="false">IF($A363="","",IF(M363&gt;0,"تم القبول",IF(F363="معلق","معلق",IF(AND(L363&gt;0,L363&gt;=K363),"مُعاد بملاحظات",IF(K363&gt;0,"في انتظار القبول",IF(AND(ISNUMBER(E363),E363&lt;تاريخ_الاحتساب),"متأخر",IF(F363="","لم يبدأ",F363)))))))</f>
        <v/>
      </c>
      <c r="P363" s="26" t="str">
        <f aca="false">IF($A363="","",SUMIFS('سجل المراجعات'!$L$5:$L$1504,'سجل المراجعات'!$A$5:$A$1504,$A363))</f>
        <v/>
      </c>
      <c r="Q363" s="26" t="str">
        <f aca="false">IF($A363="","",SUMIFS('سجل المراجعات'!$M$5:$M$1504,'سجل المراجعات'!$A$5:$A$1504,$A363))</f>
        <v/>
      </c>
      <c r="R363" s="26" t="str">
        <f aca="false">IF(OR($A363="",NOT(ISNUMBER(E363))),"",MAX(0,NETWORKDAYS.INTL(E363,IF(J363&gt;0,J363,تاريخ_الاحتساب),رمز_العطلة,أيام_الأجازات)-1))</f>
        <v/>
      </c>
      <c r="S363" s="22"/>
    </row>
    <row r="364" customFormat="false" ht="15" hidden="false" customHeight="false" outlineLevel="0" collapsed="false">
      <c r="A364" s="20"/>
      <c r="B364" s="20"/>
      <c r="C364" s="30" t="str">
        <f aca="false">IF($A364="","",IFERROR(INDEX(بند_الاسم,MATCH($B364,قائمة_البنود,0)),"⚠ بند غير موجود"))</f>
        <v/>
      </c>
      <c r="D364" s="22"/>
      <c r="E364" s="31"/>
      <c r="F364" s="21"/>
      <c r="G364" s="32"/>
      <c r="H364" s="25" t="str">
        <f aca="false">IF($A364="","",IFERROR(INDEX(بند_سعر_الوحدة,MATCH($B364,قائمة_البنود,0)),0))</f>
        <v/>
      </c>
      <c r="I364" s="25" t="str">
        <f aca="false">IF($A364="","",H364*(1+نسبة_الضريبة))</f>
        <v/>
      </c>
      <c r="J364" s="33" t="str">
        <f aca="false">IF($A364="","",_xlfn.MINIFS('سجل المراجعات'!$E$5:$E$1504,'سجل المراجعات'!$A$5:$A$1504,$A364,'سجل المراجعات'!$D$5:$D$1504,"تسليم"))</f>
        <v/>
      </c>
      <c r="K364" s="33" t="str">
        <f aca="false">IF($A364="","",_xlfn.MAXIFS('سجل المراجعات'!$E$5:$E$1504,'سجل المراجعات'!$A$5:$A$1504,$A364,'سجل المراجعات'!$D$5:$D$1504,"تسليم"))</f>
        <v/>
      </c>
      <c r="L364" s="33" t="str">
        <f aca="false">IF($A364="","",_xlfn.MAXIFS('سجل المراجعات'!$E$5:$E$1504,'سجل المراجعات'!$A$5:$A$1504,$A364,'سجل المراجعات'!$D$5:$D$1504,"رد بملاحظات"))</f>
        <v/>
      </c>
      <c r="M364" s="33" t="str">
        <f aca="false">IF($A364="","",_xlfn.MAXIFS('سجل المراجعات'!$E$5:$E$1504,'سجل المراجعات'!$A$5:$A$1504,$A364,'سجل المراجعات'!$D$5:$D$1504,"قبول"))</f>
        <v/>
      </c>
      <c r="N364" s="26" t="str">
        <f aca="false">IF($A364="","",COUNTIFS('سجل المراجعات'!$A$5:$A$1504,$A364,'سجل المراجعات'!$D$5:$D$1504,"تسليم"))</f>
        <v/>
      </c>
      <c r="O364" s="34" t="str">
        <f aca="false">IF($A364="","",IF(M364&gt;0,"تم القبول",IF(F364="معلق","معلق",IF(AND(L364&gt;0,L364&gt;=K364),"مُعاد بملاحظات",IF(K364&gt;0,"في انتظار القبول",IF(AND(ISNUMBER(E364),E364&lt;تاريخ_الاحتساب),"متأخر",IF(F364="","لم يبدأ",F364)))))))</f>
        <v/>
      </c>
      <c r="P364" s="26" t="str">
        <f aca="false">IF($A364="","",SUMIFS('سجل المراجعات'!$L$5:$L$1504,'سجل المراجعات'!$A$5:$A$1504,$A364))</f>
        <v/>
      </c>
      <c r="Q364" s="26" t="str">
        <f aca="false">IF($A364="","",SUMIFS('سجل المراجعات'!$M$5:$M$1504,'سجل المراجعات'!$A$5:$A$1504,$A364))</f>
        <v/>
      </c>
      <c r="R364" s="26" t="str">
        <f aca="false">IF(OR($A364="",NOT(ISNUMBER(E364))),"",MAX(0,NETWORKDAYS.INTL(E364,IF(J364&gt;0,J364,تاريخ_الاحتساب),رمز_العطلة,أيام_الأجازات)-1))</f>
        <v/>
      </c>
      <c r="S364" s="22"/>
    </row>
    <row r="365" customFormat="false" ht="15" hidden="false" customHeight="false" outlineLevel="0" collapsed="false">
      <c r="A365" s="20"/>
      <c r="B365" s="20"/>
      <c r="C365" s="30" t="str">
        <f aca="false">IF($A365="","",IFERROR(INDEX(بند_الاسم,MATCH($B365,قائمة_البنود,0)),"⚠ بند غير موجود"))</f>
        <v/>
      </c>
      <c r="D365" s="22"/>
      <c r="E365" s="31"/>
      <c r="F365" s="21"/>
      <c r="G365" s="32"/>
      <c r="H365" s="25" t="str">
        <f aca="false">IF($A365="","",IFERROR(INDEX(بند_سعر_الوحدة,MATCH($B365,قائمة_البنود,0)),0))</f>
        <v/>
      </c>
      <c r="I365" s="25" t="str">
        <f aca="false">IF($A365="","",H365*(1+نسبة_الضريبة))</f>
        <v/>
      </c>
      <c r="J365" s="33" t="str">
        <f aca="false">IF($A365="","",_xlfn.MINIFS('سجل المراجعات'!$E$5:$E$1504,'سجل المراجعات'!$A$5:$A$1504,$A365,'سجل المراجعات'!$D$5:$D$1504,"تسليم"))</f>
        <v/>
      </c>
      <c r="K365" s="33" t="str">
        <f aca="false">IF($A365="","",_xlfn.MAXIFS('سجل المراجعات'!$E$5:$E$1504,'سجل المراجعات'!$A$5:$A$1504,$A365,'سجل المراجعات'!$D$5:$D$1504,"تسليم"))</f>
        <v/>
      </c>
      <c r="L365" s="33" t="str">
        <f aca="false">IF($A365="","",_xlfn.MAXIFS('سجل المراجعات'!$E$5:$E$1504,'سجل المراجعات'!$A$5:$A$1504,$A365,'سجل المراجعات'!$D$5:$D$1504,"رد بملاحظات"))</f>
        <v/>
      </c>
      <c r="M365" s="33" t="str">
        <f aca="false">IF($A365="","",_xlfn.MAXIFS('سجل المراجعات'!$E$5:$E$1504,'سجل المراجعات'!$A$5:$A$1504,$A365,'سجل المراجعات'!$D$5:$D$1504,"قبول"))</f>
        <v/>
      </c>
      <c r="N365" s="26" t="str">
        <f aca="false">IF($A365="","",COUNTIFS('سجل المراجعات'!$A$5:$A$1504,$A365,'سجل المراجعات'!$D$5:$D$1504,"تسليم"))</f>
        <v/>
      </c>
      <c r="O365" s="34" t="str">
        <f aca="false">IF($A365="","",IF(M365&gt;0,"تم القبول",IF(F365="معلق","معلق",IF(AND(L365&gt;0,L365&gt;=K365),"مُعاد بملاحظات",IF(K365&gt;0,"في انتظار القبول",IF(AND(ISNUMBER(E365),E365&lt;تاريخ_الاحتساب),"متأخر",IF(F365="","لم يبدأ",F365)))))))</f>
        <v/>
      </c>
      <c r="P365" s="26" t="str">
        <f aca="false">IF($A365="","",SUMIFS('سجل المراجعات'!$L$5:$L$1504,'سجل المراجعات'!$A$5:$A$1504,$A365))</f>
        <v/>
      </c>
      <c r="Q365" s="26" t="str">
        <f aca="false">IF($A365="","",SUMIFS('سجل المراجعات'!$M$5:$M$1504,'سجل المراجعات'!$A$5:$A$1504,$A365))</f>
        <v/>
      </c>
      <c r="R365" s="26" t="str">
        <f aca="false">IF(OR($A365="",NOT(ISNUMBER(E365))),"",MAX(0,NETWORKDAYS.INTL(E365,IF(J365&gt;0,J365,تاريخ_الاحتساب),رمز_العطلة,أيام_الأجازات)-1))</f>
        <v/>
      </c>
      <c r="S365" s="22"/>
    </row>
    <row r="366" customFormat="false" ht="15" hidden="false" customHeight="false" outlineLevel="0" collapsed="false">
      <c r="A366" s="20"/>
      <c r="B366" s="20"/>
      <c r="C366" s="30" t="str">
        <f aca="false">IF($A366="","",IFERROR(INDEX(بند_الاسم,MATCH($B366,قائمة_البنود,0)),"⚠ بند غير موجود"))</f>
        <v/>
      </c>
      <c r="D366" s="22"/>
      <c r="E366" s="31"/>
      <c r="F366" s="21"/>
      <c r="G366" s="32"/>
      <c r="H366" s="25" t="str">
        <f aca="false">IF($A366="","",IFERROR(INDEX(بند_سعر_الوحدة,MATCH($B366,قائمة_البنود,0)),0))</f>
        <v/>
      </c>
      <c r="I366" s="25" t="str">
        <f aca="false">IF($A366="","",H366*(1+نسبة_الضريبة))</f>
        <v/>
      </c>
      <c r="J366" s="33" t="str">
        <f aca="false">IF($A366="","",_xlfn.MINIFS('سجل المراجعات'!$E$5:$E$1504,'سجل المراجعات'!$A$5:$A$1504,$A366,'سجل المراجعات'!$D$5:$D$1504,"تسليم"))</f>
        <v/>
      </c>
      <c r="K366" s="33" t="str">
        <f aca="false">IF($A366="","",_xlfn.MAXIFS('سجل المراجعات'!$E$5:$E$1504,'سجل المراجعات'!$A$5:$A$1504,$A366,'سجل المراجعات'!$D$5:$D$1504,"تسليم"))</f>
        <v/>
      </c>
      <c r="L366" s="33" t="str">
        <f aca="false">IF($A366="","",_xlfn.MAXIFS('سجل المراجعات'!$E$5:$E$1504,'سجل المراجعات'!$A$5:$A$1504,$A366,'سجل المراجعات'!$D$5:$D$1504,"رد بملاحظات"))</f>
        <v/>
      </c>
      <c r="M366" s="33" t="str">
        <f aca="false">IF($A366="","",_xlfn.MAXIFS('سجل المراجعات'!$E$5:$E$1504,'سجل المراجعات'!$A$5:$A$1504,$A366,'سجل المراجعات'!$D$5:$D$1504,"قبول"))</f>
        <v/>
      </c>
      <c r="N366" s="26" t="str">
        <f aca="false">IF($A366="","",COUNTIFS('سجل المراجعات'!$A$5:$A$1504,$A366,'سجل المراجعات'!$D$5:$D$1504,"تسليم"))</f>
        <v/>
      </c>
      <c r="O366" s="34" t="str">
        <f aca="false">IF($A366="","",IF(M366&gt;0,"تم القبول",IF(F366="معلق","معلق",IF(AND(L366&gt;0,L366&gt;=K366),"مُعاد بملاحظات",IF(K366&gt;0,"في انتظار القبول",IF(AND(ISNUMBER(E366),E366&lt;تاريخ_الاحتساب),"متأخر",IF(F366="","لم يبدأ",F366)))))))</f>
        <v/>
      </c>
      <c r="P366" s="26" t="str">
        <f aca="false">IF($A366="","",SUMIFS('سجل المراجعات'!$L$5:$L$1504,'سجل المراجعات'!$A$5:$A$1504,$A366))</f>
        <v/>
      </c>
      <c r="Q366" s="26" t="str">
        <f aca="false">IF($A366="","",SUMIFS('سجل المراجعات'!$M$5:$M$1504,'سجل المراجعات'!$A$5:$A$1504,$A366))</f>
        <v/>
      </c>
      <c r="R366" s="26" t="str">
        <f aca="false">IF(OR($A366="",NOT(ISNUMBER(E366))),"",MAX(0,NETWORKDAYS.INTL(E366,IF(J366&gt;0,J366,تاريخ_الاحتساب),رمز_العطلة,أيام_الأجازات)-1))</f>
        <v/>
      </c>
      <c r="S366" s="22"/>
    </row>
    <row r="367" customFormat="false" ht="15" hidden="false" customHeight="false" outlineLevel="0" collapsed="false">
      <c r="A367" s="20"/>
      <c r="B367" s="20"/>
      <c r="C367" s="30" t="str">
        <f aca="false">IF($A367="","",IFERROR(INDEX(بند_الاسم,MATCH($B367,قائمة_البنود,0)),"⚠ بند غير موجود"))</f>
        <v/>
      </c>
      <c r="D367" s="22"/>
      <c r="E367" s="31"/>
      <c r="F367" s="21"/>
      <c r="G367" s="32"/>
      <c r="H367" s="25" t="str">
        <f aca="false">IF($A367="","",IFERROR(INDEX(بند_سعر_الوحدة,MATCH($B367,قائمة_البنود,0)),0))</f>
        <v/>
      </c>
      <c r="I367" s="25" t="str">
        <f aca="false">IF($A367="","",H367*(1+نسبة_الضريبة))</f>
        <v/>
      </c>
      <c r="J367" s="33" t="str">
        <f aca="false">IF($A367="","",_xlfn.MINIFS('سجل المراجعات'!$E$5:$E$1504,'سجل المراجعات'!$A$5:$A$1504,$A367,'سجل المراجعات'!$D$5:$D$1504,"تسليم"))</f>
        <v/>
      </c>
      <c r="K367" s="33" t="str">
        <f aca="false">IF($A367="","",_xlfn.MAXIFS('سجل المراجعات'!$E$5:$E$1504,'سجل المراجعات'!$A$5:$A$1504,$A367,'سجل المراجعات'!$D$5:$D$1504,"تسليم"))</f>
        <v/>
      </c>
      <c r="L367" s="33" t="str">
        <f aca="false">IF($A367="","",_xlfn.MAXIFS('سجل المراجعات'!$E$5:$E$1504,'سجل المراجعات'!$A$5:$A$1504,$A367,'سجل المراجعات'!$D$5:$D$1504,"رد بملاحظات"))</f>
        <v/>
      </c>
      <c r="M367" s="33" t="str">
        <f aca="false">IF($A367="","",_xlfn.MAXIFS('سجل المراجعات'!$E$5:$E$1504,'سجل المراجعات'!$A$5:$A$1504,$A367,'سجل المراجعات'!$D$5:$D$1504,"قبول"))</f>
        <v/>
      </c>
      <c r="N367" s="26" t="str">
        <f aca="false">IF($A367="","",COUNTIFS('سجل المراجعات'!$A$5:$A$1504,$A367,'سجل المراجعات'!$D$5:$D$1504,"تسليم"))</f>
        <v/>
      </c>
      <c r="O367" s="34" t="str">
        <f aca="false">IF($A367="","",IF(M367&gt;0,"تم القبول",IF(F367="معلق","معلق",IF(AND(L367&gt;0,L367&gt;=K367),"مُعاد بملاحظات",IF(K367&gt;0,"في انتظار القبول",IF(AND(ISNUMBER(E367),E367&lt;تاريخ_الاحتساب),"متأخر",IF(F367="","لم يبدأ",F367)))))))</f>
        <v/>
      </c>
      <c r="P367" s="26" t="str">
        <f aca="false">IF($A367="","",SUMIFS('سجل المراجعات'!$L$5:$L$1504,'سجل المراجعات'!$A$5:$A$1504,$A367))</f>
        <v/>
      </c>
      <c r="Q367" s="26" t="str">
        <f aca="false">IF($A367="","",SUMIFS('سجل المراجعات'!$M$5:$M$1504,'سجل المراجعات'!$A$5:$A$1504,$A367))</f>
        <v/>
      </c>
      <c r="R367" s="26" t="str">
        <f aca="false">IF(OR($A367="",NOT(ISNUMBER(E367))),"",MAX(0,NETWORKDAYS.INTL(E367,IF(J367&gt;0,J367,تاريخ_الاحتساب),رمز_العطلة,أيام_الأجازات)-1))</f>
        <v/>
      </c>
      <c r="S367" s="22"/>
    </row>
    <row r="368" customFormat="false" ht="15" hidden="false" customHeight="false" outlineLevel="0" collapsed="false">
      <c r="A368" s="20"/>
      <c r="B368" s="20"/>
      <c r="C368" s="30" t="str">
        <f aca="false">IF($A368="","",IFERROR(INDEX(بند_الاسم,MATCH($B368,قائمة_البنود,0)),"⚠ بند غير موجود"))</f>
        <v/>
      </c>
      <c r="D368" s="22"/>
      <c r="E368" s="31"/>
      <c r="F368" s="21"/>
      <c r="G368" s="32"/>
      <c r="H368" s="25" t="str">
        <f aca="false">IF($A368="","",IFERROR(INDEX(بند_سعر_الوحدة,MATCH($B368,قائمة_البنود,0)),0))</f>
        <v/>
      </c>
      <c r="I368" s="25" t="str">
        <f aca="false">IF($A368="","",H368*(1+نسبة_الضريبة))</f>
        <v/>
      </c>
      <c r="J368" s="33" t="str">
        <f aca="false">IF($A368="","",_xlfn.MINIFS('سجل المراجعات'!$E$5:$E$1504,'سجل المراجعات'!$A$5:$A$1504,$A368,'سجل المراجعات'!$D$5:$D$1504,"تسليم"))</f>
        <v/>
      </c>
      <c r="K368" s="33" t="str">
        <f aca="false">IF($A368="","",_xlfn.MAXIFS('سجل المراجعات'!$E$5:$E$1504,'سجل المراجعات'!$A$5:$A$1504,$A368,'سجل المراجعات'!$D$5:$D$1504,"تسليم"))</f>
        <v/>
      </c>
      <c r="L368" s="33" t="str">
        <f aca="false">IF($A368="","",_xlfn.MAXIFS('سجل المراجعات'!$E$5:$E$1504,'سجل المراجعات'!$A$5:$A$1504,$A368,'سجل المراجعات'!$D$5:$D$1504,"رد بملاحظات"))</f>
        <v/>
      </c>
      <c r="M368" s="33" t="str">
        <f aca="false">IF($A368="","",_xlfn.MAXIFS('سجل المراجعات'!$E$5:$E$1504,'سجل المراجعات'!$A$5:$A$1504,$A368,'سجل المراجعات'!$D$5:$D$1504,"قبول"))</f>
        <v/>
      </c>
      <c r="N368" s="26" t="str">
        <f aca="false">IF($A368="","",COUNTIFS('سجل المراجعات'!$A$5:$A$1504,$A368,'سجل المراجعات'!$D$5:$D$1504,"تسليم"))</f>
        <v/>
      </c>
      <c r="O368" s="34" t="str">
        <f aca="false">IF($A368="","",IF(M368&gt;0,"تم القبول",IF(F368="معلق","معلق",IF(AND(L368&gt;0,L368&gt;=K368),"مُعاد بملاحظات",IF(K368&gt;0,"في انتظار القبول",IF(AND(ISNUMBER(E368),E368&lt;تاريخ_الاحتساب),"متأخر",IF(F368="","لم يبدأ",F368)))))))</f>
        <v/>
      </c>
      <c r="P368" s="26" t="str">
        <f aca="false">IF($A368="","",SUMIFS('سجل المراجعات'!$L$5:$L$1504,'سجل المراجعات'!$A$5:$A$1504,$A368))</f>
        <v/>
      </c>
      <c r="Q368" s="26" t="str">
        <f aca="false">IF($A368="","",SUMIFS('سجل المراجعات'!$M$5:$M$1504,'سجل المراجعات'!$A$5:$A$1504,$A368))</f>
        <v/>
      </c>
      <c r="R368" s="26" t="str">
        <f aca="false">IF(OR($A368="",NOT(ISNUMBER(E368))),"",MAX(0,NETWORKDAYS.INTL(E368,IF(J368&gt;0,J368,تاريخ_الاحتساب),رمز_العطلة,أيام_الأجازات)-1))</f>
        <v/>
      </c>
      <c r="S368" s="22"/>
    </row>
    <row r="369" customFormat="false" ht="15" hidden="false" customHeight="false" outlineLevel="0" collapsed="false">
      <c r="A369" s="20"/>
      <c r="B369" s="20"/>
      <c r="C369" s="30" t="str">
        <f aca="false">IF($A369="","",IFERROR(INDEX(بند_الاسم,MATCH($B369,قائمة_البنود,0)),"⚠ بند غير موجود"))</f>
        <v/>
      </c>
      <c r="D369" s="22"/>
      <c r="E369" s="31"/>
      <c r="F369" s="21"/>
      <c r="G369" s="32"/>
      <c r="H369" s="25" t="str">
        <f aca="false">IF($A369="","",IFERROR(INDEX(بند_سعر_الوحدة,MATCH($B369,قائمة_البنود,0)),0))</f>
        <v/>
      </c>
      <c r="I369" s="25" t="str">
        <f aca="false">IF($A369="","",H369*(1+نسبة_الضريبة))</f>
        <v/>
      </c>
      <c r="J369" s="33" t="str">
        <f aca="false">IF($A369="","",_xlfn.MINIFS('سجل المراجعات'!$E$5:$E$1504,'سجل المراجعات'!$A$5:$A$1504,$A369,'سجل المراجعات'!$D$5:$D$1504,"تسليم"))</f>
        <v/>
      </c>
      <c r="K369" s="33" t="str">
        <f aca="false">IF($A369="","",_xlfn.MAXIFS('سجل المراجعات'!$E$5:$E$1504,'سجل المراجعات'!$A$5:$A$1504,$A369,'سجل المراجعات'!$D$5:$D$1504,"تسليم"))</f>
        <v/>
      </c>
      <c r="L369" s="33" t="str">
        <f aca="false">IF($A369="","",_xlfn.MAXIFS('سجل المراجعات'!$E$5:$E$1504,'سجل المراجعات'!$A$5:$A$1504,$A369,'سجل المراجعات'!$D$5:$D$1504,"رد بملاحظات"))</f>
        <v/>
      </c>
      <c r="M369" s="33" t="str">
        <f aca="false">IF($A369="","",_xlfn.MAXIFS('سجل المراجعات'!$E$5:$E$1504,'سجل المراجعات'!$A$5:$A$1504,$A369,'سجل المراجعات'!$D$5:$D$1504,"قبول"))</f>
        <v/>
      </c>
      <c r="N369" s="26" t="str">
        <f aca="false">IF($A369="","",COUNTIFS('سجل المراجعات'!$A$5:$A$1504,$A369,'سجل المراجعات'!$D$5:$D$1504,"تسليم"))</f>
        <v/>
      </c>
      <c r="O369" s="34" t="str">
        <f aca="false">IF($A369="","",IF(M369&gt;0,"تم القبول",IF(F369="معلق","معلق",IF(AND(L369&gt;0,L369&gt;=K369),"مُعاد بملاحظات",IF(K369&gt;0,"في انتظار القبول",IF(AND(ISNUMBER(E369),E369&lt;تاريخ_الاحتساب),"متأخر",IF(F369="","لم يبدأ",F369)))))))</f>
        <v/>
      </c>
      <c r="P369" s="26" t="str">
        <f aca="false">IF($A369="","",SUMIFS('سجل المراجعات'!$L$5:$L$1504,'سجل المراجعات'!$A$5:$A$1504,$A369))</f>
        <v/>
      </c>
      <c r="Q369" s="26" t="str">
        <f aca="false">IF($A369="","",SUMIFS('سجل المراجعات'!$M$5:$M$1504,'سجل المراجعات'!$A$5:$A$1504,$A369))</f>
        <v/>
      </c>
      <c r="R369" s="26" t="str">
        <f aca="false">IF(OR($A369="",NOT(ISNUMBER(E369))),"",MAX(0,NETWORKDAYS.INTL(E369,IF(J369&gt;0,J369,تاريخ_الاحتساب),رمز_العطلة,أيام_الأجازات)-1))</f>
        <v/>
      </c>
      <c r="S369" s="22"/>
    </row>
    <row r="370" customFormat="false" ht="15" hidden="false" customHeight="false" outlineLevel="0" collapsed="false">
      <c r="A370" s="20"/>
      <c r="B370" s="20"/>
      <c r="C370" s="30" t="str">
        <f aca="false">IF($A370="","",IFERROR(INDEX(بند_الاسم,MATCH($B370,قائمة_البنود,0)),"⚠ بند غير موجود"))</f>
        <v/>
      </c>
      <c r="D370" s="22"/>
      <c r="E370" s="31"/>
      <c r="F370" s="21"/>
      <c r="G370" s="32"/>
      <c r="H370" s="25" t="str">
        <f aca="false">IF($A370="","",IFERROR(INDEX(بند_سعر_الوحدة,MATCH($B370,قائمة_البنود,0)),0))</f>
        <v/>
      </c>
      <c r="I370" s="25" t="str">
        <f aca="false">IF($A370="","",H370*(1+نسبة_الضريبة))</f>
        <v/>
      </c>
      <c r="J370" s="33" t="str">
        <f aca="false">IF($A370="","",_xlfn.MINIFS('سجل المراجعات'!$E$5:$E$1504,'سجل المراجعات'!$A$5:$A$1504,$A370,'سجل المراجعات'!$D$5:$D$1504,"تسليم"))</f>
        <v/>
      </c>
      <c r="K370" s="33" t="str">
        <f aca="false">IF($A370="","",_xlfn.MAXIFS('سجل المراجعات'!$E$5:$E$1504,'سجل المراجعات'!$A$5:$A$1504,$A370,'سجل المراجعات'!$D$5:$D$1504,"تسليم"))</f>
        <v/>
      </c>
      <c r="L370" s="33" t="str">
        <f aca="false">IF($A370="","",_xlfn.MAXIFS('سجل المراجعات'!$E$5:$E$1504,'سجل المراجعات'!$A$5:$A$1504,$A370,'سجل المراجعات'!$D$5:$D$1504,"رد بملاحظات"))</f>
        <v/>
      </c>
      <c r="M370" s="33" t="str">
        <f aca="false">IF($A370="","",_xlfn.MAXIFS('سجل المراجعات'!$E$5:$E$1504,'سجل المراجعات'!$A$5:$A$1504,$A370,'سجل المراجعات'!$D$5:$D$1504,"قبول"))</f>
        <v/>
      </c>
      <c r="N370" s="26" t="str">
        <f aca="false">IF($A370="","",COUNTIFS('سجل المراجعات'!$A$5:$A$1504,$A370,'سجل المراجعات'!$D$5:$D$1504,"تسليم"))</f>
        <v/>
      </c>
      <c r="O370" s="34" t="str">
        <f aca="false">IF($A370="","",IF(M370&gt;0,"تم القبول",IF(F370="معلق","معلق",IF(AND(L370&gt;0,L370&gt;=K370),"مُعاد بملاحظات",IF(K370&gt;0,"في انتظار القبول",IF(AND(ISNUMBER(E370),E370&lt;تاريخ_الاحتساب),"متأخر",IF(F370="","لم يبدأ",F370)))))))</f>
        <v/>
      </c>
      <c r="P370" s="26" t="str">
        <f aca="false">IF($A370="","",SUMIFS('سجل المراجعات'!$L$5:$L$1504,'سجل المراجعات'!$A$5:$A$1504,$A370))</f>
        <v/>
      </c>
      <c r="Q370" s="26" t="str">
        <f aca="false">IF($A370="","",SUMIFS('سجل المراجعات'!$M$5:$M$1504,'سجل المراجعات'!$A$5:$A$1504,$A370))</f>
        <v/>
      </c>
      <c r="R370" s="26" t="str">
        <f aca="false">IF(OR($A370="",NOT(ISNUMBER(E370))),"",MAX(0,NETWORKDAYS.INTL(E370,IF(J370&gt;0,J370,تاريخ_الاحتساب),رمز_العطلة,أيام_الأجازات)-1))</f>
        <v/>
      </c>
      <c r="S370" s="22"/>
    </row>
    <row r="371" customFormat="false" ht="15" hidden="false" customHeight="false" outlineLevel="0" collapsed="false">
      <c r="A371" s="20"/>
      <c r="B371" s="20"/>
      <c r="C371" s="30" t="str">
        <f aca="false">IF($A371="","",IFERROR(INDEX(بند_الاسم,MATCH($B371,قائمة_البنود,0)),"⚠ بند غير موجود"))</f>
        <v/>
      </c>
      <c r="D371" s="22"/>
      <c r="E371" s="31"/>
      <c r="F371" s="21"/>
      <c r="G371" s="32"/>
      <c r="H371" s="25" t="str">
        <f aca="false">IF($A371="","",IFERROR(INDEX(بند_سعر_الوحدة,MATCH($B371,قائمة_البنود,0)),0))</f>
        <v/>
      </c>
      <c r="I371" s="25" t="str">
        <f aca="false">IF($A371="","",H371*(1+نسبة_الضريبة))</f>
        <v/>
      </c>
      <c r="J371" s="33" t="str">
        <f aca="false">IF($A371="","",_xlfn.MINIFS('سجل المراجعات'!$E$5:$E$1504,'سجل المراجعات'!$A$5:$A$1504,$A371,'سجل المراجعات'!$D$5:$D$1504,"تسليم"))</f>
        <v/>
      </c>
      <c r="K371" s="33" t="str">
        <f aca="false">IF($A371="","",_xlfn.MAXIFS('سجل المراجعات'!$E$5:$E$1504,'سجل المراجعات'!$A$5:$A$1504,$A371,'سجل المراجعات'!$D$5:$D$1504,"تسليم"))</f>
        <v/>
      </c>
      <c r="L371" s="33" t="str">
        <f aca="false">IF($A371="","",_xlfn.MAXIFS('سجل المراجعات'!$E$5:$E$1504,'سجل المراجعات'!$A$5:$A$1504,$A371,'سجل المراجعات'!$D$5:$D$1504,"رد بملاحظات"))</f>
        <v/>
      </c>
      <c r="M371" s="33" t="str">
        <f aca="false">IF($A371="","",_xlfn.MAXIFS('سجل المراجعات'!$E$5:$E$1504,'سجل المراجعات'!$A$5:$A$1504,$A371,'سجل المراجعات'!$D$5:$D$1504,"قبول"))</f>
        <v/>
      </c>
      <c r="N371" s="26" t="str">
        <f aca="false">IF($A371="","",COUNTIFS('سجل المراجعات'!$A$5:$A$1504,$A371,'سجل المراجعات'!$D$5:$D$1504,"تسليم"))</f>
        <v/>
      </c>
      <c r="O371" s="34" t="str">
        <f aca="false">IF($A371="","",IF(M371&gt;0,"تم القبول",IF(F371="معلق","معلق",IF(AND(L371&gt;0,L371&gt;=K371),"مُعاد بملاحظات",IF(K371&gt;0,"في انتظار القبول",IF(AND(ISNUMBER(E371),E371&lt;تاريخ_الاحتساب),"متأخر",IF(F371="","لم يبدأ",F371)))))))</f>
        <v/>
      </c>
      <c r="P371" s="26" t="str">
        <f aca="false">IF($A371="","",SUMIFS('سجل المراجعات'!$L$5:$L$1504,'سجل المراجعات'!$A$5:$A$1504,$A371))</f>
        <v/>
      </c>
      <c r="Q371" s="26" t="str">
        <f aca="false">IF($A371="","",SUMIFS('سجل المراجعات'!$M$5:$M$1504,'سجل المراجعات'!$A$5:$A$1504,$A371))</f>
        <v/>
      </c>
      <c r="R371" s="26" t="str">
        <f aca="false">IF(OR($A371="",NOT(ISNUMBER(E371))),"",MAX(0,NETWORKDAYS.INTL(E371,IF(J371&gt;0,J371,تاريخ_الاحتساب),رمز_العطلة,أيام_الأجازات)-1))</f>
        <v/>
      </c>
      <c r="S371" s="22"/>
    </row>
    <row r="372" customFormat="false" ht="15" hidden="false" customHeight="false" outlineLevel="0" collapsed="false">
      <c r="A372" s="20"/>
      <c r="B372" s="20"/>
      <c r="C372" s="30" t="str">
        <f aca="false">IF($A372="","",IFERROR(INDEX(بند_الاسم,MATCH($B372,قائمة_البنود,0)),"⚠ بند غير موجود"))</f>
        <v/>
      </c>
      <c r="D372" s="22"/>
      <c r="E372" s="31"/>
      <c r="F372" s="21"/>
      <c r="G372" s="32"/>
      <c r="H372" s="25" t="str">
        <f aca="false">IF($A372="","",IFERROR(INDEX(بند_سعر_الوحدة,MATCH($B372,قائمة_البنود,0)),0))</f>
        <v/>
      </c>
      <c r="I372" s="25" t="str">
        <f aca="false">IF($A372="","",H372*(1+نسبة_الضريبة))</f>
        <v/>
      </c>
      <c r="J372" s="33" t="str">
        <f aca="false">IF($A372="","",_xlfn.MINIFS('سجل المراجعات'!$E$5:$E$1504,'سجل المراجعات'!$A$5:$A$1504,$A372,'سجل المراجعات'!$D$5:$D$1504,"تسليم"))</f>
        <v/>
      </c>
      <c r="K372" s="33" t="str">
        <f aca="false">IF($A372="","",_xlfn.MAXIFS('سجل المراجعات'!$E$5:$E$1504,'سجل المراجعات'!$A$5:$A$1504,$A372,'سجل المراجعات'!$D$5:$D$1504,"تسليم"))</f>
        <v/>
      </c>
      <c r="L372" s="33" t="str">
        <f aca="false">IF($A372="","",_xlfn.MAXIFS('سجل المراجعات'!$E$5:$E$1504,'سجل المراجعات'!$A$5:$A$1504,$A372,'سجل المراجعات'!$D$5:$D$1504,"رد بملاحظات"))</f>
        <v/>
      </c>
      <c r="M372" s="33" t="str">
        <f aca="false">IF($A372="","",_xlfn.MAXIFS('سجل المراجعات'!$E$5:$E$1504,'سجل المراجعات'!$A$5:$A$1504,$A372,'سجل المراجعات'!$D$5:$D$1504,"قبول"))</f>
        <v/>
      </c>
      <c r="N372" s="26" t="str">
        <f aca="false">IF($A372="","",COUNTIFS('سجل المراجعات'!$A$5:$A$1504,$A372,'سجل المراجعات'!$D$5:$D$1504,"تسليم"))</f>
        <v/>
      </c>
      <c r="O372" s="34" t="str">
        <f aca="false">IF($A372="","",IF(M372&gt;0,"تم القبول",IF(F372="معلق","معلق",IF(AND(L372&gt;0,L372&gt;=K372),"مُعاد بملاحظات",IF(K372&gt;0,"في انتظار القبول",IF(AND(ISNUMBER(E372),E372&lt;تاريخ_الاحتساب),"متأخر",IF(F372="","لم يبدأ",F372)))))))</f>
        <v/>
      </c>
      <c r="P372" s="26" t="str">
        <f aca="false">IF($A372="","",SUMIFS('سجل المراجعات'!$L$5:$L$1504,'سجل المراجعات'!$A$5:$A$1504,$A372))</f>
        <v/>
      </c>
      <c r="Q372" s="26" t="str">
        <f aca="false">IF($A372="","",SUMIFS('سجل المراجعات'!$M$5:$M$1504,'سجل المراجعات'!$A$5:$A$1504,$A372))</f>
        <v/>
      </c>
      <c r="R372" s="26" t="str">
        <f aca="false">IF(OR($A372="",NOT(ISNUMBER(E372))),"",MAX(0,NETWORKDAYS.INTL(E372,IF(J372&gt;0,J372,تاريخ_الاحتساب),رمز_العطلة,أيام_الأجازات)-1))</f>
        <v/>
      </c>
      <c r="S372" s="22"/>
    </row>
    <row r="373" customFormat="false" ht="15" hidden="false" customHeight="false" outlineLevel="0" collapsed="false">
      <c r="A373" s="20"/>
      <c r="B373" s="20"/>
      <c r="C373" s="30" t="str">
        <f aca="false">IF($A373="","",IFERROR(INDEX(بند_الاسم,MATCH($B373,قائمة_البنود,0)),"⚠ بند غير موجود"))</f>
        <v/>
      </c>
      <c r="D373" s="22"/>
      <c r="E373" s="31"/>
      <c r="F373" s="21"/>
      <c r="G373" s="32"/>
      <c r="H373" s="25" t="str">
        <f aca="false">IF($A373="","",IFERROR(INDEX(بند_سعر_الوحدة,MATCH($B373,قائمة_البنود,0)),0))</f>
        <v/>
      </c>
      <c r="I373" s="25" t="str">
        <f aca="false">IF($A373="","",H373*(1+نسبة_الضريبة))</f>
        <v/>
      </c>
      <c r="J373" s="33" t="str">
        <f aca="false">IF($A373="","",_xlfn.MINIFS('سجل المراجعات'!$E$5:$E$1504,'سجل المراجعات'!$A$5:$A$1504,$A373,'سجل المراجعات'!$D$5:$D$1504,"تسليم"))</f>
        <v/>
      </c>
      <c r="K373" s="33" t="str">
        <f aca="false">IF($A373="","",_xlfn.MAXIFS('سجل المراجعات'!$E$5:$E$1504,'سجل المراجعات'!$A$5:$A$1504,$A373,'سجل المراجعات'!$D$5:$D$1504,"تسليم"))</f>
        <v/>
      </c>
      <c r="L373" s="33" t="str">
        <f aca="false">IF($A373="","",_xlfn.MAXIFS('سجل المراجعات'!$E$5:$E$1504,'سجل المراجعات'!$A$5:$A$1504,$A373,'سجل المراجعات'!$D$5:$D$1504,"رد بملاحظات"))</f>
        <v/>
      </c>
      <c r="M373" s="33" t="str">
        <f aca="false">IF($A373="","",_xlfn.MAXIFS('سجل المراجعات'!$E$5:$E$1504,'سجل المراجعات'!$A$5:$A$1504,$A373,'سجل المراجعات'!$D$5:$D$1504,"قبول"))</f>
        <v/>
      </c>
      <c r="N373" s="26" t="str">
        <f aca="false">IF($A373="","",COUNTIFS('سجل المراجعات'!$A$5:$A$1504,$A373,'سجل المراجعات'!$D$5:$D$1504,"تسليم"))</f>
        <v/>
      </c>
      <c r="O373" s="34" t="str">
        <f aca="false">IF($A373="","",IF(M373&gt;0,"تم القبول",IF(F373="معلق","معلق",IF(AND(L373&gt;0,L373&gt;=K373),"مُعاد بملاحظات",IF(K373&gt;0,"في انتظار القبول",IF(AND(ISNUMBER(E373),E373&lt;تاريخ_الاحتساب),"متأخر",IF(F373="","لم يبدأ",F373)))))))</f>
        <v/>
      </c>
      <c r="P373" s="26" t="str">
        <f aca="false">IF($A373="","",SUMIFS('سجل المراجعات'!$L$5:$L$1504,'سجل المراجعات'!$A$5:$A$1504,$A373))</f>
        <v/>
      </c>
      <c r="Q373" s="26" t="str">
        <f aca="false">IF($A373="","",SUMIFS('سجل المراجعات'!$M$5:$M$1504,'سجل المراجعات'!$A$5:$A$1504,$A373))</f>
        <v/>
      </c>
      <c r="R373" s="26" t="str">
        <f aca="false">IF(OR($A373="",NOT(ISNUMBER(E373))),"",MAX(0,NETWORKDAYS.INTL(E373,IF(J373&gt;0,J373,تاريخ_الاحتساب),رمز_العطلة,أيام_الأجازات)-1))</f>
        <v/>
      </c>
      <c r="S373" s="22"/>
    </row>
    <row r="374" customFormat="false" ht="15" hidden="false" customHeight="false" outlineLevel="0" collapsed="false">
      <c r="A374" s="20"/>
      <c r="B374" s="20"/>
      <c r="C374" s="30" t="str">
        <f aca="false">IF($A374="","",IFERROR(INDEX(بند_الاسم,MATCH($B374,قائمة_البنود,0)),"⚠ بند غير موجود"))</f>
        <v/>
      </c>
      <c r="D374" s="22"/>
      <c r="E374" s="31"/>
      <c r="F374" s="21"/>
      <c r="G374" s="32"/>
      <c r="H374" s="25" t="str">
        <f aca="false">IF($A374="","",IFERROR(INDEX(بند_سعر_الوحدة,MATCH($B374,قائمة_البنود,0)),0))</f>
        <v/>
      </c>
      <c r="I374" s="25" t="str">
        <f aca="false">IF($A374="","",H374*(1+نسبة_الضريبة))</f>
        <v/>
      </c>
      <c r="J374" s="33" t="str">
        <f aca="false">IF($A374="","",_xlfn.MINIFS('سجل المراجعات'!$E$5:$E$1504,'سجل المراجعات'!$A$5:$A$1504,$A374,'سجل المراجعات'!$D$5:$D$1504,"تسليم"))</f>
        <v/>
      </c>
      <c r="K374" s="33" t="str">
        <f aca="false">IF($A374="","",_xlfn.MAXIFS('سجل المراجعات'!$E$5:$E$1504,'سجل المراجعات'!$A$5:$A$1504,$A374,'سجل المراجعات'!$D$5:$D$1504,"تسليم"))</f>
        <v/>
      </c>
      <c r="L374" s="33" t="str">
        <f aca="false">IF($A374="","",_xlfn.MAXIFS('سجل المراجعات'!$E$5:$E$1504,'سجل المراجعات'!$A$5:$A$1504,$A374,'سجل المراجعات'!$D$5:$D$1504,"رد بملاحظات"))</f>
        <v/>
      </c>
      <c r="M374" s="33" t="str">
        <f aca="false">IF($A374="","",_xlfn.MAXIFS('سجل المراجعات'!$E$5:$E$1504,'سجل المراجعات'!$A$5:$A$1504,$A374,'سجل المراجعات'!$D$5:$D$1504,"قبول"))</f>
        <v/>
      </c>
      <c r="N374" s="26" t="str">
        <f aca="false">IF($A374="","",COUNTIFS('سجل المراجعات'!$A$5:$A$1504,$A374,'سجل المراجعات'!$D$5:$D$1504,"تسليم"))</f>
        <v/>
      </c>
      <c r="O374" s="34" t="str">
        <f aca="false">IF($A374="","",IF(M374&gt;0,"تم القبول",IF(F374="معلق","معلق",IF(AND(L374&gt;0,L374&gt;=K374),"مُعاد بملاحظات",IF(K374&gt;0,"في انتظار القبول",IF(AND(ISNUMBER(E374),E374&lt;تاريخ_الاحتساب),"متأخر",IF(F374="","لم يبدأ",F374)))))))</f>
        <v/>
      </c>
      <c r="P374" s="26" t="str">
        <f aca="false">IF($A374="","",SUMIFS('سجل المراجعات'!$L$5:$L$1504,'سجل المراجعات'!$A$5:$A$1504,$A374))</f>
        <v/>
      </c>
      <c r="Q374" s="26" t="str">
        <f aca="false">IF($A374="","",SUMIFS('سجل المراجعات'!$M$5:$M$1504,'سجل المراجعات'!$A$5:$A$1504,$A374))</f>
        <v/>
      </c>
      <c r="R374" s="26" t="str">
        <f aca="false">IF(OR($A374="",NOT(ISNUMBER(E374))),"",MAX(0,NETWORKDAYS.INTL(E374,IF(J374&gt;0,J374,تاريخ_الاحتساب),رمز_العطلة,أيام_الأجازات)-1))</f>
        <v/>
      </c>
      <c r="S374" s="22"/>
    </row>
    <row r="375" customFormat="false" ht="15" hidden="false" customHeight="false" outlineLevel="0" collapsed="false">
      <c r="A375" s="20"/>
      <c r="B375" s="20"/>
      <c r="C375" s="30" t="str">
        <f aca="false">IF($A375="","",IFERROR(INDEX(بند_الاسم,MATCH($B375,قائمة_البنود,0)),"⚠ بند غير موجود"))</f>
        <v/>
      </c>
      <c r="D375" s="22"/>
      <c r="E375" s="31"/>
      <c r="F375" s="21"/>
      <c r="G375" s="32"/>
      <c r="H375" s="25" t="str">
        <f aca="false">IF($A375="","",IFERROR(INDEX(بند_سعر_الوحدة,MATCH($B375,قائمة_البنود,0)),0))</f>
        <v/>
      </c>
      <c r="I375" s="25" t="str">
        <f aca="false">IF($A375="","",H375*(1+نسبة_الضريبة))</f>
        <v/>
      </c>
      <c r="J375" s="33" t="str">
        <f aca="false">IF($A375="","",_xlfn.MINIFS('سجل المراجعات'!$E$5:$E$1504,'سجل المراجعات'!$A$5:$A$1504,$A375,'سجل المراجعات'!$D$5:$D$1504,"تسليم"))</f>
        <v/>
      </c>
      <c r="K375" s="33" t="str">
        <f aca="false">IF($A375="","",_xlfn.MAXIFS('سجل المراجعات'!$E$5:$E$1504,'سجل المراجعات'!$A$5:$A$1504,$A375,'سجل المراجعات'!$D$5:$D$1504,"تسليم"))</f>
        <v/>
      </c>
      <c r="L375" s="33" t="str">
        <f aca="false">IF($A375="","",_xlfn.MAXIFS('سجل المراجعات'!$E$5:$E$1504,'سجل المراجعات'!$A$5:$A$1504,$A375,'سجل المراجعات'!$D$5:$D$1504,"رد بملاحظات"))</f>
        <v/>
      </c>
      <c r="M375" s="33" t="str">
        <f aca="false">IF($A375="","",_xlfn.MAXIFS('سجل المراجعات'!$E$5:$E$1504,'سجل المراجعات'!$A$5:$A$1504,$A375,'سجل المراجعات'!$D$5:$D$1504,"قبول"))</f>
        <v/>
      </c>
      <c r="N375" s="26" t="str">
        <f aca="false">IF($A375="","",COUNTIFS('سجل المراجعات'!$A$5:$A$1504,$A375,'سجل المراجعات'!$D$5:$D$1504,"تسليم"))</f>
        <v/>
      </c>
      <c r="O375" s="34" t="str">
        <f aca="false">IF($A375="","",IF(M375&gt;0,"تم القبول",IF(F375="معلق","معلق",IF(AND(L375&gt;0,L375&gt;=K375),"مُعاد بملاحظات",IF(K375&gt;0,"في انتظار القبول",IF(AND(ISNUMBER(E375),E375&lt;تاريخ_الاحتساب),"متأخر",IF(F375="","لم يبدأ",F375)))))))</f>
        <v/>
      </c>
      <c r="P375" s="26" t="str">
        <f aca="false">IF($A375="","",SUMIFS('سجل المراجعات'!$L$5:$L$1504,'سجل المراجعات'!$A$5:$A$1504,$A375))</f>
        <v/>
      </c>
      <c r="Q375" s="26" t="str">
        <f aca="false">IF($A375="","",SUMIFS('سجل المراجعات'!$M$5:$M$1504,'سجل المراجعات'!$A$5:$A$1504,$A375))</f>
        <v/>
      </c>
      <c r="R375" s="26" t="str">
        <f aca="false">IF(OR($A375="",NOT(ISNUMBER(E375))),"",MAX(0,NETWORKDAYS.INTL(E375,IF(J375&gt;0,J375,تاريخ_الاحتساب),رمز_العطلة,أيام_الأجازات)-1))</f>
        <v/>
      </c>
      <c r="S375" s="22"/>
    </row>
    <row r="376" customFormat="false" ht="15" hidden="false" customHeight="false" outlineLevel="0" collapsed="false">
      <c r="A376" s="20"/>
      <c r="B376" s="20"/>
      <c r="C376" s="30" t="str">
        <f aca="false">IF($A376="","",IFERROR(INDEX(بند_الاسم,MATCH($B376,قائمة_البنود,0)),"⚠ بند غير موجود"))</f>
        <v/>
      </c>
      <c r="D376" s="22"/>
      <c r="E376" s="31"/>
      <c r="F376" s="21"/>
      <c r="G376" s="32"/>
      <c r="H376" s="25" t="str">
        <f aca="false">IF($A376="","",IFERROR(INDEX(بند_سعر_الوحدة,MATCH($B376,قائمة_البنود,0)),0))</f>
        <v/>
      </c>
      <c r="I376" s="25" t="str">
        <f aca="false">IF($A376="","",H376*(1+نسبة_الضريبة))</f>
        <v/>
      </c>
      <c r="J376" s="33" t="str">
        <f aca="false">IF($A376="","",_xlfn.MINIFS('سجل المراجعات'!$E$5:$E$1504,'سجل المراجعات'!$A$5:$A$1504,$A376,'سجل المراجعات'!$D$5:$D$1504,"تسليم"))</f>
        <v/>
      </c>
      <c r="K376" s="33" t="str">
        <f aca="false">IF($A376="","",_xlfn.MAXIFS('سجل المراجعات'!$E$5:$E$1504,'سجل المراجعات'!$A$5:$A$1504,$A376,'سجل المراجعات'!$D$5:$D$1504,"تسليم"))</f>
        <v/>
      </c>
      <c r="L376" s="33" t="str">
        <f aca="false">IF($A376="","",_xlfn.MAXIFS('سجل المراجعات'!$E$5:$E$1504,'سجل المراجعات'!$A$5:$A$1504,$A376,'سجل المراجعات'!$D$5:$D$1504,"رد بملاحظات"))</f>
        <v/>
      </c>
      <c r="M376" s="33" t="str">
        <f aca="false">IF($A376="","",_xlfn.MAXIFS('سجل المراجعات'!$E$5:$E$1504,'سجل المراجعات'!$A$5:$A$1504,$A376,'سجل المراجعات'!$D$5:$D$1504,"قبول"))</f>
        <v/>
      </c>
      <c r="N376" s="26" t="str">
        <f aca="false">IF($A376="","",COUNTIFS('سجل المراجعات'!$A$5:$A$1504,$A376,'سجل المراجعات'!$D$5:$D$1504,"تسليم"))</f>
        <v/>
      </c>
      <c r="O376" s="34" t="str">
        <f aca="false">IF($A376="","",IF(M376&gt;0,"تم القبول",IF(F376="معلق","معلق",IF(AND(L376&gt;0,L376&gt;=K376),"مُعاد بملاحظات",IF(K376&gt;0,"في انتظار القبول",IF(AND(ISNUMBER(E376),E376&lt;تاريخ_الاحتساب),"متأخر",IF(F376="","لم يبدأ",F376)))))))</f>
        <v/>
      </c>
      <c r="P376" s="26" t="str">
        <f aca="false">IF($A376="","",SUMIFS('سجل المراجعات'!$L$5:$L$1504,'سجل المراجعات'!$A$5:$A$1504,$A376))</f>
        <v/>
      </c>
      <c r="Q376" s="26" t="str">
        <f aca="false">IF($A376="","",SUMIFS('سجل المراجعات'!$M$5:$M$1504,'سجل المراجعات'!$A$5:$A$1504,$A376))</f>
        <v/>
      </c>
      <c r="R376" s="26" t="str">
        <f aca="false">IF(OR($A376="",NOT(ISNUMBER(E376))),"",MAX(0,NETWORKDAYS.INTL(E376,IF(J376&gt;0,J376,تاريخ_الاحتساب),رمز_العطلة,أيام_الأجازات)-1))</f>
        <v/>
      </c>
      <c r="S376" s="22"/>
    </row>
    <row r="377" customFormat="false" ht="15" hidden="false" customHeight="false" outlineLevel="0" collapsed="false">
      <c r="A377" s="20"/>
      <c r="B377" s="20"/>
      <c r="C377" s="30" t="str">
        <f aca="false">IF($A377="","",IFERROR(INDEX(بند_الاسم,MATCH($B377,قائمة_البنود,0)),"⚠ بند غير موجود"))</f>
        <v/>
      </c>
      <c r="D377" s="22"/>
      <c r="E377" s="31"/>
      <c r="F377" s="21"/>
      <c r="G377" s="32"/>
      <c r="H377" s="25" t="str">
        <f aca="false">IF($A377="","",IFERROR(INDEX(بند_سعر_الوحدة,MATCH($B377,قائمة_البنود,0)),0))</f>
        <v/>
      </c>
      <c r="I377" s="25" t="str">
        <f aca="false">IF($A377="","",H377*(1+نسبة_الضريبة))</f>
        <v/>
      </c>
      <c r="J377" s="33" t="str">
        <f aca="false">IF($A377="","",_xlfn.MINIFS('سجل المراجعات'!$E$5:$E$1504,'سجل المراجعات'!$A$5:$A$1504,$A377,'سجل المراجعات'!$D$5:$D$1504,"تسليم"))</f>
        <v/>
      </c>
      <c r="K377" s="33" t="str">
        <f aca="false">IF($A377="","",_xlfn.MAXIFS('سجل المراجعات'!$E$5:$E$1504,'سجل المراجعات'!$A$5:$A$1504,$A377,'سجل المراجعات'!$D$5:$D$1504,"تسليم"))</f>
        <v/>
      </c>
      <c r="L377" s="33" t="str">
        <f aca="false">IF($A377="","",_xlfn.MAXIFS('سجل المراجعات'!$E$5:$E$1504,'سجل المراجعات'!$A$5:$A$1504,$A377,'سجل المراجعات'!$D$5:$D$1504,"رد بملاحظات"))</f>
        <v/>
      </c>
      <c r="M377" s="33" t="str">
        <f aca="false">IF($A377="","",_xlfn.MAXIFS('سجل المراجعات'!$E$5:$E$1504,'سجل المراجعات'!$A$5:$A$1504,$A377,'سجل المراجعات'!$D$5:$D$1504,"قبول"))</f>
        <v/>
      </c>
      <c r="N377" s="26" t="str">
        <f aca="false">IF($A377="","",COUNTIFS('سجل المراجعات'!$A$5:$A$1504,$A377,'سجل المراجعات'!$D$5:$D$1504,"تسليم"))</f>
        <v/>
      </c>
      <c r="O377" s="34" t="str">
        <f aca="false">IF($A377="","",IF(M377&gt;0,"تم القبول",IF(F377="معلق","معلق",IF(AND(L377&gt;0,L377&gt;=K377),"مُعاد بملاحظات",IF(K377&gt;0,"في انتظار القبول",IF(AND(ISNUMBER(E377),E377&lt;تاريخ_الاحتساب),"متأخر",IF(F377="","لم يبدأ",F377)))))))</f>
        <v/>
      </c>
      <c r="P377" s="26" t="str">
        <f aca="false">IF($A377="","",SUMIFS('سجل المراجعات'!$L$5:$L$1504,'سجل المراجعات'!$A$5:$A$1504,$A377))</f>
        <v/>
      </c>
      <c r="Q377" s="26" t="str">
        <f aca="false">IF($A377="","",SUMIFS('سجل المراجعات'!$M$5:$M$1504,'سجل المراجعات'!$A$5:$A$1504,$A377))</f>
        <v/>
      </c>
      <c r="R377" s="26" t="str">
        <f aca="false">IF(OR($A377="",NOT(ISNUMBER(E377))),"",MAX(0,NETWORKDAYS.INTL(E377,IF(J377&gt;0,J377,تاريخ_الاحتساب),رمز_العطلة,أيام_الأجازات)-1))</f>
        <v/>
      </c>
      <c r="S377" s="22"/>
    </row>
    <row r="378" customFormat="false" ht="15" hidden="false" customHeight="false" outlineLevel="0" collapsed="false">
      <c r="A378" s="20"/>
      <c r="B378" s="20"/>
      <c r="C378" s="30" t="str">
        <f aca="false">IF($A378="","",IFERROR(INDEX(بند_الاسم,MATCH($B378,قائمة_البنود,0)),"⚠ بند غير موجود"))</f>
        <v/>
      </c>
      <c r="D378" s="22"/>
      <c r="E378" s="31"/>
      <c r="F378" s="21"/>
      <c r="G378" s="32"/>
      <c r="H378" s="25" t="str">
        <f aca="false">IF($A378="","",IFERROR(INDEX(بند_سعر_الوحدة,MATCH($B378,قائمة_البنود,0)),0))</f>
        <v/>
      </c>
      <c r="I378" s="25" t="str">
        <f aca="false">IF($A378="","",H378*(1+نسبة_الضريبة))</f>
        <v/>
      </c>
      <c r="J378" s="33" t="str">
        <f aca="false">IF($A378="","",_xlfn.MINIFS('سجل المراجعات'!$E$5:$E$1504,'سجل المراجعات'!$A$5:$A$1504,$A378,'سجل المراجعات'!$D$5:$D$1504,"تسليم"))</f>
        <v/>
      </c>
      <c r="K378" s="33" t="str">
        <f aca="false">IF($A378="","",_xlfn.MAXIFS('سجل المراجعات'!$E$5:$E$1504,'سجل المراجعات'!$A$5:$A$1504,$A378,'سجل المراجعات'!$D$5:$D$1504,"تسليم"))</f>
        <v/>
      </c>
      <c r="L378" s="33" t="str">
        <f aca="false">IF($A378="","",_xlfn.MAXIFS('سجل المراجعات'!$E$5:$E$1504,'سجل المراجعات'!$A$5:$A$1504,$A378,'سجل المراجعات'!$D$5:$D$1504,"رد بملاحظات"))</f>
        <v/>
      </c>
      <c r="M378" s="33" t="str">
        <f aca="false">IF($A378="","",_xlfn.MAXIFS('سجل المراجعات'!$E$5:$E$1504,'سجل المراجعات'!$A$5:$A$1504,$A378,'سجل المراجعات'!$D$5:$D$1504,"قبول"))</f>
        <v/>
      </c>
      <c r="N378" s="26" t="str">
        <f aca="false">IF($A378="","",COUNTIFS('سجل المراجعات'!$A$5:$A$1504,$A378,'سجل المراجعات'!$D$5:$D$1504,"تسليم"))</f>
        <v/>
      </c>
      <c r="O378" s="34" t="str">
        <f aca="false">IF($A378="","",IF(M378&gt;0,"تم القبول",IF(F378="معلق","معلق",IF(AND(L378&gt;0,L378&gt;=K378),"مُعاد بملاحظات",IF(K378&gt;0,"في انتظار القبول",IF(AND(ISNUMBER(E378),E378&lt;تاريخ_الاحتساب),"متأخر",IF(F378="","لم يبدأ",F378)))))))</f>
        <v/>
      </c>
      <c r="P378" s="26" t="str">
        <f aca="false">IF($A378="","",SUMIFS('سجل المراجعات'!$L$5:$L$1504,'سجل المراجعات'!$A$5:$A$1504,$A378))</f>
        <v/>
      </c>
      <c r="Q378" s="26" t="str">
        <f aca="false">IF($A378="","",SUMIFS('سجل المراجعات'!$M$5:$M$1504,'سجل المراجعات'!$A$5:$A$1504,$A378))</f>
        <v/>
      </c>
      <c r="R378" s="26" t="str">
        <f aca="false">IF(OR($A378="",NOT(ISNUMBER(E378))),"",MAX(0,NETWORKDAYS.INTL(E378,IF(J378&gt;0,J378,تاريخ_الاحتساب),رمز_العطلة,أيام_الأجازات)-1))</f>
        <v/>
      </c>
      <c r="S378" s="22"/>
    </row>
    <row r="379" customFormat="false" ht="15" hidden="false" customHeight="false" outlineLevel="0" collapsed="false">
      <c r="A379" s="20"/>
      <c r="B379" s="20"/>
      <c r="C379" s="30" t="str">
        <f aca="false">IF($A379="","",IFERROR(INDEX(بند_الاسم,MATCH($B379,قائمة_البنود,0)),"⚠ بند غير موجود"))</f>
        <v/>
      </c>
      <c r="D379" s="22"/>
      <c r="E379" s="31"/>
      <c r="F379" s="21"/>
      <c r="G379" s="32"/>
      <c r="H379" s="25" t="str">
        <f aca="false">IF($A379="","",IFERROR(INDEX(بند_سعر_الوحدة,MATCH($B379,قائمة_البنود,0)),0))</f>
        <v/>
      </c>
      <c r="I379" s="25" t="str">
        <f aca="false">IF($A379="","",H379*(1+نسبة_الضريبة))</f>
        <v/>
      </c>
      <c r="J379" s="33" t="str">
        <f aca="false">IF($A379="","",_xlfn.MINIFS('سجل المراجعات'!$E$5:$E$1504,'سجل المراجعات'!$A$5:$A$1504,$A379,'سجل المراجعات'!$D$5:$D$1504,"تسليم"))</f>
        <v/>
      </c>
      <c r="K379" s="33" t="str">
        <f aca="false">IF($A379="","",_xlfn.MAXIFS('سجل المراجعات'!$E$5:$E$1504,'سجل المراجعات'!$A$5:$A$1504,$A379,'سجل المراجعات'!$D$5:$D$1504,"تسليم"))</f>
        <v/>
      </c>
      <c r="L379" s="33" t="str">
        <f aca="false">IF($A379="","",_xlfn.MAXIFS('سجل المراجعات'!$E$5:$E$1504,'سجل المراجعات'!$A$5:$A$1504,$A379,'سجل المراجعات'!$D$5:$D$1504,"رد بملاحظات"))</f>
        <v/>
      </c>
      <c r="M379" s="33" t="str">
        <f aca="false">IF($A379="","",_xlfn.MAXIFS('سجل المراجعات'!$E$5:$E$1504,'سجل المراجعات'!$A$5:$A$1504,$A379,'سجل المراجعات'!$D$5:$D$1504,"قبول"))</f>
        <v/>
      </c>
      <c r="N379" s="26" t="str">
        <f aca="false">IF($A379="","",COUNTIFS('سجل المراجعات'!$A$5:$A$1504,$A379,'سجل المراجعات'!$D$5:$D$1504,"تسليم"))</f>
        <v/>
      </c>
      <c r="O379" s="34" t="str">
        <f aca="false">IF($A379="","",IF(M379&gt;0,"تم القبول",IF(F379="معلق","معلق",IF(AND(L379&gt;0,L379&gt;=K379),"مُعاد بملاحظات",IF(K379&gt;0,"في انتظار القبول",IF(AND(ISNUMBER(E379),E379&lt;تاريخ_الاحتساب),"متأخر",IF(F379="","لم يبدأ",F379)))))))</f>
        <v/>
      </c>
      <c r="P379" s="26" t="str">
        <f aca="false">IF($A379="","",SUMIFS('سجل المراجعات'!$L$5:$L$1504,'سجل المراجعات'!$A$5:$A$1504,$A379))</f>
        <v/>
      </c>
      <c r="Q379" s="26" t="str">
        <f aca="false">IF($A379="","",SUMIFS('سجل المراجعات'!$M$5:$M$1504,'سجل المراجعات'!$A$5:$A$1504,$A379))</f>
        <v/>
      </c>
      <c r="R379" s="26" t="str">
        <f aca="false">IF(OR($A379="",NOT(ISNUMBER(E379))),"",MAX(0,NETWORKDAYS.INTL(E379,IF(J379&gt;0,J379,تاريخ_الاحتساب),رمز_العطلة,أيام_الأجازات)-1))</f>
        <v/>
      </c>
      <c r="S379" s="22"/>
    </row>
    <row r="380" customFormat="false" ht="15" hidden="false" customHeight="false" outlineLevel="0" collapsed="false">
      <c r="A380" s="20"/>
      <c r="B380" s="20"/>
      <c r="C380" s="30" t="str">
        <f aca="false">IF($A380="","",IFERROR(INDEX(بند_الاسم,MATCH($B380,قائمة_البنود,0)),"⚠ بند غير موجود"))</f>
        <v/>
      </c>
      <c r="D380" s="22"/>
      <c r="E380" s="31"/>
      <c r="F380" s="21"/>
      <c r="G380" s="32"/>
      <c r="H380" s="25" t="str">
        <f aca="false">IF($A380="","",IFERROR(INDEX(بند_سعر_الوحدة,MATCH($B380,قائمة_البنود,0)),0))</f>
        <v/>
      </c>
      <c r="I380" s="25" t="str">
        <f aca="false">IF($A380="","",H380*(1+نسبة_الضريبة))</f>
        <v/>
      </c>
      <c r="J380" s="33" t="str">
        <f aca="false">IF($A380="","",_xlfn.MINIFS('سجل المراجعات'!$E$5:$E$1504,'سجل المراجعات'!$A$5:$A$1504,$A380,'سجل المراجعات'!$D$5:$D$1504,"تسليم"))</f>
        <v/>
      </c>
      <c r="K380" s="33" t="str">
        <f aca="false">IF($A380="","",_xlfn.MAXIFS('سجل المراجعات'!$E$5:$E$1504,'سجل المراجعات'!$A$5:$A$1504,$A380,'سجل المراجعات'!$D$5:$D$1504,"تسليم"))</f>
        <v/>
      </c>
      <c r="L380" s="33" t="str">
        <f aca="false">IF($A380="","",_xlfn.MAXIFS('سجل المراجعات'!$E$5:$E$1504,'سجل المراجعات'!$A$5:$A$1504,$A380,'سجل المراجعات'!$D$5:$D$1504,"رد بملاحظات"))</f>
        <v/>
      </c>
      <c r="M380" s="33" t="str">
        <f aca="false">IF($A380="","",_xlfn.MAXIFS('سجل المراجعات'!$E$5:$E$1504,'سجل المراجعات'!$A$5:$A$1504,$A380,'سجل المراجعات'!$D$5:$D$1504,"قبول"))</f>
        <v/>
      </c>
      <c r="N380" s="26" t="str">
        <f aca="false">IF($A380="","",COUNTIFS('سجل المراجعات'!$A$5:$A$1504,$A380,'سجل المراجعات'!$D$5:$D$1504,"تسليم"))</f>
        <v/>
      </c>
      <c r="O380" s="34" t="str">
        <f aca="false">IF($A380="","",IF(M380&gt;0,"تم القبول",IF(F380="معلق","معلق",IF(AND(L380&gt;0,L380&gt;=K380),"مُعاد بملاحظات",IF(K380&gt;0,"في انتظار القبول",IF(AND(ISNUMBER(E380),E380&lt;تاريخ_الاحتساب),"متأخر",IF(F380="","لم يبدأ",F380)))))))</f>
        <v/>
      </c>
      <c r="P380" s="26" t="str">
        <f aca="false">IF($A380="","",SUMIFS('سجل المراجعات'!$L$5:$L$1504,'سجل المراجعات'!$A$5:$A$1504,$A380))</f>
        <v/>
      </c>
      <c r="Q380" s="26" t="str">
        <f aca="false">IF($A380="","",SUMIFS('سجل المراجعات'!$M$5:$M$1504,'سجل المراجعات'!$A$5:$A$1504,$A380))</f>
        <v/>
      </c>
      <c r="R380" s="26" t="str">
        <f aca="false">IF(OR($A380="",NOT(ISNUMBER(E380))),"",MAX(0,NETWORKDAYS.INTL(E380,IF(J380&gt;0,J380,تاريخ_الاحتساب),رمز_العطلة,أيام_الأجازات)-1))</f>
        <v/>
      </c>
      <c r="S380" s="22"/>
    </row>
    <row r="381" customFormat="false" ht="15" hidden="false" customHeight="false" outlineLevel="0" collapsed="false">
      <c r="A381" s="20"/>
      <c r="B381" s="20"/>
      <c r="C381" s="30" t="str">
        <f aca="false">IF($A381="","",IFERROR(INDEX(بند_الاسم,MATCH($B381,قائمة_البنود,0)),"⚠ بند غير موجود"))</f>
        <v/>
      </c>
      <c r="D381" s="22"/>
      <c r="E381" s="31"/>
      <c r="F381" s="21"/>
      <c r="G381" s="32"/>
      <c r="H381" s="25" t="str">
        <f aca="false">IF($A381="","",IFERROR(INDEX(بند_سعر_الوحدة,MATCH($B381,قائمة_البنود,0)),0))</f>
        <v/>
      </c>
      <c r="I381" s="25" t="str">
        <f aca="false">IF($A381="","",H381*(1+نسبة_الضريبة))</f>
        <v/>
      </c>
      <c r="J381" s="33" t="str">
        <f aca="false">IF($A381="","",_xlfn.MINIFS('سجل المراجعات'!$E$5:$E$1504,'سجل المراجعات'!$A$5:$A$1504,$A381,'سجل المراجعات'!$D$5:$D$1504,"تسليم"))</f>
        <v/>
      </c>
      <c r="K381" s="33" t="str">
        <f aca="false">IF($A381="","",_xlfn.MAXIFS('سجل المراجعات'!$E$5:$E$1504,'سجل المراجعات'!$A$5:$A$1504,$A381,'سجل المراجعات'!$D$5:$D$1504,"تسليم"))</f>
        <v/>
      </c>
      <c r="L381" s="33" t="str">
        <f aca="false">IF($A381="","",_xlfn.MAXIFS('سجل المراجعات'!$E$5:$E$1504,'سجل المراجعات'!$A$5:$A$1504,$A381,'سجل المراجعات'!$D$5:$D$1504,"رد بملاحظات"))</f>
        <v/>
      </c>
      <c r="M381" s="33" t="str">
        <f aca="false">IF($A381="","",_xlfn.MAXIFS('سجل المراجعات'!$E$5:$E$1504,'سجل المراجعات'!$A$5:$A$1504,$A381,'سجل المراجعات'!$D$5:$D$1504,"قبول"))</f>
        <v/>
      </c>
      <c r="N381" s="26" t="str">
        <f aca="false">IF($A381="","",COUNTIFS('سجل المراجعات'!$A$5:$A$1504,$A381,'سجل المراجعات'!$D$5:$D$1504,"تسليم"))</f>
        <v/>
      </c>
      <c r="O381" s="34" t="str">
        <f aca="false">IF($A381="","",IF(M381&gt;0,"تم القبول",IF(F381="معلق","معلق",IF(AND(L381&gt;0,L381&gt;=K381),"مُعاد بملاحظات",IF(K381&gt;0,"في انتظار القبول",IF(AND(ISNUMBER(E381),E381&lt;تاريخ_الاحتساب),"متأخر",IF(F381="","لم يبدأ",F381)))))))</f>
        <v/>
      </c>
      <c r="P381" s="26" t="str">
        <f aca="false">IF($A381="","",SUMIFS('سجل المراجعات'!$L$5:$L$1504,'سجل المراجعات'!$A$5:$A$1504,$A381))</f>
        <v/>
      </c>
      <c r="Q381" s="26" t="str">
        <f aca="false">IF($A381="","",SUMIFS('سجل المراجعات'!$M$5:$M$1504,'سجل المراجعات'!$A$5:$A$1504,$A381))</f>
        <v/>
      </c>
      <c r="R381" s="26" t="str">
        <f aca="false">IF(OR($A381="",NOT(ISNUMBER(E381))),"",MAX(0,NETWORKDAYS.INTL(E381,IF(J381&gt;0,J381,تاريخ_الاحتساب),رمز_العطلة,أيام_الأجازات)-1))</f>
        <v/>
      </c>
      <c r="S381" s="22"/>
    </row>
    <row r="382" customFormat="false" ht="15" hidden="false" customHeight="false" outlineLevel="0" collapsed="false">
      <c r="A382" s="20"/>
      <c r="B382" s="20"/>
      <c r="C382" s="30" t="str">
        <f aca="false">IF($A382="","",IFERROR(INDEX(بند_الاسم,MATCH($B382,قائمة_البنود,0)),"⚠ بند غير موجود"))</f>
        <v/>
      </c>
      <c r="D382" s="22"/>
      <c r="E382" s="31"/>
      <c r="F382" s="21"/>
      <c r="G382" s="32"/>
      <c r="H382" s="25" t="str">
        <f aca="false">IF($A382="","",IFERROR(INDEX(بند_سعر_الوحدة,MATCH($B382,قائمة_البنود,0)),0))</f>
        <v/>
      </c>
      <c r="I382" s="25" t="str">
        <f aca="false">IF($A382="","",H382*(1+نسبة_الضريبة))</f>
        <v/>
      </c>
      <c r="J382" s="33" t="str">
        <f aca="false">IF($A382="","",_xlfn.MINIFS('سجل المراجعات'!$E$5:$E$1504,'سجل المراجعات'!$A$5:$A$1504,$A382,'سجل المراجعات'!$D$5:$D$1504,"تسليم"))</f>
        <v/>
      </c>
      <c r="K382" s="33" t="str">
        <f aca="false">IF($A382="","",_xlfn.MAXIFS('سجل المراجعات'!$E$5:$E$1504,'سجل المراجعات'!$A$5:$A$1504,$A382,'سجل المراجعات'!$D$5:$D$1504,"تسليم"))</f>
        <v/>
      </c>
      <c r="L382" s="33" t="str">
        <f aca="false">IF($A382="","",_xlfn.MAXIFS('سجل المراجعات'!$E$5:$E$1504,'سجل المراجعات'!$A$5:$A$1504,$A382,'سجل المراجعات'!$D$5:$D$1504,"رد بملاحظات"))</f>
        <v/>
      </c>
      <c r="M382" s="33" t="str">
        <f aca="false">IF($A382="","",_xlfn.MAXIFS('سجل المراجعات'!$E$5:$E$1504,'سجل المراجعات'!$A$5:$A$1504,$A382,'سجل المراجعات'!$D$5:$D$1504,"قبول"))</f>
        <v/>
      </c>
      <c r="N382" s="26" t="str">
        <f aca="false">IF($A382="","",COUNTIFS('سجل المراجعات'!$A$5:$A$1504,$A382,'سجل المراجعات'!$D$5:$D$1504,"تسليم"))</f>
        <v/>
      </c>
      <c r="O382" s="34" t="str">
        <f aca="false">IF($A382="","",IF(M382&gt;0,"تم القبول",IF(F382="معلق","معلق",IF(AND(L382&gt;0,L382&gt;=K382),"مُعاد بملاحظات",IF(K382&gt;0,"في انتظار القبول",IF(AND(ISNUMBER(E382),E382&lt;تاريخ_الاحتساب),"متأخر",IF(F382="","لم يبدأ",F382)))))))</f>
        <v/>
      </c>
      <c r="P382" s="26" t="str">
        <f aca="false">IF($A382="","",SUMIFS('سجل المراجعات'!$L$5:$L$1504,'سجل المراجعات'!$A$5:$A$1504,$A382))</f>
        <v/>
      </c>
      <c r="Q382" s="26" t="str">
        <f aca="false">IF($A382="","",SUMIFS('سجل المراجعات'!$M$5:$M$1504,'سجل المراجعات'!$A$5:$A$1504,$A382))</f>
        <v/>
      </c>
      <c r="R382" s="26" t="str">
        <f aca="false">IF(OR($A382="",NOT(ISNUMBER(E382))),"",MAX(0,NETWORKDAYS.INTL(E382,IF(J382&gt;0,J382,تاريخ_الاحتساب),رمز_العطلة,أيام_الأجازات)-1))</f>
        <v/>
      </c>
      <c r="S382" s="22"/>
    </row>
    <row r="383" customFormat="false" ht="15" hidden="false" customHeight="false" outlineLevel="0" collapsed="false">
      <c r="A383" s="20"/>
      <c r="B383" s="20"/>
      <c r="C383" s="30" t="str">
        <f aca="false">IF($A383="","",IFERROR(INDEX(بند_الاسم,MATCH($B383,قائمة_البنود,0)),"⚠ بند غير موجود"))</f>
        <v/>
      </c>
      <c r="D383" s="22"/>
      <c r="E383" s="31"/>
      <c r="F383" s="21"/>
      <c r="G383" s="32"/>
      <c r="H383" s="25" t="str">
        <f aca="false">IF($A383="","",IFERROR(INDEX(بند_سعر_الوحدة,MATCH($B383,قائمة_البنود,0)),0))</f>
        <v/>
      </c>
      <c r="I383" s="25" t="str">
        <f aca="false">IF($A383="","",H383*(1+نسبة_الضريبة))</f>
        <v/>
      </c>
      <c r="J383" s="33" t="str">
        <f aca="false">IF($A383="","",_xlfn.MINIFS('سجل المراجعات'!$E$5:$E$1504,'سجل المراجعات'!$A$5:$A$1504,$A383,'سجل المراجعات'!$D$5:$D$1504,"تسليم"))</f>
        <v/>
      </c>
      <c r="K383" s="33" t="str">
        <f aca="false">IF($A383="","",_xlfn.MAXIFS('سجل المراجعات'!$E$5:$E$1504,'سجل المراجعات'!$A$5:$A$1504,$A383,'سجل المراجعات'!$D$5:$D$1504,"تسليم"))</f>
        <v/>
      </c>
      <c r="L383" s="33" t="str">
        <f aca="false">IF($A383="","",_xlfn.MAXIFS('سجل المراجعات'!$E$5:$E$1504,'سجل المراجعات'!$A$5:$A$1504,$A383,'سجل المراجعات'!$D$5:$D$1504,"رد بملاحظات"))</f>
        <v/>
      </c>
      <c r="M383" s="33" t="str">
        <f aca="false">IF($A383="","",_xlfn.MAXIFS('سجل المراجعات'!$E$5:$E$1504,'سجل المراجعات'!$A$5:$A$1504,$A383,'سجل المراجعات'!$D$5:$D$1504,"قبول"))</f>
        <v/>
      </c>
      <c r="N383" s="26" t="str">
        <f aca="false">IF($A383="","",COUNTIFS('سجل المراجعات'!$A$5:$A$1504,$A383,'سجل المراجعات'!$D$5:$D$1504,"تسليم"))</f>
        <v/>
      </c>
      <c r="O383" s="34" t="str">
        <f aca="false">IF($A383="","",IF(M383&gt;0,"تم القبول",IF(F383="معلق","معلق",IF(AND(L383&gt;0,L383&gt;=K383),"مُعاد بملاحظات",IF(K383&gt;0,"في انتظار القبول",IF(AND(ISNUMBER(E383),E383&lt;تاريخ_الاحتساب),"متأخر",IF(F383="","لم يبدأ",F383)))))))</f>
        <v/>
      </c>
      <c r="P383" s="26" t="str">
        <f aca="false">IF($A383="","",SUMIFS('سجل المراجعات'!$L$5:$L$1504,'سجل المراجعات'!$A$5:$A$1504,$A383))</f>
        <v/>
      </c>
      <c r="Q383" s="26" t="str">
        <f aca="false">IF($A383="","",SUMIFS('سجل المراجعات'!$M$5:$M$1504,'سجل المراجعات'!$A$5:$A$1504,$A383))</f>
        <v/>
      </c>
      <c r="R383" s="26" t="str">
        <f aca="false">IF(OR($A383="",NOT(ISNUMBER(E383))),"",MAX(0,NETWORKDAYS.INTL(E383,IF(J383&gt;0,J383,تاريخ_الاحتساب),رمز_العطلة,أيام_الأجازات)-1))</f>
        <v/>
      </c>
      <c r="S383" s="22"/>
    </row>
    <row r="384" customFormat="false" ht="15" hidden="false" customHeight="false" outlineLevel="0" collapsed="false">
      <c r="A384" s="20"/>
      <c r="B384" s="20"/>
      <c r="C384" s="30" t="str">
        <f aca="false">IF($A384="","",IFERROR(INDEX(بند_الاسم,MATCH($B384,قائمة_البنود,0)),"⚠ بند غير موجود"))</f>
        <v/>
      </c>
      <c r="D384" s="22"/>
      <c r="E384" s="31"/>
      <c r="F384" s="21"/>
      <c r="G384" s="32"/>
      <c r="H384" s="25" t="str">
        <f aca="false">IF($A384="","",IFERROR(INDEX(بند_سعر_الوحدة,MATCH($B384,قائمة_البنود,0)),0))</f>
        <v/>
      </c>
      <c r="I384" s="25" t="str">
        <f aca="false">IF($A384="","",H384*(1+نسبة_الضريبة))</f>
        <v/>
      </c>
      <c r="J384" s="33" t="str">
        <f aca="false">IF($A384="","",_xlfn.MINIFS('سجل المراجعات'!$E$5:$E$1504,'سجل المراجعات'!$A$5:$A$1504,$A384,'سجل المراجعات'!$D$5:$D$1504,"تسليم"))</f>
        <v/>
      </c>
      <c r="K384" s="33" t="str">
        <f aca="false">IF($A384="","",_xlfn.MAXIFS('سجل المراجعات'!$E$5:$E$1504,'سجل المراجعات'!$A$5:$A$1504,$A384,'سجل المراجعات'!$D$5:$D$1504,"تسليم"))</f>
        <v/>
      </c>
      <c r="L384" s="33" t="str">
        <f aca="false">IF($A384="","",_xlfn.MAXIFS('سجل المراجعات'!$E$5:$E$1504,'سجل المراجعات'!$A$5:$A$1504,$A384,'سجل المراجعات'!$D$5:$D$1504,"رد بملاحظات"))</f>
        <v/>
      </c>
      <c r="M384" s="33" t="str">
        <f aca="false">IF($A384="","",_xlfn.MAXIFS('سجل المراجعات'!$E$5:$E$1504,'سجل المراجعات'!$A$5:$A$1504,$A384,'سجل المراجعات'!$D$5:$D$1504,"قبول"))</f>
        <v/>
      </c>
      <c r="N384" s="26" t="str">
        <f aca="false">IF($A384="","",COUNTIFS('سجل المراجعات'!$A$5:$A$1504,$A384,'سجل المراجعات'!$D$5:$D$1504,"تسليم"))</f>
        <v/>
      </c>
      <c r="O384" s="34" t="str">
        <f aca="false">IF($A384="","",IF(M384&gt;0,"تم القبول",IF(F384="معلق","معلق",IF(AND(L384&gt;0,L384&gt;=K384),"مُعاد بملاحظات",IF(K384&gt;0,"في انتظار القبول",IF(AND(ISNUMBER(E384),E384&lt;تاريخ_الاحتساب),"متأخر",IF(F384="","لم يبدأ",F384)))))))</f>
        <v/>
      </c>
      <c r="P384" s="26" t="str">
        <f aca="false">IF($A384="","",SUMIFS('سجل المراجعات'!$L$5:$L$1504,'سجل المراجعات'!$A$5:$A$1504,$A384))</f>
        <v/>
      </c>
      <c r="Q384" s="26" t="str">
        <f aca="false">IF($A384="","",SUMIFS('سجل المراجعات'!$M$5:$M$1504,'سجل المراجعات'!$A$5:$A$1504,$A384))</f>
        <v/>
      </c>
      <c r="R384" s="26" t="str">
        <f aca="false">IF(OR($A384="",NOT(ISNUMBER(E384))),"",MAX(0,NETWORKDAYS.INTL(E384,IF(J384&gt;0,J384,تاريخ_الاحتساب),رمز_العطلة,أيام_الأجازات)-1))</f>
        <v/>
      </c>
      <c r="S384" s="22"/>
    </row>
    <row r="385" customFormat="false" ht="15" hidden="false" customHeight="false" outlineLevel="0" collapsed="false">
      <c r="A385" s="20"/>
      <c r="B385" s="20"/>
      <c r="C385" s="30" t="str">
        <f aca="false">IF($A385="","",IFERROR(INDEX(بند_الاسم,MATCH($B385,قائمة_البنود,0)),"⚠ بند غير موجود"))</f>
        <v/>
      </c>
      <c r="D385" s="22"/>
      <c r="E385" s="31"/>
      <c r="F385" s="21"/>
      <c r="G385" s="32"/>
      <c r="H385" s="25" t="str">
        <f aca="false">IF($A385="","",IFERROR(INDEX(بند_سعر_الوحدة,MATCH($B385,قائمة_البنود,0)),0))</f>
        <v/>
      </c>
      <c r="I385" s="25" t="str">
        <f aca="false">IF($A385="","",H385*(1+نسبة_الضريبة))</f>
        <v/>
      </c>
      <c r="J385" s="33" t="str">
        <f aca="false">IF($A385="","",_xlfn.MINIFS('سجل المراجعات'!$E$5:$E$1504,'سجل المراجعات'!$A$5:$A$1504,$A385,'سجل المراجعات'!$D$5:$D$1504,"تسليم"))</f>
        <v/>
      </c>
      <c r="K385" s="33" t="str">
        <f aca="false">IF($A385="","",_xlfn.MAXIFS('سجل المراجعات'!$E$5:$E$1504,'سجل المراجعات'!$A$5:$A$1504,$A385,'سجل المراجعات'!$D$5:$D$1504,"تسليم"))</f>
        <v/>
      </c>
      <c r="L385" s="33" t="str">
        <f aca="false">IF($A385="","",_xlfn.MAXIFS('سجل المراجعات'!$E$5:$E$1504,'سجل المراجعات'!$A$5:$A$1504,$A385,'سجل المراجعات'!$D$5:$D$1504,"رد بملاحظات"))</f>
        <v/>
      </c>
      <c r="M385" s="33" t="str">
        <f aca="false">IF($A385="","",_xlfn.MAXIFS('سجل المراجعات'!$E$5:$E$1504,'سجل المراجعات'!$A$5:$A$1504,$A385,'سجل المراجعات'!$D$5:$D$1504,"قبول"))</f>
        <v/>
      </c>
      <c r="N385" s="26" t="str">
        <f aca="false">IF($A385="","",COUNTIFS('سجل المراجعات'!$A$5:$A$1504,$A385,'سجل المراجعات'!$D$5:$D$1504,"تسليم"))</f>
        <v/>
      </c>
      <c r="O385" s="34" t="str">
        <f aca="false">IF($A385="","",IF(M385&gt;0,"تم القبول",IF(F385="معلق","معلق",IF(AND(L385&gt;0,L385&gt;=K385),"مُعاد بملاحظات",IF(K385&gt;0,"في انتظار القبول",IF(AND(ISNUMBER(E385),E385&lt;تاريخ_الاحتساب),"متأخر",IF(F385="","لم يبدأ",F385)))))))</f>
        <v/>
      </c>
      <c r="P385" s="26" t="str">
        <f aca="false">IF($A385="","",SUMIFS('سجل المراجعات'!$L$5:$L$1504,'سجل المراجعات'!$A$5:$A$1504,$A385))</f>
        <v/>
      </c>
      <c r="Q385" s="26" t="str">
        <f aca="false">IF($A385="","",SUMIFS('سجل المراجعات'!$M$5:$M$1504,'سجل المراجعات'!$A$5:$A$1504,$A385))</f>
        <v/>
      </c>
      <c r="R385" s="26" t="str">
        <f aca="false">IF(OR($A385="",NOT(ISNUMBER(E385))),"",MAX(0,NETWORKDAYS.INTL(E385,IF(J385&gt;0,J385,تاريخ_الاحتساب),رمز_العطلة,أيام_الأجازات)-1))</f>
        <v/>
      </c>
      <c r="S385" s="22"/>
    </row>
    <row r="386" customFormat="false" ht="15" hidden="false" customHeight="false" outlineLevel="0" collapsed="false">
      <c r="A386" s="20"/>
      <c r="B386" s="20"/>
      <c r="C386" s="30" t="str">
        <f aca="false">IF($A386="","",IFERROR(INDEX(بند_الاسم,MATCH($B386,قائمة_البنود,0)),"⚠ بند غير موجود"))</f>
        <v/>
      </c>
      <c r="D386" s="22"/>
      <c r="E386" s="31"/>
      <c r="F386" s="21"/>
      <c r="G386" s="32"/>
      <c r="H386" s="25" t="str">
        <f aca="false">IF($A386="","",IFERROR(INDEX(بند_سعر_الوحدة,MATCH($B386,قائمة_البنود,0)),0))</f>
        <v/>
      </c>
      <c r="I386" s="25" t="str">
        <f aca="false">IF($A386="","",H386*(1+نسبة_الضريبة))</f>
        <v/>
      </c>
      <c r="J386" s="33" t="str">
        <f aca="false">IF($A386="","",_xlfn.MINIFS('سجل المراجعات'!$E$5:$E$1504,'سجل المراجعات'!$A$5:$A$1504,$A386,'سجل المراجعات'!$D$5:$D$1504,"تسليم"))</f>
        <v/>
      </c>
      <c r="K386" s="33" t="str">
        <f aca="false">IF($A386="","",_xlfn.MAXIFS('سجل المراجعات'!$E$5:$E$1504,'سجل المراجعات'!$A$5:$A$1504,$A386,'سجل المراجعات'!$D$5:$D$1504,"تسليم"))</f>
        <v/>
      </c>
      <c r="L386" s="33" t="str">
        <f aca="false">IF($A386="","",_xlfn.MAXIFS('سجل المراجعات'!$E$5:$E$1504,'سجل المراجعات'!$A$5:$A$1504,$A386,'سجل المراجعات'!$D$5:$D$1504,"رد بملاحظات"))</f>
        <v/>
      </c>
      <c r="M386" s="33" t="str">
        <f aca="false">IF($A386="","",_xlfn.MAXIFS('سجل المراجعات'!$E$5:$E$1504,'سجل المراجعات'!$A$5:$A$1504,$A386,'سجل المراجعات'!$D$5:$D$1504,"قبول"))</f>
        <v/>
      </c>
      <c r="N386" s="26" t="str">
        <f aca="false">IF($A386="","",COUNTIFS('سجل المراجعات'!$A$5:$A$1504,$A386,'سجل المراجعات'!$D$5:$D$1504,"تسليم"))</f>
        <v/>
      </c>
      <c r="O386" s="34" t="str">
        <f aca="false">IF($A386="","",IF(M386&gt;0,"تم القبول",IF(F386="معلق","معلق",IF(AND(L386&gt;0,L386&gt;=K386),"مُعاد بملاحظات",IF(K386&gt;0,"في انتظار القبول",IF(AND(ISNUMBER(E386),E386&lt;تاريخ_الاحتساب),"متأخر",IF(F386="","لم يبدأ",F386)))))))</f>
        <v/>
      </c>
      <c r="P386" s="26" t="str">
        <f aca="false">IF($A386="","",SUMIFS('سجل المراجعات'!$L$5:$L$1504,'سجل المراجعات'!$A$5:$A$1504,$A386))</f>
        <v/>
      </c>
      <c r="Q386" s="26" t="str">
        <f aca="false">IF($A386="","",SUMIFS('سجل المراجعات'!$M$5:$M$1504,'سجل المراجعات'!$A$5:$A$1504,$A386))</f>
        <v/>
      </c>
      <c r="R386" s="26" t="str">
        <f aca="false">IF(OR($A386="",NOT(ISNUMBER(E386))),"",MAX(0,NETWORKDAYS.INTL(E386,IF(J386&gt;0,J386,تاريخ_الاحتساب),رمز_العطلة,أيام_الأجازات)-1))</f>
        <v/>
      </c>
      <c r="S386" s="22"/>
    </row>
    <row r="387" customFormat="false" ht="15" hidden="false" customHeight="false" outlineLevel="0" collapsed="false">
      <c r="A387" s="20"/>
      <c r="B387" s="20"/>
      <c r="C387" s="30" t="str">
        <f aca="false">IF($A387="","",IFERROR(INDEX(بند_الاسم,MATCH($B387,قائمة_البنود,0)),"⚠ بند غير موجود"))</f>
        <v/>
      </c>
      <c r="D387" s="22"/>
      <c r="E387" s="31"/>
      <c r="F387" s="21"/>
      <c r="G387" s="32"/>
      <c r="H387" s="25" t="str">
        <f aca="false">IF($A387="","",IFERROR(INDEX(بند_سعر_الوحدة,MATCH($B387,قائمة_البنود,0)),0))</f>
        <v/>
      </c>
      <c r="I387" s="25" t="str">
        <f aca="false">IF($A387="","",H387*(1+نسبة_الضريبة))</f>
        <v/>
      </c>
      <c r="J387" s="33" t="str">
        <f aca="false">IF($A387="","",_xlfn.MINIFS('سجل المراجعات'!$E$5:$E$1504,'سجل المراجعات'!$A$5:$A$1504,$A387,'سجل المراجعات'!$D$5:$D$1504,"تسليم"))</f>
        <v/>
      </c>
      <c r="K387" s="33" t="str">
        <f aca="false">IF($A387="","",_xlfn.MAXIFS('سجل المراجعات'!$E$5:$E$1504,'سجل المراجعات'!$A$5:$A$1504,$A387,'سجل المراجعات'!$D$5:$D$1504,"تسليم"))</f>
        <v/>
      </c>
      <c r="L387" s="33" t="str">
        <f aca="false">IF($A387="","",_xlfn.MAXIFS('سجل المراجعات'!$E$5:$E$1504,'سجل المراجعات'!$A$5:$A$1504,$A387,'سجل المراجعات'!$D$5:$D$1504,"رد بملاحظات"))</f>
        <v/>
      </c>
      <c r="M387" s="33" t="str">
        <f aca="false">IF($A387="","",_xlfn.MAXIFS('سجل المراجعات'!$E$5:$E$1504,'سجل المراجعات'!$A$5:$A$1504,$A387,'سجل المراجعات'!$D$5:$D$1504,"قبول"))</f>
        <v/>
      </c>
      <c r="N387" s="26" t="str">
        <f aca="false">IF($A387="","",COUNTIFS('سجل المراجعات'!$A$5:$A$1504,$A387,'سجل المراجعات'!$D$5:$D$1504,"تسليم"))</f>
        <v/>
      </c>
      <c r="O387" s="34" t="str">
        <f aca="false">IF($A387="","",IF(M387&gt;0,"تم القبول",IF(F387="معلق","معلق",IF(AND(L387&gt;0,L387&gt;=K387),"مُعاد بملاحظات",IF(K387&gt;0,"في انتظار القبول",IF(AND(ISNUMBER(E387),E387&lt;تاريخ_الاحتساب),"متأخر",IF(F387="","لم يبدأ",F387)))))))</f>
        <v/>
      </c>
      <c r="P387" s="26" t="str">
        <f aca="false">IF($A387="","",SUMIFS('سجل المراجعات'!$L$5:$L$1504,'سجل المراجعات'!$A$5:$A$1504,$A387))</f>
        <v/>
      </c>
      <c r="Q387" s="26" t="str">
        <f aca="false">IF($A387="","",SUMIFS('سجل المراجعات'!$M$5:$M$1504,'سجل المراجعات'!$A$5:$A$1504,$A387))</f>
        <v/>
      </c>
      <c r="R387" s="26" t="str">
        <f aca="false">IF(OR($A387="",NOT(ISNUMBER(E387))),"",MAX(0,NETWORKDAYS.INTL(E387,IF(J387&gt;0,J387,تاريخ_الاحتساب),رمز_العطلة,أيام_الأجازات)-1))</f>
        <v/>
      </c>
      <c r="S387" s="22"/>
    </row>
    <row r="388" customFormat="false" ht="15" hidden="false" customHeight="false" outlineLevel="0" collapsed="false">
      <c r="A388" s="20"/>
      <c r="B388" s="20"/>
      <c r="C388" s="30" t="str">
        <f aca="false">IF($A388="","",IFERROR(INDEX(بند_الاسم,MATCH($B388,قائمة_البنود,0)),"⚠ بند غير موجود"))</f>
        <v/>
      </c>
      <c r="D388" s="22"/>
      <c r="E388" s="31"/>
      <c r="F388" s="21"/>
      <c r="G388" s="32"/>
      <c r="H388" s="25" t="str">
        <f aca="false">IF($A388="","",IFERROR(INDEX(بند_سعر_الوحدة,MATCH($B388,قائمة_البنود,0)),0))</f>
        <v/>
      </c>
      <c r="I388" s="25" t="str">
        <f aca="false">IF($A388="","",H388*(1+نسبة_الضريبة))</f>
        <v/>
      </c>
      <c r="J388" s="33" t="str">
        <f aca="false">IF($A388="","",_xlfn.MINIFS('سجل المراجعات'!$E$5:$E$1504,'سجل المراجعات'!$A$5:$A$1504,$A388,'سجل المراجعات'!$D$5:$D$1504,"تسليم"))</f>
        <v/>
      </c>
      <c r="K388" s="33" t="str">
        <f aca="false">IF($A388="","",_xlfn.MAXIFS('سجل المراجعات'!$E$5:$E$1504,'سجل المراجعات'!$A$5:$A$1504,$A388,'سجل المراجعات'!$D$5:$D$1504,"تسليم"))</f>
        <v/>
      </c>
      <c r="L388" s="33" t="str">
        <f aca="false">IF($A388="","",_xlfn.MAXIFS('سجل المراجعات'!$E$5:$E$1504,'سجل المراجعات'!$A$5:$A$1504,$A388,'سجل المراجعات'!$D$5:$D$1504,"رد بملاحظات"))</f>
        <v/>
      </c>
      <c r="M388" s="33" t="str">
        <f aca="false">IF($A388="","",_xlfn.MAXIFS('سجل المراجعات'!$E$5:$E$1504,'سجل المراجعات'!$A$5:$A$1504,$A388,'سجل المراجعات'!$D$5:$D$1504,"قبول"))</f>
        <v/>
      </c>
      <c r="N388" s="26" t="str">
        <f aca="false">IF($A388="","",COUNTIFS('سجل المراجعات'!$A$5:$A$1504,$A388,'سجل المراجعات'!$D$5:$D$1504,"تسليم"))</f>
        <v/>
      </c>
      <c r="O388" s="34" t="str">
        <f aca="false">IF($A388="","",IF(M388&gt;0,"تم القبول",IF(F388="معلق","معلق",IF(AND(L388&gt;0,L388&gt;=K388),"مُعاد بملاحظات",IF(K388&gt;0,"في انتظار القبول",IF(AND(ISNUMBER(E388),E388&lt;تاريخ_الاحتساب),"متأخر",IF(F388="","لم يبدأ",F388)))))))</f>
        <v/>
      </c>
      <c r="P388" s="26" t="str">
        <f aca="false">IF($A388="","",SUMIFS('سجل المراجعات'!$L$5:$L$1504,'سجل المراجعات'!$A$5:$A$1504,$A388))</f>
        <v/>
      </c>
      <c r="Q388" s="26" t="str">
        <f aca="false">IF($A388="","",SUMIFS('سجل المراجعات'!$M$5:$M$1504,'سجل المراجعات'!$A$5:$A$1504,$A388))</f>
        <v/>
      </c>
      <c r="R388" s="26" t="str">
        <f aca="false">IF(OR($A388="",NOT(ISNUMBER(E388))),"",MAX(0,NETWORKDAYS.INTL(E388,IF(J388&gt;0,J388,تاريخ_الاحتساب),رمز_العطلة,أيام_الأجازات)-1))</f>
        <v/>
      </c>
      <c r="S388" s="22"/>
    </row>
    <row r="389" customFormat="false" ht="15" hidden="false" customHeight="false" outlineLevel="0" collapsed="false">
      <c r="A389" s="20"/>
      <c r="B389" s="20"/>
      <c r="C389" s="30" t="str">
        <f aca="false">IF($A389="","",IFERROR(INDEX(بند_الاسم,MATCH($B389,قائمة_البنود,0)),"⚠ بند غير موجود"))</f>
        <v/>
      </c>
      <c r="D389" s="22"/>
      <c r="E389" s="31"/>
      <c r="F389" s="21"/>
      <c r="G389" s="32"/>
      <c r="H389" s="25" t="str">
        <f aca="false">IF($A389="","",IFERROR(INDEX(بند_سعر_الوحدة,MATCH($B389,قائمة_البنود,0)),0))</f>
        <v/>
      </c>
      <c r="I389" s="25" t="str">
        <f aca="false">IF($A389="","",H389*(1+نسبة_الضريبة))</f>
        <v/>
      </c>
      <c r="J389" s="33" t="str">
        <f aca="false">IF($A389="","",_xlfn.MINIFS('سجل المراجعات'!$E$5:$E$1504,'سجل المراجعات'!$A$5:$A$1504,$A389,'سجل المراجعات'!$D$5:$D$1504,"تسليم"))</f>
        <v/>
      </c>
      <c r="K389" s="33" t="str">
        <f aca="false">IF($A389="","",_xlfn.MAXIFS('سجل المراجعات'!$E$5:$E$1504,'سجل المراجعات'!$A$5:$A$1504,$A389,'سجل المراجعات'!$D$5:$D$1504,"تسليم"))</f>
        <v/>
      </c>
      <c r="L389" s="33" t="str">
        <f aca="false">IF($A389="","",_xlfn.MAXIFS('سجل المراجعات'!$E$5:$E$1504,'سجل المراجعات'!$A$5:$A$1504,$A389,'سجل المراجعات'!$D$5:$D$1504,"رد بملاحظات"))</f>
        <v/>
      </c>
      <c r="M389" s="33" t="str">
        <f aca="false">IF($A389="","",_xlfn.MAXIFS('سجل المراجعات'!$E$5:$E$1504,'سجل المراجعات'!$A$5:$A$1504,$A389,'سجل المراجعات'!$D$5:$D$1504,"قبول"))</f>
        <v/>
      </c>
      <c r="N389" s="26" t="str">
        <f aca="false">IF($A389="","",COUNTIFS('سجل المراجعات'!$A$5:$A$1504,$A389,'سجل المراجعات'!$D$5:$D$1504,"تسليم"))</f>
        <v/>
      </c>
      <c r="O389" s="34" t="str">
        <f aca="false">IF($A389="","",IF(M389&gt;0,"تم القبول",IF(F389="معلق","معلق",IF(AND(L389&gt;0,L389&gt;=K389),"مُعاد بملاحظات",IF(K389&gt;0,"في انتظار القبول",IF(AND(ISNUMBER(E389),E389&lt;تاريخ_الاحتساب),"متأخر",IF(F389="","لم يبدأ",F389)))))))</f>
        <v/>
      </c>
      <c r="P389" s="26" t="str">
        <f aca="false">IF($A389="","",SUMIFS('سجل المراجعات'!$L$5:$L$1504,'سجل المراجعات'!$A$5:$A$1504,$A389))</f>
        <v/>
      </c>
      <c r="Q389" s="26" t="str">
        <f aca="false">IF($A389="","",SUMIFS('سجل المراجعات'!$M$5:$M$1504,'سجل المراجعات'!$A$5:$A$1504,$A389))</f>
        <v/>
      </c>
      <c r="R389" s="26" t="str">
        <f aca="false">IF(OR($A389="",NOT(ISNUMBER(E389))),"",MAX(0,NETWORKDAYS.INTL(E389,IF(J389&gt;0,J389,تاريخ_الاحتساب),رمز_العطلة,أيام_الأجازات)-1))</f>
        <v/>
      </c>
      <c r="S389" s="22"/>
    </row>
    <row r="390" customFormat="false" ht="15" hidden="false" customHeight="false" outlineLevel="0" collapsed="false">
      <c r="A390" s="20"/>
      <c r="B390" s="20"/>
      <c r="C390" s="30" t="str">
        <f aca="false">IF($A390="","",IFERROR(INDEX(بند_الاسم,MATCH($B390,قائمة_البنود,0)),"⚠ بند غير موجود"))</f>
        <v/>
      </c>
      <c r="D390" s="22"/>
      <c r="E390" s="31"/>
      <c r="F390" s="21"/>
      <c r="G390" s="32"/>
      <c r="H390" s="25" t="str">
        <f aca="false">IF($A390="","",IFERROR(INDEX(بند_سعر_الوحدة,MATCH($B390,قائمة_البنود,0)),0))</f>
        <v/>
      </c>
      <c r="I390" s="25" t="str">
        <f aca="false">IF($A390="","",H390*(1+نسبة_الضريبة))</f>
        <v/>
      </c>
      <c r="J390" s="33" t="str">
        <f aca="false">IF($A390="","",_xlfn.MINIFS('سجل المراجعات'!$E$5:$E$1504,'سجل المراجعات'!$A$5:$A$1504,$A390,'سجل المراجعات'!$D$5:$D$1504,"تسليم"))</f>
        <v/>
      </c>
      <c r="K390" s="33" t="str">
        <f aca="false">IF($A390="","",_xlfn.MAXIFS('سجل المراجعات'!$E$5:$E$1504,'سجل المراجعات'!$A$5:$A$1504,$A390,'سجل المراجعات'!$D$5:$D$1504,"تسليم"))</f>
        <v/>
      </c>
      <c r="L390" s="33" t="str">
        <f aca="false">IF($A390="","",_xlfn.MAXIFS('سجل المراجعات'!$E$5:$E$1504,'سجل المراجعات'!$A$5:$A$1504,$A390,'سجل المراجعات'!$D$5:$D$1504,"رد بملاحظات"))</f>
        <v/>
      </c>
      <c r="M390" s="33" t="str">
        <f aca="false">IF($A390="","",_xlfn.MAXIFS('سجل المراجعات'!$E$5:$E$1504,'سجل المراجعات'!$A$5:$A$1504,$A390,'سجل المراجعات'!$D$5:$D$1504,"قبول"))</f>
        <v/>
      </c>
      <c r="N390" s="26" t="str">
        <f aca="false">IF($A390="","",COUNTIFS('سجل المراجعات'!$A$5:$A$1504,$A390,'سجل المراجعات'!$D$5:$D$1504,"تسليم"))</f>
        <v/>
      </c>
      <c r="O390" s="34" t="str">
        <f aca="false">IF($A390="","",IF(M390&gt;0,"تم القبول",IF(F390="معلق","معلق",IF(AND(L390&gt;0,L390&gt;=K390),"مُعاد بملاحظات",IF(K390&gt;0,"في انتظار القبول",IF(AND(ISNUMBER(E390),E390&lt;تاريخ_الاحتساب),"متأخر",IF(F390="","لم يبدأ",F390)))))))</f>
        <v/>
      </c>
      <c r="P390" s="26" t="str">
        <f aca="false">IF($A390="","",SUMIFS('سجل المراجعات'!$L$5:$L$1504,'سجل المراجعات'!$A$5:$A$1504,$A390))</f>
        <v/>
      </c>
      <c r="Q390" s="26" t="str">
        <f aca="false">IF($A390="","",SUMIFS('سجل المراجعات'!$M$5:$M$1504,'سجل المراجعات'!$A$5:$A$1504,$A390))</f>
        <v/>
      </c>
      <c r="R390" s="26" t="str">
        <f aca="false">IF(OR($A390="",NOT(ISNUMBER(E390))),"",MAX(0,NETWORKDAYS.INTL(E390,IF(J390&gt;0,J390,تاريخ_الاحتساب),رمز_العطلة,أيام_الأجازات)-1))</f>
        <v/>
      </c>
      <c r="S390" s="22"/>
    </row>
    <row r="391" customFormat="false" ht="15" hidden="false" customHeight="false" outlineLevel="0" collapsed="false">
      <c r="A391" s="20"/>
      <c r="B391" s="20"/>
      <c r="C391" s="30" t="str">
        <f aca="false">IF($A391="","",IFERROR(INDEX(بند_الاسم,MATCH($B391,قائمة_البنود,0)),"⚠ بند غير موجود"))</f>
        <v/>
      </c>
      <c r="D391" s="22"/>
      <c r="E391" s="31"/>
      <c r="F391" s="21"/>
      <c r="G391" s="32"/>
      <c r="H391" s="25" t="str">
        <f aca="false">IF($A391="","",IFERROR(INDEX(بند_سعر_الوحدة,MATCH($B391,قائمة_البنود,0)),0))</f>
        <v/>
      </c>
      <c r="I391" s="25" t="str">
        <f aca="false">IF($A391="","",H391*(1+نسبة_الضريبة))</f>
        <v/>
      </c>
      <c r="J391" s="33" t="str">
        <f aca="false">IF($A391="","",_xlfn.MINIFS('سجل المراجعات'!$E$5:$E$1504,'سجل المراجعات'!$A$5:$A$1504,$A391,'سجل المراجعات'!$D$5:$D$1504,"تسليم"))</f>
        <v/>
      </c>
      <c r="K391" s="33" t="str">
        <f aca="false">IF($A391="","",_xlfn.MAXIFS('سجل المراجعات'!$E$5:$E$1504,'سجل المراجعات'!$A$5:$A$1504,$A391,'سجل المراجعات'!$D$5:$D$1504,"تسليم"))</f>
        <v/>
      </c>
      <c r="L391" s="33" t="str">
        <f aca="false">IF($A391="","",_xlfn.MAXIFS('سجل المراجعات'!$E$5:$E$1504,'سجل المراجعات'!$A$5:$A$1504,$A391,'سجل المراجعات'!$D$5:$D$1504,"رد بملاحظات"))</f>
        <v/>
      </c>
      <c r="M391" s="33" t="str">
        <f aca="false">IF($A391="","",_xlfn.MAXIFS('سجل المراجعات'!$E$5:$E$1504,'سجل المراجعات'!$A$5:$A$1504,$A391,'سجل المراجعات'!$D$5:$D$1504,"قبول"))</f>
        <v/>
      </c>
      <c r="N391" s="26" t="str">
        <f aca="false">IF($A391="","",COUNTIFS('سجل المراجعات'!$A$5:$A$1504,$A391,'سجل المراجعات'!$D$5:$D$1504,"تسليم"))</f>
        <v/>
      </c>
      <c r="O391" s="34" t="str">
        <f aca="false">IF($A391="","",IF(M391&gt;0,"تم القبول",IF(F391="معلق","معلق",IF(AND(L391&gt;0,L391&gt;=K391),"مُعاد بملاحظات",IF(K391&gt;0,"في انتظار القبول",IF(AND(ISNUMBER(E391),E391&lt;تاريخ_الاحتساب),"متأخر",IF(F391="","لم يبدأ",F391)))))))</f>
        <v/>
      </c>
      <c r="P391" s="26" t="str">
        <f aca="false">IF($A391="","",SUMIFS('سجل المراجعات'!$L$5:$L$1504,'سجل المراجعات'!$A$5:$A$1504,$A391))</f>
        <v/>
      </c>
      <c r="Q391" s="26" t="str">
        <f aca="false">IF($A391="","",SUMIFS('سجل المراجعات'!$M$5:$M$1504,'سجل المراجعات'!$A$5:$A$1504,$A391))</f>
        <v/>
      </c>
      <c r="R391" s="26" t="str">
        <f aca="false">IF(OR($A391="",NOT(ISNUMBER(E391))),"",MAX(0,NETWORKDAYS.INTL(E391,IF(J391&gt;0,J391,تاريخ_الاحتساب),رمز_العطلة,أيام_الأجازات)-1))</f>
        <v/>
      </c>
      <c r="S391" s="22"/>
    </row>
    <row r="392" customFormat="false" ht="15" hidden="false" customHeight="false" outlineLevel="0" collapsed="false">
      <c r="A392" s="20"/>
      <c r="B392" s="20"/>
      <c r="C392" s="30" t="str">
        <f aca="false">IF($A392="","",IFERROR(INDEX(بند_الاسم,MATCH($B392,قائمة_البنود,0)),"⚠ بند غير موجود"))</f>
        <v/>
      </c>
      <c r="D392" s="22"/>
      <c r="E392" s="31"/>
      <c r="F392" s="21"/>
      <c r="G392" s="32"/>
      <c r="H392" s="25" t="str">
        <f aca="false">IF($A392="","",IFERROR(INDEX(بند_سعر_الوحدة,MATCH($B392,قائمة_البنود,0)),0))</f>
        <v/>
      </c>
      <c r="I392" s="25" t="str">
        <f aca="false">IF($A392="","",H392*(1+نسبة_الضريبة))</f>
        <v/>
      </c>
      <c r="J392" s="33" t="str">
        <f aca="false">IF($A392="","",_xlfn.MINIFS('سجل المراجعات'!$E$5:$E$1504,'سجل المراجعات'!$A$5:$A$1504,$A392,'سجل المراجعات'!$D$5:$D$1504,"تسليم"))</f>
        <v/>
      </c>
      <c r="K392" s="33" t="str">
        <f aca="false">IF($A392="","",_xlfn.MAXIFS('سجل المراجعات'!$E$5:$E$1504,'سجل المراجعات'!$A$5:$A$1504,$A392,'سجل المراجعات'!$D$5:$D$1504,"تسليم"))</f>
        <v/>
      </c>
      <c r="L392" s="33" t="str">
        <f aca="false">IF($A392="","",_xlfn.MAXIFS('سجل المراجعات'!$E$5:$E$1504,'سجل المراجعات'!$A$5:$A$1504,$A392,'سجل المراجعات'!$D$5:$D$1504,"رد بملاحظات"))</f>
        <v/>
      </c>
      <c r="M392" s="33" t="str">
        <f aca="false">IF($A392="","",_xlfn.MAXIFS('سجل المراجعات'!$E$5:$E$1504,'سجل المراجعات'!$A$5:$A$1504,$A392,'سجل المراجعات'!$D$5:$D$1504,"قبول"))</f>
        <v/>
      </c>
      <c r="N392" s="26" t="str">
        <f aca="false">IF($A392="","",COUNTIFS('سجل المراجعات'!$A$5:$A$1504,$A392,'سجل المراجعات'!$D$5:$D$1504,"تسليم"))</f>
        <v/>
      </c>
      <c r="O392" s="34" t="str">
        <f aca="false">IF($A392="","",IF(M392&gt;0,"تم القبول",IF(F392="معلق","معلق",IF(AND(L392&gt;0,L392&gt;=K392),"مُعاد بملاحظات",IF(K392&gt;0,"في انتظار القبول",IF(AND(ISNUMBER(E392),E392&lt;تاريخ_الاحتساب),"متأخر",IF(F392="","لم يبدأ",F392)))))))</f>
        <v/>
      </c>
      <c r="P392" s="26" t="str">
        <f aca="false">IF($A392="","",SUMIFS('سجل المراجعات'!$L$5:$L$1504,'سجل المراجعات'!$A$5:$A$1504,$A392))</f>
        <v/>
      </c>
      <c r="Q392" s="26" t="str">
        <f aca="false">IF($A392="","",SUMIFS('سجل المراجعات'!$M$5:$M$1504,'سجل المراجعات'!$A$5:$A$1504,$A392))</f>
        <v/>
      </c>
      <c r="R392" s="26" t="str">
        <f aca="false">IF(OR($A392="",NOT(ISNUMBER(E392))),"",MAX(0,NETWORKDAYS.INTL(E392,IF(J392&gt;0,J392,تاريخ_الاحتساب),رمز_العطلة,أيام_الأجازات)-1))</f>
        <v/>
      </c>
      <c r="S392" s="22"/>
    </row>
    <row r="393" customFormat="false" ht="15" hidden="false" customHeight="false" outlineLevel="0" collapsed="false">
      <c r="A393" s="20"/>
      <c r="B393" s="20"/>
      <c r="C393" s="30" t="str">
        <f aca="false">IF($A393="","",IFERROR(INDEX(بند_الاسم,MATCH($B393,قائمة_البنود,0)),"⚠ بند غير موجود"))</f>
        <v/>
      </c>
      <c r="D393" s="22"/>
      <c r="E393" s="31"/>
      <c r="F393" s="21"/>
      <c r="G393" s="32"/>
      <c r="H393" s="25" t="str">
        <f aca="false">IF($A393="","",IFERROR(INDEX(بند_سعر_الوحدة,MATCH($B393,قائمة_البنود,0)),0))</f>
        <v/>
      </c>
      <c r="I393" s="25" t="str">
        <f aca="false">IF($A393="","",H393*(1+نسبة_الضريبة))</f>
        <v/>
      </c>
      <c r="J393" s="33" t="str">
        <f aca="false">IF($A393="","",_xlfn.MINIFS('سجل المراجعات'!$E$5:$E$1504,'سجل المراجعات'!$A$5:$A$1504,$A393,'سجل المراجعات'!$D$5:$D$1504,"تسليم"))</f>
        <v/>
      </c>
      <c r="K393" s="33" t="str">
        <f aca="false">IF($A393="","",_xlfn.MAXIFS('سجل المراجعات'!$E$5:$E$1504,'سجل المراجعات'!$A$5:$A$1504,$A393,'سجل المراجعات'!$D$5:$D$1504,"تسليم"))</f>
        <v/>
      </c>
      <c r="L393" s="33" t="str">
        <f aca="false">IF($A393="","",_xlfn.MAXIFS('سجل المراجعات'!$E$5:$E$1504,'سجل المراجعات'!$A$5:$A$1504,$A393,'سجل المراجعات'!$D$5:$D$1504,"رد بملاحظات"))</f>
        <v/>
      </c>
      <c r="M393" s="33" t="str">
        <f aca="false">IF($A393="","",_xlfn.MAXIFS('سجل المراجعات'!$E$5:$E$1504,'سجل المراجعات'!$A$5:$A$1504,$A393,'سجل المراجعات'!$D$5:$D$1504,"قبول"))</f>
        <v/>
      </c>
      <c r="N393" s="26" t="str">
        <f aca="false">IF($A393="","",COUNTIFS('سجل المراجعات'!$A$5:$A$1504,$A393,'سجل المراجعات'!$D$5:$D$1504,"تسليم"))</f>
        <v/>
      </c>
      <c r="O393" s="34" t="str">
        <f aca="false">IF($A393="","",IF(M393&gt;0,"تم القبول",IF(F393="معلق","معلق",IF(AND(L393&gt;0,L393&gt;=K393),"مُعاد بملاحظات",IF(K393&gt;0,"في انتظار القبول",IF(AND(ISNUMBER(E393),E393&lt;تاريخ_الاحتساب),"متأخر",IF(F393="","لم يبدأ",F393)))))))</f>
        <v/>
      </c>
      <c r="P393" s="26" t="str">
        <f aca="false">IF($A393="","",SUMIFS('سجل المراجعات'!$L$5:$L$1504,'سجل المراجعات'!$A$5:$A$1504,$A393))</f>
        <v/>
      </c>
      <c r="Q393" s="26" t="str">
        <f aca="false">IF($A393="","",SUMIFS('سجل المراجعات'!$M$5:$M$1504,'سجل المراجعات'!$A$5:$A$1504,$A393))</f>
        <v/>
      </c>
      <c r="R393" s="26" t="str">
        <f aca="false">IF(OR($A393="",NOT(ISNUMBER(E393))),"",MAX(0,NETWORKDAYS.INTL(E393,IF(J393&gt;0,J393,تاريخ_الاحتساب),رمز_العطلة,أيام_الأجازات)-1))</f>
        <v/>
      </c>
      <c r="S393" s="22"/>
    </row>
    <row r="394" customFormat="false" ht="15" hidden="false" customHeight="false" outlineLevel="0" collapsed="false">
      <c r="A394" s="20"/>
      <c r="B394" s="20"/>
      <c r="C394" s="30" t="str">
        <f aca="false">IF($A394="","",IFERROR(INDEX(بند_الاسم,MATCH($B394,قائمة_البنود,0)),"⚠ بند غير موجود"))</f>
        <v/>
      </c>
      <c r="D394" s="22"/>
      <c r="E394" s="31"/>
      <c r="F394" s="21"/>
      <c r="G394" s="32"/>
      <c r="H394" s="25" t="str">
        <f aca="false">IF($A394="","",IFERROR(INDEX(بند_سعر_الوحدة,MATCH($B394,قائمة_البنود,0)),0))</f>
        <v/>
      </c>
      <c r="I394" s="25" t="str">
        <f aca="false">IF($A394="","",H394*(1+نسبة_الضريبة))</f>
        <v/>
      </c>
      <c r="J394" s="33" t="str">
        <f aca="false">IF($A394="","",_xlfn.MINIFS('سجل المراجعات'!$E$5:$E$1504,'سجل المراجعات'!$A$5:$A$1504,$A394,'سجل المراجعات'!$D$5:$D$1504,"تسليم"))</f>
        <v/>
      </c>
      <c r="K394" s="33" t="str">
        <f aca="false">IF($A394="","",_xlfn.MAXIFS('سجل المراجعات'!$E$5:$E$1504,'سجل المراجعات'!$A$5:$A$1504,$A394,'سجل المراجعات'!$D$5:$D$1504,"تسليم"))</f>
        <v/>
      </c>
      <c r="L394" s="33" t="str">
        <f aca="false">IF($A394="","",_xlfn.MAXIFS('سجل المراجعات'!$E$5:$E$1504,'سجل المراجعات'!$A$5:$A$1504,$A394,'سجل المراجعات'!$D$5:$D$1504,"رد بملاحظات"))</f>
        <v/>
      </c>
      <c r="M394" s="33" t="str">
        <f aca="false">IF($A394="","",_xlfn.MAXIFS('سجل المراجعات'!$E$5:$E$1504,'سجل المراجعات'!$A$5:$A$1504,$A394,'سجل المراجعات'!$D$5:$D$1504,"قبول"))</f>
        <v/>
      </c>
      <c r="N394" s="26" t="str">
        <f aca="false">IF($A394="","",COUNTIFS('سجل المراجعات'!$A$5:$A$1504,$A394,'سجل المراجعات'!$D$5:$D$1504,"تسليم"))</f>
        <v/>
      </c>
      <c r="O394" s="34" t="str">
        <f aca="false">IF($A394="","",IF(M394&gt;0,"تم القبول",IF(F394="معلق","معلق",IF(AND(L394&gt;0,L394&gt;=K394),"مُعاد بملاحظات",IF(K394&gt;0,"في انتظار القبول",IF(AND(ISNUMBER(E394),E394&lt;تاريخ_الاحتساب),"متأخر",IF(F394="","لم يبدأ",F394)))))))</f>
        <v/>
      </c>
      <c r="P394" s="26" t="str">
        <f aca="false">IF($A394="","",SUMIFS('سجل المراجعات'!$L$5:$L$1504,'سجل المراجعات'!$A$5:$A$1504,$A394))</f>
        <v/>
      </c>
      <c r="Q394" s="26" t="str">
        <f aca="false">IF($A394="","",SUMIFS('سجل المراجعات'!$M$5:$M$1504,'سجل المراجعات'!$A$5:$A$1504,$A394))</f>
        <v/>
      </c>
      <c r="R394" s="26" t="str">
        <f aca="false">IF(OR($A394="",NOT(ISNUMBER(E394))),"",MAX(0,NETWORKDAYS.INTL(E394,IF(J394&gt;0,J394,تاريخ_الاحتساب),رمز_العطلة,أيام_الأجازات)-1))</f>
        <v/>
      </c>
      <c r="S394" s="22"/>
    </row>
    <row r="395" customFormat="false" ht="15" hidden="false" customHeight="false" outlineLevel="0" collapsed="false">
      <c r="A395" s="20"/>
      <c r="B395" s="20"/>
      <c r="C395" s="30" t="str">
        <f aca="false">IF($A395="","",IFERROR(INDEX(بند_الاسم,MATCH($B395,قائمة_البنود,0)),"⚠ بند غير موجود"))</f>
        <v/>
      </c>
      <c r="D395" s="22"/>
      <c r="E395" s="31"/>
      <c r="F395" s="21"/>
      <c r="G395" s="32"/>
      <c r="H395" s="25" t="str">
        <f aca="false">IF($A395="","",IFERROR(INDEX(بند_سعر_الوحدة,MATCH($B395,قائمة_البنود,0)),0))</f>
        <v/>
      </c>
      <c r="I395" s="25" t="str">
        <f aca="false">IF($A395="","",H395*(1+نسبة_الضريبة))</f>
        <v/>
      </c>
      <c r="J395" s="33" t="str">
        <f aca="false">IF($A395="","",_xlfn.MINIFS('سجل المراجعات'!$E$5:$E$1504,'سجل المراجعات'!$A$5:$A$1504,$A395,'سجل المراجعات'!$D$5:$D$1504,"تسليم"))</f>
        <v/>
      </c>
      <c r="K395" s="33" t="str">
        <f aca="false">IF($A395="","",_xlfn.MAXIFS('سجل المراجعات'!$E$5:$E$1504,'سجل المراجعات'!$A$5:$A$1504,$A395,'سجل المراجعات'!$D$5:$D$1504,"تسليم"))</f>
        <v/>
      </c>
      <c r="L395" s="33" t="str">
        <f aca="false">IF($A395="","",_xlfn.MAXIFS('سجل المراجعات'!$E$5:$E$1504,'سجل المراجعات'!$A$5:$A$1504,$A395,'سجل المراجعات'!$D$5:$D$1504,"رد بملاحظات"))</f>
        <v/>
      </c>
      <c r="M395" s="33" t="str">
        <f aca="false">IF($A395="","",_xlfn.MAXIFS('سجل المراجعات'!$E$5:$E$1504,'سجل المراجعات'!$A$5:$A$1504,$A395,'سجل المراجعات'!$D$5:$D$1504,"قبول"))</f>
        <v/>
      </c>
      <c r="N395" s="26" t="str">
        <f aca="false">IF($A395="","",COUNTIFS('سجل المراجعات'!$A$5:$A$1504,$A395,'سجل المراجعات'!$D$5:$D$1504,"تسليم"))</f>
        <v/>
      </c>
      <c r="O395" s="34" t="str">
        <f aca="false">IF($A395="","",IF(M395&gt;0,"تم القبول",IF(F395="معلق","معلق",IF(AND(L395&gt;0,L395&gt;=K395),"مُعاد بملاحظات",IF(K395&gt;0,"في انتظار القبول",IF(AND(ISNUMBER(E395),E395&lt;تاريخ_الاحتساب),"متأخر",IF(F395="","لم يبدأ",F395)))))))</f>
        <v/>
      </c>
      <c r="P395" s="26" t="str">
        <f aca="false">IF($A395="","",SUMIFS('سجل المراجعات'!$L$5:$L$1504,'سجل المراجعات'!$A$5:$A$1504,$A395))</f>
        <v/>
      </c>
      <c r="Q395" s="26" t="str">
        <f aca="false">IF($A395="","",SUMIFS('سجل المراجعات'!$M$5:$M$1504,'سجل المراجعات'!$A$5:$A$1504,$A395))</f>
        <v/>
      </c>
      <c r="R395" s="26" t="str">
        <f aca="false">IF(OR($A395="",NOT(ISNUMBER(E395))),"",MAX(0,NETWORKDAYS.INTL(E395,IF(J395&gt;0,J395,تاريخ_الاحتساب),رمز_العطلة,أيام_الأجازات)-1))</f>
        <v/>
      </c>
      <c r="S395" s="22"/>
    </row>
    <row r="396" customFormat="false" ht="15" hidden="false" customHeight="false" outlineLevel="0" collapsed="false">
      <c r="A396" s="20"/>
      <c r="B396" s="20"/>
      <c r="C396" s="30" t="str">
        <f aca="false">IF($A396="","",IFERROR(INDEX(بند_الاسم,MATCH($B396,قائمة_البنود,0)),"⚠ بند غير موجود"))</f>
        <v/>
      </c>
      <c r="D396" s="22"/>
      <c r="E396" s="31"/>
      <c r="F396" s="21"/>
      <c r="G396" s="32"/>
      <c r="H396" s="25" t="str">
        <f aca="false">IF($A396="","",IFERROR(INDEX(بند_سعر_الوحدة,MATCH($B396,قائمة_البنود,0)),0))</f>
        <v/>
      </c>
      <c r="I396" s="25" t="str">
        <f aca="false">IF($A396="","",H396*(1+نسبة_الضريبة))</f>
        <v/>
      </c>
      <c r="J396" s="33" t="str">
        <f aca="false">IF($A396="","",_xlfn.MINIFS('سجل المراجعات'!$E$5:$E$1504,'سجل المراجعات'!$A$5:$A$1504,$A396,'سجل المراجعات'!$D$5:$D$1504,"تسليم"))</f>
        <v/>
      </c>
      <c r="K396" s="33" t="str">
        <f aca="false">IF($A396="","",_xlfn.MAXIFS('سجل المراجعات'!$E$5:$E$1504,'سجل المراجعات'!$A$5:$A$1504,$A396,'سجل المراجعات'!$D$5:$D$1504,"تسليم"))</f>
        <v/>
      </c>
      <c r="L396" s="33" t="str">
        <f aca="false">IF($A396="","",_xlfn.MAXIFS('سجل المراجعات'!$E$5:$E$1504,'سجل المراجعات'!$A$5:$A$1504,$A396,'سجل المراجعات'!$D$5:$D$1504,"رد بملاحظات"))</f>
        <v/>
      </c>
      <c r="M396" s="33" t="str">
        <f aca="false">IF($A396="","",_xlfn.MAXIFS('سجل المراجعات'!$E$5:$E$1504,'سجل المراجعات'!$A$5:$A$1504,$A396,'سجل المراجعات'!$D$5:$D$1504,"قبول"))</f>
        <v/>
      </c>
      <c r="N396" s="26" t="str">
        <f aca="false">IF($A396="","",COUNTIFS('سجل المراجعات'!$A$5:$A$1504,$A396,'سجل المراجعات'!$D$5:$D$1504,"تسليم"))</f>
        <v/>
      </c>
      <c r="O396" s="34" t="str">
        <f aca="false">IF($A396="","",IF(M396&gt;0,"تم القبول",IF(F396="معلق","معلق",IF(AND(L396&gt;0,L396&gt;=K396),"مُعاد بملاحظات",IF(K396&gt;0,"في انتظار القبول",IF(AND(ISNUMBER(E396),E396&lt;تاريخ_الاحتساب),"متأخر",IF(F396="","لم يبدأ",F396)))))))</f>
        <v/>
      </c>
      <c r="P396" s="26" t="str">
        <f aca="false">IF($A396="","",SUMIFS('سجل المراجعات'!$L$5:$L$1504,'سجل المراجعات'!$A$5:$A$1504,$A396))</f>
        <v/>
      </c>
      <c r="Q396" s="26" t="str">
        <f aca="false">IF($A396="","",SUMIFS('سجل المراجعات'!$M$5:$M$1504,'سجل المراجعات'!$A$5:$A$1504,$A396))</f>
        <v/>
      </c>
      <c r="R396" s="26" t="str">
        <f aca="false">IF(OR($A396="",NOT(ISNUMBER(E396))),"",MAX(0,NETWORKDAYS.INTL(E396,IF(J396&gt;0,J396,تاريخ_الاحتساب),رمز_العطلة,أيام_الأجازات)-1))</f>
        <v/>
      </c>
      <c r="S396" s="22"/>
    </row>
    <row r="397" customFormat="false" ht="15" hidden="false" customHeight="false" outlineLevel="0" collapsed="false">
      <c r="A397" s="20"/>
      <c r="B397" s="20"/>
      <c r="C397" s="30" t="str">
        <f aca="false">IF($A397="","",IFERROR(INDEX(بند_الاسم,MATCH($B397,قائمة_البنود,0)),"⚠ بند غير موجود"))</f>
        <v/>
      </c>
      <c r="D397" s="22"/>
      <c r="E397" s="31"/>
      <c r="F397" s="21"/>
      <c r="G397" s="32"/>
      <c r="H397" s="25" t="str">
        <f aca="false">IF($A397="","",IFERROR(INDEX(بند_سعر_الوحدة,MATCH($B397,قائمة_البنود,0)),0))</f>
        <v/>
      </c>
      <c r="I397" s="25" t="str">
        <f aca="false">IF($A397="","",H397*(1+نسبة_الضريبة))</f>
        <v/>
      </c>
      <c r="J397" s="33" t="str">
        <f aca="false">IF($A397="","",_xlfn.MINIFS('سجل المراجعات'!$E$5:$E$1504,'سجل المراجعات'!$A$5:$A$1504,$A397,'سجل المراجعات'!$D$5:$D$1504,"تسليم"))</f>
        <v/>
      </c>
      <c r="K397" s="33" t="str">
        <f aca="false">IF($A397="","",_xlfn.MAXIFS('سجل المراجعات'!$E$5:$E$1504,'سجل المراجعات'!$A$5:$A$1504,$A397,'سجل المراجعات'!$D$5:$D$1504,"تسليم"))</f>
        <v/>
      </c>
      <c r="L397" s="33" t="str">
        <f aca="false">IF($A397="","",_xlfn.MAXIFS('سجل المراجعات'!$E$5:$E$1504,'سجل المراجعات'!$A$5:$A$1504,$A397,'سجل المراجعات'!$D$5:$D$1504,"رد بملاحظات"))</f>
        <v/>
      </c>
      <c r="M397" s="33" t="str">
        <f aca="false">IF($A397="","",_xlfn.MAXIFS('سجل المراجعات'!$E$5:$E$1504,'سجل المراجعات'!$A$5:$A$1504,$A397,'سجل المراجعات'!$D$5:$D$1504,"قبول"))</f>
        <v/>
      </c>
      <c r="N397" s="26" t="str">
        <f aca="false">IF($A397="","",COUNTIFS('سجل المراجعات'!$A$5:$A$1504,$A397,'سجل المراجعات'!$D$5:$D$1504,"تسليم"))</f>
        <v/>
      </c>
      <c r="O397" s="34" t="str">
        <f aca="false">IF($A397="","",IF(M397&gt;0,"تم القبول",IF(F397="معلق","معلق",IF(AND(L397&gt;0,L397&gt;=K397),"مُعاد بملاحظات",IF(K397&gt;0,"في انتظار القبول",IF(AND(ISNUMBER(E397),E397&lt;تاريخ_الاحتساب),"متأخر",IF(F397="","لم يبدأ",F397)))))))</f>
        <v/>
      </c>
      <c r="P397" s="26" t="str">
        <f aca="false">IF($A397="","",SUMIFS('سجل المراجعات'!$L$5:$L$1504,'سجل المراجعات'!$A$5:$A$1504,$A397))</f>
        <v/>
      </c>
      <c r="Q397" s="26" t="str">
        <f aca="false">IF($A397="","",SUMIFS('سجل المراجعات'!$M$5:$M$1504,'سجل المراجعات'!$A$5:$A$1504,$A397))</f>
        <v/>
      </c>
      <c r="R397" s="26" t="str">
        <f aca="false">IF(OR($A397="",NOT(ISNUMBER(E397))),"",MAX(0,NETWORKDAYS.INTL(E397,IF(J397&gt;0,J397,تاريخ_الاحتساب),رمز_العطلة,أيام_الأجازات)-1))</f>
        <v/>
      </c>
      <c r="S397" s="22"/>
    </row>
    <row r="398" customFormat="false" ht="15" hidden="false" customHeight="false" outlineLevel="0" collapsed="false">
      <c r="A398" s="20"/>
      <c r="B398" s="20"/>
      <c r="C398" s="30" t="str">
        <f aca="false">IF($A398="","",IFERROR(INDEX(بند_الاسم,MATCH($B398,قائمة_البنود,0)),"⚠ بند غير موجود"))</f>
        <v/>
      </c>
      <c r="D398" s="22"/>
      <c r="E398" s="31"/>
      <c r="F398" s="21"/>
      <c r="G398" s="32"/>
      <c r="H398" s="25" t="str">
        <f aca="false">IF($A398="","",IFERROR(INDEX(بند_سعر_الوحدة,MATCH($B398,قائمة_البنود,0)),0))</f>
        <v/>
      </c>
      <c r="I398" s="25" t="str">
        <f aca="false">IF($A398="","",H398*(1+نسبة_الضريبة))</f>
        <v/>
      </c>
      <c r="J398" s="33" t="str">
        <f aca="false">IF($A398="","",_xlfn.MINIFS('سجل المراجعات'!$E$5:$E$1504,'سجل المراجعات'!$A$5:$A$1504,$A398,'سجل المراجعات'!$D$5:$D$1504,"تسليم"))</f>
        <v/>
      </c>
      <c r="K398" s="33" t="str">
        <f aca="false">IF($A398="","",_xlfn.MAXIFS('سجل المراجعات'!$E$5:$E$1504,'سجل المراجعات'!$A$5:$A$1504,$A398,'سجل المراجعات'!$D$5:$D$1504,"تسليم"))</f>
        <v/>
      </c>
      <c r="L398" s="33" t="str">
        <f aca="false">IF($A398="","",_xlfn.MAXIFS('سجل المراجعات'!$E$5:$E$1504,'سجل المراجعات'!$A$5:$A$1504,$A398,'سجل المراجعات'!$D$5:$D$1504,"رد بملاحظات"))</f>
        <v/>
      </c>
      <c r="M398" s="33" t="str">
        <f aca="false">IF($A398="","",_xlfn.MAXIFS('سجل المراجعات'!$E$5:$E$1504,'سجل المراجعات'!$A$5:$A$1504,$A398,'سجل المراجعات'!$D$5:$D$1504,"قبول"))</f>
        <v/>
      </c>
      <c r="N398" s="26" t="str">
        <f aca="false">IF($A398="","",COUNTIFS('سجل المراجعات'!$A$5:$A$1504,$A398,'سجل المراجعات'!$D$5:$D$1504,"تسليم"))</f>
        <v/>
      </c>
      <c r="O398" s="34" t="str">
        <f aca="false">IF($A398="","",IF(M398&gt;0,"تم القبول",IF(F398="معلق","معلق",IF(AND(L398&gt;0,L398&gt;=K398),"مُعاد بملاحظات",IF(K398&gt;0,"في انتظار القبول",IF(AND(ISNUMBER(E398),E398&lt;تاريخ_الاحتساب),"متأخر",IF(F398="","لم يبدأ",F398)))))))</f>
        <v/>
      </c>
      <c r="P398" s="26" t="str">
        <f aca="false">IF($A398="","",SUMIFS('سجل المراجعات'!$L$5:$L$1504,'سجل المراجعات'!$A$5:$A$1504,$A398))</f>
        <v/>
      </c>
      <c r="Q398" s="26" t="str">
        <f aca="false">IF($A398="","",SUMIFS('سجل المراجعات'!$M$5:$M$1504,'سجل المراجعات'!$A$5:$A$1504,$A398))</f>
        <v/>
      </c>
      <c r="R398" s="26" t="str">
        <f aca="false">IF(OR($A398="",NOT(ISNUMBER(E398))),"",MAX(0,NETWORKDAYS.INTL(E398,IF(J398&gt;0,J398,تاريخ_الاحتساب),رمز_العطلة,أيام_الأجازات)-1))</f>
        <v/>
      </c>
      <c r="S398" s="22"/>
    </row>
    <row r="399" customFormat="false" ht="15" hidden="false" customHeight="false" outlineLevel="0" collapsed="false">
      <c r="A399" s="20"/>
      <c r="B399" s="20"/>
      <c r="C399" s="30" t="str">
        <f aca="false">IF($A399="","",IFERROR(INDEX(بند_الاسم,MATCH($B399,قائمة_البنود,0)),"⚠ بند غير موجود"))</f>
        <v/>
      </c>
      <c r="D399" s="22"/>
      <c r="E399" s="31"/>
      <c r="F399" s="21"/>
      <c r="G399" s="32"/>
      <c r="H399" s="25" t="str">
        <f aca="false">IF($A399="","",IFERROR(INDEX(بند_سعر_الوحدة,MATCH($B399,قائمة_البنود,0)),0))</f>
        <v/>
      </c>
      <c r="I399" s="25" t="str">
        <f aca="false">IF($A399="","",H399*(1+نسبة_الضريبة))</f>
        <v/>
      </c>
      <c r="J399" s="33" t="str">
        <f aca="false">IF($A399="","",_xlfn.MINIFS('سجل المراجعات'!$E$5:$E$1504,'سجل المراجعات'!$A$5:$A$1504,$A399,'سجل المراجعات'!$D$5:$D$1504,"تسليم"))</f>
        <v/>
      </c>
      <c r="K399" s="33" t="str">
        <f aca="false">IF($A399="","",_xlfn.MAXIFS('سجل المراجعات'!$E$5:$E$1504,'سجل المراجعات'!$A$5:$A$1504,$A399,'سجل المراجعات'!$D$5:$D$1504,"تسليم"))</f>
        <v/>
      </c>
      <c r="L399" s="33" t="str">
        <f aca="false">IF($A399="","",_xlfn.MAXIFS('سجل المراجعات'!$E$5:$E$1504,'سجل المراجعات'!$A$5:$A$1504,$A399,'سجل المراجعات'!$D$5:$D$1504,"رد بملاحظات"))</f>
        <v/>
      </c>
      <c r="M399" s="33" t="str">
        <f aca="false">IF($A399="","",_xlfn.MAXIFS('سجل المراجعات'!$E$5:$E$1504,'سجل المراجعات'!$A$5:$A$1504,$A399,'سجل المراجعات'!$D$5:$D$1504,"قبول"))</f>
        <v/>
      </c>
      <c r="N399" s="26" t="str">
        <f aca="false">IF($A399="","",COUNTIFS('سجل المراجعات'!$A$5:$A$1504,$A399,'سجل المراجعات'!$D$5:$D$1504,"تسليم"))</f>
        <v/>
      </c>
      <c r="O399" s="34" t="str">
        <f aca="false">IF($A399="","",IF(M399&gt;0,"تم القبول",IF(F399="معلق","معلق",IF(AND(L399&gt;0,L399&gt;=K399),"مُعاد بملاحظات",IF(K399&gt;0,"في انتظار القبول",IF(AND(ISNUMBER(E399),E399&lt;تاريخ_الاحتساب),"متأخر",IF(F399="","لم يبدأ",F399)))))))</f>
        <v/>
      </c>
      <c r="P399" s="26" t="str">
        <f aca="false">IF($A399="","",SUMIFS('سجل المراجعات'!$L$5:$L$1504,'سجل المراجعات'!$A$5:$A$1504,$A399))</f>
        <v/>
      </c>
      <c r="Q399" s="26" t="str">
        <f aca="false">IF($A399="","",SUMIFS('سجل المراجعات'!$M$5:$M$1504,'سجل المراجعات'!$A$5:$A$1504,$A399))</f>
        <v/>
      </c>
      <c r="R399" s="26" t="str">
        <f aca="false">IF(OR($A399="",NOT(ISNUMBER(E399))),"",MAX(0,NETWORKDAYS.INTL(E399,IF(J399&gt;0,J399,تاريخ_الاحتساب),رمز_العطلة,أيام_الأجازات)-1))</f>
        <v/>
      </c>
      <c r="S399" s="22"/>
    </row>
    <row r="400" customFormat="false" ht="15" hidden="false" customHeight="false" outlineLevel="0" collapsed="false">
      <c r="A400" s="20"/>
      <c r="B400" s="20"/>
      <c r="C400" s="30" t="str">
        <f aca="false">IF($A400="","",IFERROR(INDEX(بند_الاسم,MATCH($B400,قائمة_البنود,0)),"⚠ بند غير موجود"))</f>
        <v/>
      </c>
      <c r="D400" s="22"/>
      <c r="E400" s="31"/>
      <c r="F400" s="21"/>
      <c r="G400" s="32"/>
      <c r="H400" s="25" t="str">
        <f aca="false">IF($A400="","",IFERROR(INDEX(بند_سعر_الوحدة,MATCH($B400,قائمة_البنود,0)),0))</f>
        <v/>
      </c>
      <c r="I400" s="25" t="str">
        <f aca="false">IF($A400="","",H400*(1+نسبة_الضريبة))</f>
        <v/>
      </c>
      <c r="J400" s="33" t="str">
        <f aca="false">IF($A400="","",_xlfn.MINIFS('سجل المراجعات'!$E$5:$E$1504,'سجل المراجعات'!$A$5:$A$1504,$A400,'سجل المراجعات'!$D$5:$D$1504,"تسليم"))</f>
        <v/>
      </c>
      <c r="K400" s="33" t="str">
        <f aca="false">IF($A400="","",_xlfn.MAXIFS('سجل المراجعات'!$E$5:$E$1504,'سجل المراجعات'!$A$5:$A$1504,$A400,'سجل المراجعات'!$D$5:$D$1504,"تسليم"))</f>
        <v/>
      </c>
      <c r="L400" s="33" t="str">
        <f aca="false">IF($A400="","",_xlfn.MAXIFS('سجل المراجعات'!$E$5:$E$1504,'سجل المراجعات'!$A$5:$A$1504,$A400,'سجل المراجعات'!$D$5:$D$1504,"رد بملاحظات"))</f>
        <v/>
      </c>
      <c r="M400" s="33" t="str">
        <f aca="false">IF($A400="","",_xlfn.MAXIFS('سجل المراجعات'!$E$5:$E$1504,'سجل المراجعات'!$A$5:$A$1504,$A400,'سجل المراجعات'!$D$5:$D$1504,"قبول"))</f>
        <v/>
      </c>
      <c r="N400" s="26" t="str">
        <f aca="false">IF($A400="","",COUNTIFS('سجل المراجعات'!$A$5:$A$1504,$A400,'سجل المراجعات'!$D$5:$D$1504,"تسليم"))</f>
        <v/>
      </c>
      <c r="O400" s="34" t="str">
        <f aca="false">IF($A400="","",IF(M400&gt;0,"تم القبول",IF(F400="معلق","معلق",IF(AND(L400&gt;0,L400&gt;=K400),"مُعاد بملاحظات",IF(K400&gt;0,"في انتظار القبول",IF(AND(ISNUMBER(E400),E400&lt;تاريخ_الاحتساب),"متأخر",IF(F400="","لم يبدأ",F400)))))))</f>
        <v/>
      </c>
      <c r="P400" s="26" t="str">
        <f aca="false">IF($A400="","",SUMIFS('سجل المراجعات'!$L$5:$L$1504,'سجل المراجعات'!$A$5:$A$1504,$A400))</f>
        <v/>
      </c>
      <c r="Q400" s="26" t="str">
        <f aca="false">IF($A400="","",SUMIFS('سجل المراجعات'!$M$5:$M$1504,'سجل المراجعات'!$A$5:$A$1504,$A400))</f>
        <v/>
      </c>
      <c r="R400" s="26" t="str">
        <f aca="false">IF(OR($A400="",NOT(ISNUMBER(E400))),"",MAX(0,NETWORKDAYS.INTL(E400,IF(J400&gt;0,J400,تاريخ_الاحتساب),رمز_العطلة,أيام_الأجازات)-1))</f>
        <v/>
      </c>
      <c r="S400" s="22"/>
    </row>
    <row r="401" customFormat="false" ht="15" hidden="false" customHeight="false" outlineLevel="0" collapsed="false">
      <c r="A401" s="20"/>
      <c r="B401" s="20"/>
      <c r="C401" s="30" t="str">
        <f aca="false">IF($A401="","",IFERROR(INDEX(بند_الاسم,MATCH($B401,قائمة_البنود,0)),"⚠ بند غير موجود"))</f>
        <v/>
      </c>
      <c r="D401" s="22"/>
      <c r="E401" s="31"/>
      <c r="F401" s="21"/>
      <c r="G401" s="32"/>
      <c r="H401" s="25" t="str">
        <f aca="false">IF($A401="","",IFERROR(INDEX(بند_سعر_الوحدة,MATCH($B401,قائمة_البنود,0)),0))</f>
        <v/>
      </c>
      <c r="I401" s="25" t="str">
        <f aca="false">IF($A401="","",H401*(1+نسبة_الضريبة))</f>
        <v/>
      </c>
      <c r="J401" s="33" t="str">
        <f aca="false">IF($A401="","",_xlfn.MINIFS('سجل المراجعات'!$E$5:$E$1504,'سجل المراجعات'!$A$5:$A$1504,$A401,'سجل المراجعات'!$D$5:$D$1504,"تسليم"))</f>
        <v/>
      </c>
      <c r="K401" s="33" t="str">
        <f aca="false">IF($A401="","",_xlfn.MAXIFS('سجل المراجعات'!$E$5:$E$1504,'سجل المراجعات'!$A$5:$A$1504,$A401,'سجل المراجعات'!$D$5:$D$1504,"تسليم"))</f>
        <v/>
      </c>
      <c r="L401" s="33" t="str">
        <f aca="false">IF($A401="","",_xlfn.MAXIFS('سجل المراجعات'!$E$5:$E$1504,'سجل المراجعات'!$A$5:$A$1504,$A401,'سجل المراجعات'!$D$5:$D$1504,"رد بملاحظات"))</f>
        <v/>
      </c>
      <c r="M401" s="33" t="str">
        <f aca="false">IF($A401="","",_xlfn.MAXIFS('سجل المراجعات'!$E$5:$E$1504,'سجل المراجعات'!$A$5:$A$1504,$A401,'سجل المراجعات'!$D$5:$D$1504,"قبول"))</f>
        <v/>
      </c>
      <c r="N401" s="26" t="str">
        <f aca="false">IF($A401="","",COUNTIFS('سجل المراجعات'!$A$5:$A$1504,$A401,'سجل المراجعات'!$D$5:$D$1504,"تسليم"))</f>
        <v/>
      </c>
      <c r="O401" s="34" t="str">
        <f aca="false">IF($A401="","",IF(M401&gt;0,"تم القبول",IF(F401="معلق","معلق",IF(AND(L401&gt;0,L401&gt;=K401),"مُعاد بملاحظات",IF(K401&gt;0,"في انتظار القبول",IF(AND(ISNUMBER(E401),E401&lt;تاريخ_الاحتساب),"متأخر",IF(F401="","لم يبدأ",F401)))))))</f>
        <v/>
      </c>
      <c r="P401" s="26" t="str">
        <f aca="false">IF($A401="","",SUMIFS('سجل المراجعات'!$L$5:$L$1504,'سجل المراجعات'!$A$5:$A$1504,$A401))</f>
        <v/>
      </c>
      <c r="Q401" s="26" t="str">
        <f aca="false">IF($A401="","",SUMIFS('سجل المراجعات'!$M$5:$M$1504,'سجل المراجعات'!$A$5:$A$1504,$A401))</f>
        <v/>
      </c>
      <c r="R401" s="26" t="str">
        <f aca="false">IF(OR($A401="",NOT(ISNUMBER(E401))),"",MAX(0,NETWORKDAYS.INTL(E401,IF(J401&gt;0,J401,تاريخ_الاحتساب),رمز_العطلة,أيام_الأجازات)-1))</f>
        <v/>
      </c>
      <c r="S401" s="22"/>
    </row>
    <row r="402" customFormat="false" ht="15" hidden="false" customHeight="false" outlineLevel="0" collapsed="false">
      <c r="A402" s="20"/>
      <c r="B402" s="20"/>
      <c r="C402" s="30" t="str">
        <f aca="false">IF($A402="","",IFERROR(INDEX(بند_الاسم,MATCH($B402,قائمة_البنود,0)),"⚠ بند غير موجود"))</f>
        <v/>
      </c>
      <c r="D402" s="22"/>
      <c r="E402" s="31"/>
      <c r="F402" s="21"/>
      <c r="G402" s="32"/>
      <c r="H402" s="25" t="str">
        <f aca="false">IF($A402="","",IFERROR(INDEX(بند_سعر_الوحدة,MATCH($B402,قائمة_البنود,0)),0))</f>
        <v/>
      </c>
      <c r="I402" s="25" t="str">
        <f aca="false">IF($A402="","",H402*(1+نسبة_الضريبة))</f>
        <v/>
      </c>
      <c r="J402" s="33" t="str">
        <f aca="false">IF($A402="","",_xlfn.MINIFS('سجل المراجعات'!$E$5:$E$1504,'سجل المراجعات'!$A$5:$A$1504,$A402,'سجل المراجعات'!$D$5:$D$1504,"تسليم"))</f>
        <v/>
      </c>
      <c r="K402" s="33" t="str">
        <f aca="false">IF($A402="","",_xlfn.MAXIFS('سجل المراجعات'!$E$5:$E$1504,'سجل المراجعات'!$A$5:$A$1504,$A402,'سجل المراجعات'!$D$5:$D$1504,"تسليم"))</f>
        <v/>
      </c>
      <c r="L402" s="33" t="str">
        <f aca="false">IF($A402="","",_xlfn.MAXIFS('سجل المراجعات'!$E$5:$E$1504,'سجل المراجعات'!$A$5:$A$1504,$A402,'سجل المراجعات'!$D$5:$D$1504,"رد بملاحظات"))</f>
        <v/>
      </c>
      <c r="M402" s="33" t="str">
        <f aca="false">IF($A402="","",_xlfn.MAXIFS('سجل المراجعات'!$E$5:$E$1504,'سجل المراجعات'!$A$5:$A$1504,$A402,'سجل المراجعات'!$D$5:$D$1504,"قبول"))</f>
        <v/>
      </c>
      <c r="N402" s="26" t="str">
        <f aca="false">IF($A402="","",COUNTIFS('سجل المراجعات'!$A$5:$A$1504,$A402,'سجل المراجعات'!$D$5:$D$1504,"تسليم"))</f>
        <v/>
      </c>
      <c r="O402" s="34" t="str">
        <f aca="false">IF($A402="","",IF(M402&gt;0,"تم القبول",IF(F402="معلق","معلق",IF(AND(L402&gt;0,L402&gt;=K402),"مُعاد بملاحظات",IF(K402&gt;0,"في انتظار القبول",IF(AND(ISNUMBER(E402),E402&lt;تاريخ_الاحتساب),"متأخر",IF(F402="","لم يبدأ",F402)))))))</f>
        <v/>
      </c>
      <c r="P402" s="26" t="str">
        <f aca="false">IF($A402="","",SUMIFS('سجل المراجعات'!$L$5:$L$1504,'سجل المراجعات'!$A$5:$A$1504,$A402))</f>
        <v/>
      </c>
      <c r="Q402" s="26" t="str">
        <f aca="false">IF($A402="","",SUMIFS('سجل المراجعات'!$M$5:$M$1504,'سجل المراجعات'!$A$5:$A$1504,$A402))</f>
        <v/>
      </c>
      <c r="R402" s="26" t="str">
        <f aca="false">IF(OR($A402="",NOT(ISNUMBER(E402))),"",MAX(0,NETWORKDAYS.INTL(E402,IF(J402&gt;0,J402,تاريخ_الاحتساب),رمز_العطلة,أيام_الأجازات)-1))</f>
        <v/>
      </c>
      <c r="S402" s="22"/>
    </row>
    <row r="403" customFormat="false" ht="15" hidden="false" customHeight="false" outlineLevel="0" collapsed="false">
      <c r="A403" s="20"/>
      <c r="B403" s="20"/>
      <c r="C403" s="30" t="str">
        <f aca="false">IF($A403="","",IFERROR(INDEX(بند_الاسم,MATCH($B403,قائمة_البنود,0)),"⚠ بند غير موجود"))</f>
        <v/>
      </c>
      <c r="D403" s="22"/>
      <c r="E403" s="31"/>
      <c r="F403" s="21"/>
      <c r="G403" s="32"/>
      <c r="H403" s="25" t="str">
        <f aca="false">IF($A403="","",IFERROR(INDEX(بند_سعر_الوحدة,MATCH($B403,قائمة_البنود,0)),0))</f>
        <v/>
      </c>
      <c r="I403" s="25" t="str">
        <f aca="false">IF($A403="","",H403*(1+نسبة_الضريبة))</f>
        <v/>
      </c>
      <c r="J403" s="33" t="str">
        <f aca="false">IF($A403="","",_xlfn.MINIFS('سجل المراجعات'!$E$5:$E$1504,'سجل المراجعات'!$A$5:$A$1504,$A403,'سجل المراجعات'!$D$5:$D$1504,"تسليم"))</f>
        <v/>
      </c>
      <c r="K403" s="33" t="str">
        <f aca="false">IF($A403="","",_xlfn.MAXIFS('سجل المراجعات'!$E$5:$E$1504,'سجل المراجعات'!$A$5:$A$1504,$A403,'سجل المراجعات'!$D$5:$D$1504,"تسليم"))</f>
        <v/>
      </c>
      <c r="L403" s="33" t="str">
        <f aca="false">IF($A403="","",_xlfn.MAXIFS('سجل المراجعات'!$E$5:$E$1504,'سجل المراجعات'!$A$5:$A$1504,$A403,'سجل المراجعات'!$D$5:$D$1504,"رد بملاحظات"))</f>
        <v/>
      </c>
      <c r="M403" s="33" t="str">
        <f aca="false">IF($A403="","",_xlfn.MAXIFS('سجل المراجعات'!$E$5:$E$1504,'سجل المراجعات'!$A$5:$A$1504,$A403,'سجل المراجعات'!$D$5:$D$1504,"قبول"))</f>
        <v/>
      </c>
      <c r="N403" s="26" t="str">
        <f aca="false">IF($A403="","",COUNTIFS('سجل المراجعات'!$A$5:$A$1504,$A403,'سجل المراجعات'!$D$5:$D$1504,"تسليم"))</f>
        <v/>
      </c>
      <c r="O403" s="34" t="str">
        <f aca="false">IF($A403="","",IF(M403&gt;0,"تم القبول",IF(F403="معلق","معلق",IF(AND(L403&gt;0,L403&gt;=K403),"مُعاد بملاحظات",IF(K403&gt;0,"في انتظار القبول",IF(AND(ISNUMBER(E403),E403&lt;تاريخ_الاحتساب),"متأخر",IF(F403="","لم يبدأ",F403)))))))</f>
        <v/>
      </c>
      <c r="P403" s="26" t="str">
        <f aca="false">IF($A403="","",SUMIFS('سجل المراجعات'!$L$5:$L$1504,'سجل المراجعات'!$A$5:$A$1504,$A403))</f>
        <v/>
      </c>
      <c r="Q403" s="26" t="str">
        <f aca="false">IF($A403="","",SUMIFS('سجل المراجعات'!$M$5:$M$1504,'سجل المراجعات'!$A$5:$A$1504,$A403))</f>
        <v/>
      </c>
      <c r="R403" s="26" t="str">
        <f aca="false">IF(OR($A403="",NOT(ISNUMBER(E403))),"",MAX(0,NETWORKDAYS.INTL(E403,IF(J403&gt;0,J403,تاريخ_الاحتساب),رمز_العطلة,أيام_الأجازات)-1))</f>
        <v/>
      </c>
      <c r="S403" s="22"/>
    </row>
    <row r="404" customFormat="false" ht="15" hidden="false" customHeight="false" outlineLevel="0" collapsed="false">
      <c r="A404" s="20"/>
      <c r="B404" s="20"/>
      <c r="C404" s="30" t="str">
        <f aca="false">IF($A404="","",IFERROR(INDEX(بند_الاسم,MATCH($B404,قائمة_البنود,0)),"⚠ بند غير موجود"))</f>
        <v/>
      </c>
      <c r="D404" s="22"/>
      <c r="E404" s="31"/>
      <c r="F404" s="21"/>
      <c r="G404" s="32"/>
      <c r="H404" s="25" t="str">
        <f aca="false">IF($A404="","",IFERROR(INDEX(بند_سعر_الوحدة,MATCH($B404,قائمة_البنود,0)),0))</f>
        <v/>
      </c>
      <c r="I404" s="25" t="str">
        <f aca="false">IF($A404="","",H404*(1+نسبة_الضريبة))</f>
        <v/>
      </c>
      <c r="J404" s="33" t="str">
        <f aca="false">IF($A404="","",_xlfn.MINIFS('سجل المراجعات'!$E$5:$E$1504,'سجل المراجعات'!$A$5:$A$1504,$A404,'سجل المراجعات'!$D$5:$D$1504,"تسليم"))</f>
        <v/>
      </c>
      <c r="K404" s="33" t="str">
        <f aca="false">IF($A404="","",_xlfn.MAXIFS('سجل المراجعات'!$E$5:$E$1504,'سجل المراجعات'!$A$5:$A$1504,$A404,'سجل المراجعات'!$D$5:$D$1504,"تسليم"))</f>
        <v/>
      </c>
      <c r="L404" s="33" t="str">
        <f aca="false">IF($A404="","",_xlfn.MAXIFS('سجل المراجعات'!$E$5:$E$1504,'سجل المراجعات'!$A$5:$A$1504,$A404,'سجل المراجعات'!$D$5:$D$1504,"رد بملاحظات"))</f>
        <v/>
      </c>
      <c r="M404" s="33" t="str">
        <f aca="false">IF($A404="","",_xlfn.MAXIFS('سجل المراجعات'!$E$5:$E$1504,'سجل المراجعات'!$A$5:$A$1504,$A404,'سجل المراجعات'!$D$5:$D$1504,"قبول"))</f>
        <v/>
      </c>
      <c r="N404" s="26" t="str">
        <f aca="false">IF($A404="","",COUNTIFS('سجل المراجعات'!$A$5:$A$1504,$A404,'سجل المراجعات'!$D$5:$D$1504,"تسليم"))</f>
        <v/>
      </c>
      <c r="O404" s="34" t="str">
        <f aca="false">IF($A404="","",IF(M404&gt;0,"تم القبول",IF(F404="معلق","معلق",IF(AND(L404&gt;0,L404&gt;=K404),"مُعاد بملاحظات",IF(K404&gt;0,"في انتظار القبول",IF(AND(ISNUMBER(E404),E404&lt;تاريخ_الاحتساب),"متأخر",IF(F404="","لم يبدأ",F404)))))))</f>
        <v/>
      </c>
      <c r="P404" s="26" t="str">
        <f aca="false">IF($A404="","",SUMIFS('سجل المراجعات'!$L$5:$L$1504,'سجل المراجعات'!$A$5:$A$1504,$A404))</f>
        <v/>
      </c>
      <c r="Q404" s="26" t="str">
        <f aca="false">IF($A404="","",SUMIFS('سجل المراجعات'!$M$5:$M$1504,'سجل المراجعات'!$A$5:$A$1504,$A404))</f>
        <v/>
      </c>
      <c r="R404" s="26" t="str">
        <f aca="false">IF(OR($A404="",NOT(ISNUMBER(E404))),"",MAX(0,NETWORKDAYS.INTL(E404,IF(J404&gt;0,J404,تاريخ_الاحتساب),رمز_العطلة,أيام_الأجازات)-1))</f>
        <v/>
      </c>
      <c r="S404" s="22"/>
    </row>
  </sheetData>
  <autoFilter ref="A4:S404"/>
  <conditionalFormatting sqref="O5:O404">
    <cfRule type="expression" priority="2" aboveAverage="0" equalAverage="0" bottom="0" percent="0" rank="0" text="" dxfId="20">
      <formula>O5="تم القبول"</formula>
    </cfRule>
    <cfRule type="expression" priority="3" aboveAverage="0" equalAverage="0" bottom="0" percent="0" rank="0" text="" dxfId="21">
      <formula>O5="في انتظار القبول"</formula>
    </cfRule>
    <cfRule type="expression" priority="4" aboveAverage="0" equalAverage="0" bottom="0" percent="0" rank="0" text="" dxfId="22">
      <formula>O5="مُعاد بملاحظات"</formula>
    </cfRule>
    <cfRule type="expression" priority="5" aboveAverage="0" equalAverage="0" bottom="0" percent="0" rank="0" text="" dxfId="6">
      <formula>O5="متأخر"</formula>
    </cfRule>
    <cfRule type="expression" priority="6" aboveAverage="0" equalAverage="0" bottom="0" percent="0" rank="0" text="" dxfId="23">
      <formula>O5="معلق"</formula>
    </cfRule>
    <cfRule type="expression" priority="7" aboveAverage="0" equalAverage="0" bottom="0" percent="0" rank="0" text="" dxfId="24">
      <formula>O5="جاري العمل"</formula>
    </cfRule>
  </conditionalFormatting>
  <conditionalFormatting sqref="A5:A404">
    <cfRule type="expression" priority="8" aboveAverage="0" equalAverage="0" bottom="0" percent="0" rank="0" text="" dxfId="5">
      <formula>AND(A5&lt;&gt;"",COUNTIF($A$5:$A$404,A5)&gt;1)</formula>
    </cfRule>
  </conditionalFormatting>
  <conditionalFormatting sqref="Q5:Q404">
    <cfRule type="expression" priority="9" aboveAverage="0" equalAverage="0" bottom="0" percent="0" rank="0" text="" dxfId="25">
      <formula>AND(ISNUMBER(Q5),Q5&gt;0)</formula>
    </cfRule>
  </conditionalFormatting>
  <conditionalFormatting sqref="R5:R404">
    <cfRule type="expression" priority="10" aboveAverage="0" equalAverage="0" bottom="0" percent="0" rank="0" text="" dxfId="25">
      <formula>AND(ISNUMBER(R5),R5&gt;0)</formula>
    </cfRule>
  </conditionalFormatting>
  <dataValidations count="4">
    <dataValidation allowBlank="true" error="اكتب رقم أكبر من أو يساوي صفر" errorStyle="stop" operator="greaterThanOrEqual" showDropDown="false" showErrorMessage="true" showInputMessage="false" sqref="G5:G404" type="decimal">
      <formula1>0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B5:B404" type="list">
      <formula1>قائمة_البنود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F5:F404" type="list">
      <formula1>قائمة_حالة_العمل</formula1>
      <formula2>0</formula2>
    </dataValidation>
    <dataValidation allowBlank="true" error="اكتب تاريخ صحيح (مثال: 2026-01-15)" errorStyle="stop" errorTitle="تاريخ غير صحيح" operator="between" showDropDown="false" showErrorMessage="true" showInputMessage="false" sqref="E5:E404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F8F00"/>
    <pageSetUpPr fitToPage="true"/>
  </sheetPr>
  <dimension ref="A1:N15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3"/>
    <col collapsed="false" customWidth="true" hidden="false" outlineLevel="0" max="5" min="5" style="0" width="12"/>
    <col collapsed="false" customWidth="true" hidden="false" outlineLevel="0" max="6" min="6" style="0" width="34"/>
    <col collapsed="false" customWidth="true" hidden="false" outlineLevel="0" max="7" min="7" style="0" width="8"/>
    <col collapsed="false" customWidth="true" hidden="false" outlineLevel="0" max="10" min="8" style="0" width="12"/>
    <col collapsed="false" customWidth="true" hidden="false" outlineLevel="0" max="13" min="11" style="0" width="9"/>
    <col collapsed="false" customWidth="true" hidden="false" outlineLevel="0" max="14" min="14" style="0" width="22"/>
  </cols>
  <sheetData>
    <row r="1" customFormat="false" ht="19.7" hidden="false" customHeight="false" outlineLevel="0" collapsed="false">
      <c r="A1" s="1" t="s">
        <v>124</v>
      </c>
    </row>
    <row r="2" customFormat="false" ht="15" hidden="false" customHeight="false" outlineLevel="0" collapsed="false">
      <c r="A2" s="2" t="s">
        <v>125</v>
      </c>
    </row>
    <row r="4" customFormat="false" ht="42" hidden="false" customHeight="true" outlineLevel="0" collapsed="false">
      <c r="A4" s="18" t="s">
        <v>84</v>
      </c>
      <c r="B4" s="19" t="s">
        <v>59</v>
      </c>
      <c r="C4" s="19" t="s">
        <v>85</v>
      </c>
      <c r="D4" s="18" t="s">
        <v>126</v>
      </c>
      <c r="E4" s="18" t="s">
        <v>127</v>
      </c>
      <c r="F4" s="18" t="s">
        <v>100</v>
      </c>
      <c r="G4" s="19" t="s">
        <v>128</v>
      </c>
      <c r="H4" s="19" t="s">
        <v>129</v>
      </c>
      <c r="I4" s="19" t="s">
        <v>130</v>
      </c>
      <c r="J4" s="19" t="s">
        <v>131</v>
      </c>
      <c r="K4" s="19" t="s">
        <v>132</v>
      </c>
      <c r="L4" s="19" t="s">
        <v>97</v>
      </c>
      <c r="M4" s="19" t="s">
        <v>133</v>
      </c>
      <c r="N4" s="19" t="s">
        <v>134</v>
      </c>
    </row>
    <row r="5" customFormat="false" ht="15" hidden="false" customHeight="false" outlineLevel="0" collapsed="false">
      <c r="A5" s="20" t="s">
        <v>101</v>
      </c>
      <c r="B5" s="35" t="n">
        <f aca="false">IF($A5="","",IFERROR(INDEX(مخرج_البند,MATCH($A5,قائمة_المخرجات,0)),""))</f>
        <v>1</v>
      </c>
      <c r="C5" s="30" t="str">
        <f aca="false">IF($A5="","",IFERROR(INDEX(مخرج_الوصف,MATCH($A5,قائمة_المخرجات,0)),""))</f>
        <v>وثيقة ميثاق المشروع</v>
      </c>
      <c r="D5" s="20" t="s">
        <v>135</v>
      </c>
      <c r="E5" s="31" t="n">
        <v>45698</v>
      </c>
      <c r="F5" s="22"/>
      <c r="G5" s="36" t="n">
        <f aca="false">IF(OR($A5="",$D5&lt;&gt;"تسليم",NOT(ISNUMBER($E5))),"",COUNTIFS($A$5:$A$1504,$A5,$D$5:$D$1504,"تسليم",$E$5:$E$1504,"&lt;"&amp;$E5)+1)</f>
        <v>1</v>
      </c>
      <c r="H5" s="33" t="n">
        <f aca="false">IF($G5="","",_xlfn.MINIFS($E$5:$E$1504,$A$5:$A$1504,$A5,$D$5:$D$1504,"&lt;&gt;تسليم",$E$5:$E$1504,"&gt;="&amp;$E5))</f>
        <v>45705</v>
      </c>
      <c r="I5" s="33" t="n">
        <f aca="false">IF($G5="","",_xlfn.MINIFS($E$5:$E$1504,$A$5:$A$1504,$A5,$D$5:$D$1504,"تسليم",$E$5:$E$1504,"&gt;"&amp;$E5))</f>
        <v>0</v>
      </c>
      <c r="J5" s="33" t="n">
        <f aca="false">IF($G5="","",IF(H5&gt;0,IF(I5&gt;0,MIN(H5,I5),H5),IF(I5&gt;0,I5,تاريخ_الاحتساب)))</f>
        <v>45705</v>
      </c>
      <c r="K5" s="34" t="str">
        <f aca="false">IF($G5="","",IF(AND(H5=0,I5=0),"جارية","مغلقة"))</f>
        <v>مغلقة</v>
      </c>
      <c r="L5" s="26" t="n">
        <f aca="false">IF($G5="","",MAX(0,NETWORKDAYS.INTL($E5,J5,رمز_العطلة,أيام_الأجازات)-1))</f>
        <v>5</v>
      </c>
      <c r="M5" s="26" t="n">
        <f aca="false">IF($G5="","",MAX(0,L5-مهلة_المراجعة))</f>
        <v>0</v>
      </c>
      <c r="N5" s="30" t="str">
        <f aca="false">IF($A5="",IF(OR($D5&lt;&gt;"",$E5&lt;&gt;""),"رقم المخرج ناقص",""),IF(ISNA(MATCH($A5,قائمة_المخرجات,0)),"رقم مخرج غير موجود",IF($D5="","نوع الحركة ناقص",IF(NOT(ISNUMBER($E5)),"التاريخ ناقص",IF($E5&gt;تاريخ_الاحتساب,"تاريخ بعد تاريخ الاحتساب",IF(AND($D5&lt;&gt;"تسليم",COUNTIFS($A$5:$A$1504,$A5,$D$5:$D$1504,"تسليم",$E$5:$E$1504,"&lt;="&amp;$E5)=0),"لا يوجد تسليم قبل الحركة دي",""))))))</f>
        <v/>
      </c>
    </row>
    <row r="6" customFormat="false" ht="15" hidden="false" customHeight="false" outlineLevel="0" collapsed="false">
      <c r="A6" s="20" t="s">
        <v>101</v>
      </c>
      <c r="B6" s="35" t="n">
        <f aca="false">IF($A6="","",IFERROR(INDEX(مخرج_البند,MATCH($A6,قائمة_المخرجات,0)),""))</f>
        <v>1</v>
      </c>
      <c r="C6" s="30" t="str">
        <f aca="false">IF($A6="","",IFERROR(INDEX(مخرج_الوصف,MATCH($A6,قائمة_المخرجات,0)),""))</f>
        <v>وثيقة ميثاق المشروع</v>
      </c>
      <c r="D6" s="20" t="s">
        <v>136</v>
      </c>
      <c r="E6" s="31" t="n">
        <v>45705</v>
      </c>
      <c r="F6" s="22"/>
      <c r="G6" s="36" t="str">
        <f aca="false">IF(OR($A6="",$D6&lt;&gt;"تسليم",NOT(ISNUMBER($E6))),"",COUNTIFS($A$5:$A$1504,$A6,$D$5:$D$1504,"تسليم",$E$5:$E$1504,"&lt;"&amp;$E6)+1)</f>
        <v/>
      </c>
      <c r="H6" s="33" t="str">
        <f aca="false">IF($G6="","",_xlfn.MINIFS($E$5:$E$1504,$A$5:$A$1504,$A6,$D$5:$D$1504,"&lt;&gt;تسليم",$E$5:$E$1504,"&gt;="&amp;$E6))</f>
        <v/>
      </c>
      <c r="I6" s="33" t="str">
        <f aca="false">IF($G6="","",_xlfn.MINIFS($E$5:$E$1504,$A$5:$A$1504,$A6,$D$5:$D$1504,"تسليم",$E$5:$E$1504,"&gt;"&amp;$E6))</f>
        <v/>
      </c>
      <c r="J6" s="33" t="str">
        <f aca="false">IF($G6="","",IF(H6&gt;0,IF(I6&gt;0,MIN(H6,I6),H6),IF(I6&gt;0,I6,تاريخ_الاحتساب)))</f>
        <v/>
      </c>
      <c r="K6" s="34" t="str">
        <f aca="false">IF($G6="","",IF(AND(H6=0,I6=0),"جارية","مغلقة"))</f>
        <v/>
      </c>
      <c r="L6" s="26" t="str">
        <f aca="false">IF($G6="","",MAX(0,NETWORKDAYS.INTL($E6,J6,رمز_العطلة,أيام_الأجازات)-1))</f>
        <v/>
      </c>
      <c r="M6" s="26" t="str">
        <f aca="false">IF($G6="","",MAX(0,L6-مهلة_المراجعة))</f>
        <v/>
      </c>
      <c r="N6" s="30" t="str">
        <f aca="false">IF($A6="",IF(OR($D6&lt;&gt;"",$E6&lt;&gt;""),"رقم المخرج ناقص",""),IF(ISNA(MATCH($A6,قائمة_المخرجات,0)),"رقم مخرج غير موجود",IF($D6="","نوع الحركة ناقص",IF(NOT(ISNUMBER($E6)),"التاريخ ناقص",IF($E6&gt;تاريخ_الاحتساب,"تاريخ بعد تاريخ الاحتساب",IF(AND($D6&lt;&gt;"تسليم",COUNTIFS($A$5:$A$1504,$A6,$D$5:$D$1504,"تسليم",$E$5:$E$1504,"&lt;="&amp;$E6)=0),"لا يوجد تسليم قبل الحركة دي",""))))))</f>
        <v/>
      </c>
    </row>
    <row r="7" customFormat="false" ht="15" hidden="false" customHeight="false" outlineLevel="0" collapsed="false">
      <c r="A7" s="20" t="s">
        <v>103</v>
      </c>
      <c r="B7" s="35" t="n">
        <f aca="false">IF($A7="","",IFERROR(INDEX(مخرج_البند,MATCH($A7,قائمة_المخرجات,0)),""))</f>
        <v>1</v>
      </c>
      <c r="C7" s="30" t="str">
        <f aca="false">IF($A7="","",IFERROR(INDEX(مخرج_الوصف,MATCH($A7,قائمة_المخرجات,0)),""))</f>
        <v>الخطة التفصيلية للمشروع</v>
      </c>
      <c r="D7" s="20" t="s">
        <v>135</v>
      </c>
      <c r="E7" s="31" t="n">
        <v>45698</v>
      </c>
      <c r="F7" s="22"/>
      <c r="G7" s="36" t="n">
        <f aca="false">IF(OR($A7="",$D7&lt;&gt;"تسليم",NOT(ISNUMBER($E7))),"",COUNTIFS($A$5:$A$1504,$A7,$D$5:$D$1504,"تسليم",$E$5:$E$1504,"&lt;"&amp;$E7)+1)</f>
        <v>1</v>
      </c>
      <c r="H7" s="33" t="n">
        <f aca="false">IF($G7="","",_xlfn.MINIFS($E$5:$E$1504,$A$5:$A$1504,$A7,$D$5:$D$1504,"&lt;&gt;تسليم",$E$5:$E$1504,"&gt;="&amp;$E7))</f>
        <v>45721</v>
      </c>
      <c r="I7" s="33" t="n">
        <f aca="false">IF($G7="","",_xlfn.MINIFS($E$5:$E$1504,$A$5:$A$1504,$A7,$D$5:$D$1504,"تسليم",$E$5:$E$1504,"&gt;"&amp;$E7))</f>
        <v>45728</v>
      </c>
      <c r="J7" s="33" t="n">
        <f aca="false">IF($G7="","",IF(H7&gt;0,IF(I7&gt;0,MIN(H7,I7),H7),IF(I7&gt;0,I7,تاريخ_الاحتساب)))</f>
        <v>45721</v>
      </c>
      <c r="K7" s="34" t="str">
        <f aca="false">IF($G7="","",IF(AND(H7=0,I7=0),"جارية","مغلقة"))</f>
        <v>مغلقة</v>
      </c>
      <c r="L7" s="26" t="n">
        <f aca="false">IF($G7="","",MAX(0,NETWORKDAYS.INTL($E7,J7,رمز_العطلة,أيام_الأجازات)-1))</f>
        <v>17</v>
      </c>
      <c r="M7" s="26" t="n">
        <f aca="false">IF($G7="","",MAX(0,L7-مهلة_المراجعة))</f>
        <v>7</v>
      </c>
      <c r="N7" s="30" t="str">
        <f aca="false">IF($A7="",IF(OR($D7&lt;&gt;"",$E7&lt;&gt;""),"رقم المخرج ناقص",""),IF(ISNA(MATCH($A7,قائمة_المخرجات,0)),"رقم مخرج غير موجود",IF($D7="","نوع الحركة ناقص",IF(NOT(ISNUMBER($E7)),"التاريخ ناقص",IF($E7&gt;تاريخ_الاحتساب,"تاريخ بعد تاريخ الاحتساب",IF(AND($D7&lt;&gt;"تسليم",COUNTIFS($A$5:$A$1504,$A7,$D$5:$D$1504,"تسليم",$E$5:$E$1504,"&lt;="&amp;$E7)=0),"لا يوجد تسليم قبل الحركة دي",""))))))</f>
        <v/>
      </c>
    </row>
    <row r="8" customFormat="false" ht="15" hidden="false" customHeight="false" outlineLevel="0" collapsed="false">
      <c r="A8" s="20" t="s">
        <v>103</v>
      </c>
      <c r="B8" s="35" t="n">
        <f aca="false">IF($A8="","",IFERROR(INDEX(مخرج_البند,MATCH($A8,قائمة_المخرجات,0)),""))</f>
        <v>1</v>
      </c>
      <c r="C8" s="30" t="str">
        <f aca="false">IF($A8="","",IFERROR(INDEX(مخرج_الوصف,MATCH($A8,قائمة_المخرجات,0)),""))</f>
        <v>الخطة التفصيلية للمشروع</v>
      </c>
      <c r="D8" s="20" t="s">
        <v>137</v>
      </c>
      <c r="E8" s="31" t="n">
        <v>45721</v>
      </c>
      <c r="F8" s="22"/>
      <c r="G8" s="36" t="str">
        <f aca="false">IF(OR($A8="",$D8&lt;&gt;"تسليم",NOT(ISNUMBER($E8))),"",COUNTIFS($A$5:$A$1504,$A8,$D$5:$D$1504,"تسليم",$E$5:$E$1504,"&lt;"&amp;$E8)+1)</f>
        <v/>
      </c>
      <c r="H8" s="33" t="str">
        <f aca="false">IF($G8="","",_xlfn.MINIFS($E$5:$E$1504,$A$5:$A$1504,$A8,$D$5:$D$1504,"&lt;&gt;تسليم",$E$5:$E$1504,"&gt;="&amp;$E8))</f>
        <v/>
      </c>
      <c r="I8" s="33" t="str">
        <f aca="false">IF($G8="","",_xlfn.MINIFS($E$5:$E$1504,$A$5:$A$1504,$A8,$D$5:$D$1504,"تسليم",$E$5:$E$1504,"&gt;"&amp;$E8))</f>
        <v/>
      </c>
      <c r="J8" s="33" t="str">
        <f aca="false">IF($G8="","",IF(H8&gt;0,IF(I8&gt;0,MIN(H8,I8),H8),IF(I8&gt;0,I8,تاريخ_الاحتساب)))</f>
        <v/>
      </c>
      <c r="K8" s="34" t="str">
        <f aca="false">IF($G8="","",IF(AND(H8=0,I8=0),"جارية","مغلقة"))</f>
        <v/>
      </c>
      <c r="L8" s="26" t="str">
        <f aca="false">IF($G8="","",MAX(0,NETWORKDAYS.INTL($E8,J8,رمز_العطلة,أيام_الأجازات)-1))</f>
        <v/>
      </c>
      <c r="M8" s="26" t="str">
        <f aca="false">IF($G8="","",MAX(0,L8-مهلة_المراجعة))</f>
        <v/>
      </c>
      <c r="N8" s="30" t="str">
        <f aca="false">IF($A8="",IF(OR($D8&lt;&gt;"",$E8&lt;&gt;""),"رقم المخرج ناقص",""),IF(ISNA(MATCH($A8,قائمة_المخرجات,0)),"رقم مخرج غير موجود",IF($D8="","نوع الحركة ناقص",IF(NOT(ISNUMBER($E8)),"التاريخ ناقص",IF($E8&gt;تاريخ_الاحتساب,"تاريخ بعد تاريخ الاحتساب",IF(AND($D8&lt;&gt;"تسليم",COUNTIFS($A$5:$A$1504,$A8,$D$5:$D$1504,"تسليم",$E$5:$E$1504,"&lt;="&amp;$E8)=0),"لا يوجد تسليم قبل الحركة دي",""))))))</f>
        <v/>
      </c>
    </row>
    <row r="9" customFormat="false" ht="15" hidden="false" customHeight="false" outlineLevel="0" collapsed="false">
      <c r="A9" s="20" t="s">
        <v>103</v>
      </c>
      <c r="B9" s="35" t="n">
        <f aca="false">IF($A9="","",IFERROR(INDEX(مخرج_البند,MATCH($A9,قائمة_المخرجات,0)),""))</f>
        <v>1</v>
      </c>
      <c r="C9" s="30" t="str">
        <f aca="false">IF($A9="","",IFERROR(INDEX(مخرج_الوصف,MATCH($A9,قائمة_المخرجات,0)),""))</f>
        <v>الخطة التفصيلية للمشروع</v>
      </c>
      <c r="D9" s="20" t="s">
        <v>135</v>
      </c>
      <c r="E9" s="31" t="n">
        <v>45728</v>
      </c>
      <c r="F9" s="22"/>
      <c r="G9" s="36" t="n">
        <f aca="false">IF(OR($A9="",$D9&lt;&gt;"تسليم",NOT(ISNUMBER($E9))),"",COUNTIFS($A$5:$A$1504,$A9,$D$5:$D$1504,"تسليم",$E$5:$E$1504,"&lt;"&amp;$E9)+1)</f>
        <v>2</v>
      </c>
      <c r="H9" s="33" t="n">
        <f aca="false">IF($G9="","",_xlfn.MINIFS($E$5:$E$1504,$A$5:$A$1504,$A9,$D$5:$D$1504,"&lt;&gt;تسليم",$E$5:$E$1504,"&gt;="&amp;$E9))</f>
        <v>45736</v>
      </c>
      <c r="I9" s="33" t="n">
        <f aca="false">IF($G9="","",_xlfn.MINIFS($E$5:$E$1504,$A$5:$A$1504,$A9,$D$5:$D$1504,"تسليم",$E$5:$E$1504,"&gt;"&amp;$E9))</f>
        <v>0</v>
      </c>
      <c r="J9" s="33" t="n">
        <f aca="false">IF($G9="","",IF(H9&gt;0,IF(I9&gt;0,MIN(H9,I9),H9),IF(I9&gt;0,I9,تاريخ_الاحتساب)))</f>
        <v>45736</v>
      </c>
      <c r="K9" s="34" t="str">
        <f aca="false">IF($G9="","",IF(AND(H9=0,I9=0),"جارية","مغلقة"))</f>
        <v>مغلقة</v>
      </c>
      <c r="L9" s="26" t="n">
        <f aca="false">IF($G9="","",MAX(0,NETWORKDAYS.INTL($E9,J9,رمز_العطلة,أيام_الأجازات)-1))</f>
        <v>6</v>
      </c>
      <c r="M9" s="26" t="n">
        <f aca="false">IF($G9="","",MAX(0,L9-مهلة_المراجعة))</f>
        <v>0</v>
      </c>
      <c r="N9" s="30" t="str">
        <f aca="false">IF($A9="",IF(OR($D9&lt;&gt;"",$E9&lt;&gt;""),"رقم المخرج ناقص",""),IF(ISNA(MATCH($A9,قائمة_المخرجات,0)),"رقم مخرج غير موجود",IF($D9="","نوع الحركة ناقص",IF(NOT(ISNUMBER($E9)),"التاريخ ناقص",IF($E9&gt;تاريخ_الاحتساب,"تاريخ بعد تاريخ الاحتساب",IF(AND($D9&lt;&gt;"تسليم",COUNTIFS($A$5:$A$1504,$A9,$D$5:$D$1504,"تسليم",$E$5:$E$1504,"&lt;="&amp;$E9)=0),"لا يوجد تسليم قبل الحركة دي",""))))))</f>
        <v/>
      </c>
    </row>
    <row r="10" customFormat="false" ht="15" hidden="false" customHeight="false" outlineLevel="0" collapsed="false">
      <c r="A10" s="20" t="s">
        <v>103</v>
      </c>
      <c r="B10" s="35" t="n">
        <f aca="false">IF($A10="","",IFERROR(INDEX(مخرج_البند,MATCH($A10,قائمة_المخرجات,0)),""))</f>
        <v>1</v>
      </c>
      <c r="C10" s="30" t="str">
        <f aca="false">IF($A10="","",IFERROR(INDEX(مخرج_الوصف,MATCH($A10,قائمة_المخرجات,0)),""))</f>
        <v>الخطة التفصيلية للمشروع</v>
      </c>
      <c r="D10" s="20" t="s">
        <v>136</v>
      </c>
      <c r="E10" s="31" t="n">
        <v>45736</v>
      </c>
      <c r="F10" s="22"/>
      <c r="G10" s="36" t="str">
        <f aca="false">IF(OR($A10="",$D10&lt;&gt;"تسليم",NOT(ISNUMBER($E10))),"",COUNTIFS($A$5:$A$1504,$A10,$D$5:$D$1504,"تسليم",$E$5:$E$1504,"&lt;"&amp;$E10)+1)</f>
        <v/>
      </c>
      <c r="H10" s="33" t="str">
        <f aca="false">IF($G10="","",_xlfn.MINIFS($E$5:$E$1504,$A$5:$A$1504,$A10,$D$5:$D$1504,"&lt;&gt;تسليم",$E$5:$E$1504,"&gt;="&amp;$E10))</f>
        <v/>
      </c>
      <c r="I10" s="33" t="str">
        <f aca="false">IF($G10="","",_xlfn.MINIFS($E$5:$E$1504,$A$5:$A$1504,$A10,$D$5:$D$1504,"تسليم",$E$5:$E$1504,"&gt;"&amp;$E10))</f>
        <v/>
      </c>
      <c r="J10" s="33" t="str">
        <f aca="false">IF($G10="","",IF(H10&gt;0,IF(I10&gt;0,MIN(H10,I10),H10),IF(I10&gt;0,I10,تاريخ_الاحتساب)))</f>
        <v/>
      </c>
      <c r="K10" s="34" t="str">
        <f aca="false">IF($G10="","",IF(AND(H10=0,I10=0),"جارية","مغلقة"))</f>
        <v/>
      </c>
      <c r="L10" s="26" t="str">
        <f aca="false">IF($G10="","",MAX(0,NETWORKDAYS.INTL($E10,J10,رمز_العطلة,أيام_الأجازات)-1))</f>
        <v/>
      </c>
      <c r="M10" s="26" t="str">
        <f aca="false">IF($G10="","",MAX(0,L10-مهلة_المراجعة))</f>
        <v/>
      </c>
      <c r="N10" s="30" t="str">
        <f aca="false">IF($A10="",IF(OR($D10&lt;&gt;"",$E10&lt;&gt;""),"رقم المخرج ناقص",""),IF(ISNA(MATCH($A10,قائمة_المخرجات,0)),"رقم مخرج غير موجود",IF($D10="","نوع الحركة ناقص",IF(NOT(ISNUMBER($E10)),"التاريخ ناقص",IF($E10&gt;تاريخ_الاحتساب,"تاريخ بعد تاريخ الاحتساب",IF(AND($D10&lt;&gt;"تسليم",COUNTIFS($A$5:$A$1504,$A10,$D$5:$D$1504,"تسليم",$E$5:$E$1504,"&lt;="&amp;$E10)=0),"لا يوجد تسليم قبل الحركة دي",""))))))</f>
        <v/>
      </c>
    </row>
    <row r="11" customFormat="false" ht="15" hidden="false" customHeight="false" outlineLevel="0" collapsed="false">
      <c r="A11" s="20" t="s">
        <v>105</v>
      </c>
      <c r="B11" s="35" t="n">
        <f aca="false">IF($A11="","",IFERROR(INDEX(مخرج_البند,MATCH($A11,قائمة_المخرجات,0)),""))</f>
        <v>2</v>
      </c>
      <c r="C11" s="30" t="str">
        <f aca="false">IF($A11="","",IFERROR(INDEX(مخرج_الوصف,MATCH($A11,قائمة_المخرجات,0)),""))</f>
        <v>وثيقة متطلبات - الدفعة 1</v>
      </c>
      <c r="D11" s="20" t="s">
        <v>135</v>
      </c>
      <c r="E11" s="31" t="n">
        <v>46082</v>
      </c>
      <c r="F11" s="22"/>
      <c r="G11" s="36" t="n">
        <f aca="false">IF(OR($A11="",$D11&lt;&gt;"تسليم",NOT(ISNUMBER($E11))),"",COUNTIFS($A$5:$A$1504,$A11,$D$5:$D$1504,"تسليم",$E$5:$E$1504,"&lt;"&amp;$E11)+1)</f>
        <v>1</v>
      </c>
      <c r="H11" s="33" t="n">
        <f aca="false">IF($G11="","",_xlfn.MINIFS($E$5:$E$1504,$A$5:$A$1504,$A11,$D$5:$D$1504,"&lt;&gt;تسليم",$E$5:$E$1504,"&gt;="&amp;$E11))</f>
        <v>46127</v>
      </c>
      <c r="I11" s="33" t="n">
        <f aca="false">IF($G11="","",_xlfn.MINIFS($E$5:$E$1504,$A$5:$A$1504,$A11,$D$5:$D$1504,"تسليم",$E$5:$E$1504,"&gt;"&amp;$E11))</f>
        <v>0</v>
      </c>
      <c r="J11" s="33" t="n">
        <f aca="false">IF($G11="","",IF(H11&gt;0,IF(I11&gt;0,MIN(H11,I11),H11),IF(I11&gt;0,I11,تاريخ_الاحتساب)))</f>
        <v>46127</v>
      </c>
      <c r="K11" s="34" t="str">
        <f aca="false">IF($G11="","",IF(AND(H11=0,I11=0),"جارية","مغلقة"))</f>
        <v>مغلقة</v>
      </c>
      <c r="L11" s="26" t="n">
        <f aca="false">IF($G11="","",MAX(0,NETWORKDAYS.INTL($E11,J11,رمز_العطلة,أيام_الأجازات)-1))</f>
        <v>31</v>
      </c>
      <c r="M11" s="26" t="n">
        <f aca="false">IF($G11="","",MAX(0,L11-مهلة_المراجعة))</f>
        <v>21</v>
      </c>
      <c r="N11" s="30" t="str">
        <f aca="false">IF($A11="",IF(OR($D11&lt;&gt;"",$E11&lt;&gt;""),"رقم المخرج ناقص",""),IF(ISNA(MATCH($A11,قائمة_المخرجات,0)),"رقم مخرج غير موجود",IF($D11="","نوع الحركة ناقص",IF(NOT(ISNUMBER($E11)),"التاريخ ناقص",IF($E11&gt;تاريخ_الاحتساب,"تاريخ بعد تاريخ الاحتساب",IF(AND($D11&lt;&gt;"تسليم",COUNTIFS($A$5:$A$1504,$A11,$D$5:$D$1504,"تسليم",$E$5:$E$1504,"&lt;="&amp;$E11)=0),"لا يوجد تسليم قبل الحركة دي",""))))))</f>
        <v/>
      </c>
    </row>
    <row r="12" customFormat="false" ht="15" hidden="false" customHeight="false" outlineLevel="0" collapsed="false">
      <c r="A12" s="20" t="s">
        <v>105</v>
      </c>
      <c r="B12" s="35" t="n">
        <f aca="false">IF($A12="","",IFERROR(INDEX(مخرج_البند,MATCH($A12,قائمة_المخرجات,0)),""))</f>
        <v>2</v>
      </c>
      <c r="C12" s="30" t="str">
        <f aca="false">IF($A12="","",IFERROR(INDEX(مخرج_الوصف,MATCH($A12,قائمة_المخرجات,0)),""))</f>
        <v>وثيقة متطلبات - الدفعة 1</v>
      </c>
      <c r="D12" s="20" t="s">
        <v>137</v>
      </c>
      <c r="E12" s="31" t="n">
        <v>46127</v>
      </c>
      <c r="F12" s="22"/>
      <c r="G12" s="36" t="str">
        <f aca="false">IF(OR($A12="",$D12&lt;&gt;"تسليم",NOT(ISNUMBER($E12))),"",COUNTIFS($A$5:$A$1504,$A12,$D$5:$D$1504,"تسليم",$E$5:$E$1504,"&lt;"&amp;$E12)+1)</f>
        <v/>
      </c>
      <c r="H12" s="33" t="str">
        <f aca="false">IF($G12="","",_xlfn.MINIFS($E$5:$E$1504,$A$5:$A$1504,$A12,$D$5:$D$1504,"&lt;&gt;تسليم",$E$5:$E$1504,"&gt;="&amp;$E12))</f>
        <v/>
      </c>
      <c r="I12" s="33" t="str">
        <f aca="false">IF($G12="","",_xlfn.MINIFS($E$5:$E$1504,$A$5:$A$1504,$A12,$D$5:$D$1504,"تسليم",$E$5:$E$1504,"&gt;"&amp;$E12))</f>
        <v/>
      </c>
      <c r="J12" s="33" t="str">
        <f aca="false">IF($G12="","",IF(H12&gt;0,IF(I12&gt;0,MIN(H12,I12),H12),IF(I12&gt;0,I12,تاريخ_الاحتساب)))</f>
        <v/>
      </c>
      <c r="K12" s="34" t="str">
        <f aca="false">IF($G12="","",IF(AND(H12=0,I12=0),"جارية","مغلقة"))</f>
        <v/>
      </c>
      <c r="L12" s="26" t="str">
        <f aca="false">IF($G12="","",MAX(0,NETWORKDAYS.INTL($E12,J12,رمز_العطلة,أيام_الأجازات)-1))</f>
        <v/>
      </c>
      <c r="M12" s="26" t="str">
        <f aca="false">IF($G12="","",MAX(0,L12-مهلة_المراجعة))</f>
        <v/>
      </c>
      <c r="N12" s="30" t="str">
        <f aca="false">IF($A12="",IF(OR($D12&lt;&gt;"",$E12&lt;&gt;""),"رقم المخرج ناقص",""),IF(ISNA(MATCH($A12,قائمة_المخرجات,0)),"رقم مخرج غير موجود",IF($D12="","نوع الحركة ناقص",IF(NOT(ISNUMBER($E12)),"التاريخ ناقص",IF($E12&gt;تاريخ_الاحتساب,"تاريخ بعد تاريخ الاحتساب",IF(AND($D12&lt;&gt;"تسليم",COUNTIFS($A$5:$A$1504,$A12,$D$5:$D$1504,"تسليم",$E$5:$E$1504,"&lt;="&amp;$E12)=0),"لا يوجد تسليم قبل الحركة دي",""))))))</f>
        <v/>
      </c>
    </row>
    <row r="13" customFormat="false" ht="15" hidden="false" customHeight="false" outlineLevel="0" collapsed="false">
      <c r="A13" s="20" t="s">
        <v>107</v>
      </c>
      <c r="B13" s="35" t="n">
        <f aca="false">IF($A13="","",IFERROR(INDEX(مخرج_البند,MATCH($A13,قائمة_المخرجات,0)),""))</f>
        <v>2</v>
      </c>
      <c r="C13" s="30" t="str">
        <f aca="false">IF($A13="","",IFERROR(INDEX(مخرج_الوصف,MATCH($A13,قائمة_المخرجات,0)),""))</f>
        <v>وثيقة متطلبات - الدفعة 2</v>
      </c>
      <c r="D13" s="20" t="s">
        <v>135</v>
      </c>
      <c r="E13" s="31" t="n">
        <v>46054</v>
      </c>
      <c r="F13" s="22"/>
      <c r="G13" s="36" t="n">
        <f aca="false">IF(OR($A13="",$D13&lt;&gt;"تسليم",NOT(ISNUMBER($E13))),"",COUNTIFS($A$5:$A$1504,$A13,$D$5:$D$1504,"تسليم",$E$5:$E$1504,"&lt;"&amp;$E13)+1)</f>
        <v>1</v>
      </c>
      <c r="H13" s="33" t="n">
        <f aca="false">IF($G13="","",_xlfn.MINIFS($E$5:$E$1504,$A$5:$A$1504,$A13,$D$5:$D$1504,"&lt;&gt;تسليم",$E$5:$E$1504,"&gt;="&amp;$E13))</f>
        <v>0</v>
      </c>
      <c r="I13" s="33" t="n">
        <f aca="false">IF($G13="","",_xlfn.MINIFS($E$5:$E$1504,$A$5:$A$1504,$A13,$D$5:$D$1504,"تسليم",$E$5:$E$1504,"&gt;"&amp;$E13))</f>
        <v>46152</v>
      </c>
      <c r="J13" s="33" t="n">
        <f aca="false">IF($G13="","",IF(H13&gt;0,IF(I13&gt;0,MIN(H13,I13),H13),IF(I13&gt;0,I13,تاريخ_الاحتساب)))</f>
        <v>46152</v>
      </c>
      <c r="K13" s="34" t="str">
        <f aca="false">IF($G13="","",IF(AND(H13=0,I13=0),"جارية","مغلقة"))</f>
        <v>مغلقة</v>
      </c>
      <c r="L13" s="26" t="n">
        <f aca="false">IF($G13="","",MAX(0,NETWORKDAYS.INTL($E13,J13,رمز_العطلة,أيام_الأجازات)-1))</f>
        <v>67</v>
      </c>
      <c r="M13" s="26" t="n">
        <f aca="false">IF($G13="","",MAX(0,L13-مهلة_المراجعة))</f>
        <v>57</v>
      </c>
      <c r="N13" s="30" t="str">
        <f aca="false">IF($A13="",IF(OR($D13&lt;&gt;"",$E13&lt;&gt;""),"رقم المخرج ناقص",""),IF(ISNA(MATCH($A13,قائمة_المخرجات,0)),"رقم مخرج غير موجود",IF($D13="","نوع الحركة ناقص",IF(NOT(ISNUMBER($E13)),"التاريخ ناقص",IF($E13&gt;تاريخ_الاحتساب,"تاريخ بعد تاريخ الاحتساب",IF(AND($D13&lt;&gt;"تسليم",COUNTIFS($A$5:$A$1504,$A13,$D$5:$D$1504,"تسليم",$E$5:$E$1504,"&lt;="&amp;$E13)=0),"لا يوجد تسليم قبل الحركة دي",""))))))</f>
        <v/>
      </c>
    </row>
    <row r="14" customFormat="false" ht="15" hidden="false" customHeight="false" outlineLevel="0" collapsed="false">
      <c r="A14" s="20" t="s">
        <v>107</v>
      </c>
      <c r="B14" s="35" t="n">
        <f aca="false">IF($A14="","",IFERROR(INDEX(مخرج_البند,MATCH($A14,قائمة_المخرجات,0)),""))</f>
        <v>2</v>
      </c>
      <c r="C14" s="30" t="str">
        <f aca="false">IF($A14="","",IFERROR(INDEX(مخرج_الوصف,MATCH($A14,قائمة_المخرجات,0)),""))</f>
        <v>وثيقة متطلبات - الدفعة 2</v>
      </c>
      <c r="D14" s="20" t="s">
        <v>135</v>
      </c>
      <c r="E14" s="31" t="n">
        <v>46152</v>
      </c>
      <c r="F14" s="22"/>
      <c r="G14" s="36" t="n">
        <f aca="false">IF(OR($A14="",$D14&lt;&gt;"تسليم",NOT(ISNUMBER($E14))),"",COUNTIFS($A$5:$A$1504,$A14,$D$5:$D$1504,"تسليم",$E$5:$E$1504,"&lt;"&amp;$E14)+1)</f>
        <v>2</v>
      </c>
      <c r="H14" s="33" t="n">
        <f aca="false">IF($G14="","",_xlfn.MINIFS($E$5:$E$1504,$A$5:$A$1504,$A14,$D$5:$D$1504,"&lt;&gt;تسليم",$E$5:$E$1504,"&gt;="&amp;$E14))</f>
        <v>0</v>
      </c>
      <c r="I14" s="33" t="n">
        <f aca="false">IF($G14="","",_xlfn.MINIFS($E$5:$E$1504,$A$5:$A$1504,$A14,$D$5:$D$1504,"تسليم",$E$5:$E$1504,"&gt;"&amp;$E14))</f>
        <v>0</v>
      </c>
      <c r="J14" s="33" t="n">
        <f aca="false">IF($G14="","",IF(H14&gt;0,IF(I14&gt;0,MIN(H14,I14),H14),IF(I14&gt;0,I14,تاريخ_الاحتساب)))</f>
        <v>46203</v>
      </c>
      <c r="K14" s="34" t="str">
        <f aca="false">IF($G14="","",IF(AND(H14=0,I14=0),"جارية","مغلقة"))</f>
        <v>جارية</v>
      </c>
      <c r="L14" s="26" t="n">
        <f aca="false">IF($G14="","",MAX(0,NETWORKDAYS.INTL($E14,J14,رمز_العطلة,أيام_الأجازات)-1))</f>
        <v>34</v>
      </c>
      <c r="M14" s="26" t="n">
        <f aca="false">IF($G14="","",MAX(0,L14-مهلة_المراجعة))</f>
        <v>24</v>
      </c>
      <c r="N14" s="30" t="str">
        <f aca="false">IF($A14="",IF(OR($D14&lt;&gt;"",$E14&lt;&gt;""),"رقم المخرج ناقص",""),IF(ISNA(MATCH($A14,قائمة_المخرجات,0)),"رقم مخرج غير موجود",IF($D14="","نوع الحركة ناقص",IF(NOT(ISNUMBER($E14)),"التاريخ ناقص",IF($E14&gt;تاريخ_الاحتساب,"تاريخ بعد تاريخ الاحتساب",IF(AND($D14&lt;&gt;"تسليم",COUNTIFS($A$5:$A$1504,$A14,$D$5:$D$1504,"تسليم",$E$5:$E$1504,"&lt;="&amp;$E14)=0),"لا يوجد تسليم قبل الحركة دي",""))))))</f>
        <v/>
      </c>
    </row>
    <row r="15" customFormat="false" ht="15" hidden="false" customHeight="false" outlineLevel="0" collapsed="false">
      <c r="A15" s="20" t="s">
        <v>116</v>
      </c>
      <c r="B15" s="35" t="str">
        <f aca="false">IF($A15="","",IFERROR(INDEX(مخرج_البند,MATCH($A15,قائمة_المخرجات,0)),""))</f>
        <v>3.أ</v>
      </c>
      <c r="C15" s="30" t="str">
        <f aca="false">IF($A15="","",IFERROR(INDEX(مخرج_الوصف,MATCH($A15,قائمة_المخرجات,0)),""))</f>
        <v>تقرير تطوير الخدمات 1</v>
      </c>
      <c r="D15" s="20" t="s">
        <v>135</v>
      </c>
      <c r="E15" s="31" t="n">
        <v>46174</v>
      </c>
      <c r="F15" s="22"/>
      <c r="G15" s="36" t="n">
        <f aca="false">IF(OR($A15="",$D15&lt;&gt;"تسليم",NOT(ISNUMBER($E15))),"",COUNTIFS($A$5:$A$1504,$A15,$D$5:$D$1504,"تسليم",$E$5:$E$1504,"&lt;"&amp;$E15)+1)</f>
        <v>1</v>
      </c>
      <c r="H15" s="33" t="n">
        <f aca="false">IF($G15="","",_xlfn.MINIFS($E$5:$E$1504,$A$5:$A$1504,$A15,$D$5:$D$1504,"&lt;&gt;تسليم",$E$5:$E$1504,"&gt;="&amp;$E15))</f>
        <v>0</v>
      </c>
      <c r="I15" s="33" t="n">
        <f aca="false">IF($G15="","",_xlfn.MINIFS($E$5:$E$1504,$A$5:$A$1504,$A15,$D$5:$D$1504,"تسليم",$E$5:$E$1504,"&gt;"&amp;$E15))</f>
        <v>0</v>
      </c>
      <c r="J15" s="33" t="n">
        <f aca="false">IF($G15="","",IF(H15&gt;0,IF(I15&gt;0,MIN(H15,I15),H15),IF(I15&gt;0,I15,تاريخ_الاحتساب)))</f>
        <v>46203</v>
      </c>
      <c r="K15" s="34" t="str">
        <f aca="false">IF($G15="","",IF(AND(H15=0,I15=0),"جارية","مغلقة"))</f>
        <v>جارية</v>
      </c>
      <c r="L15" s="26" t="n">
        <f aca="false">IF($G15="","",MAX(0,NETWORKDAYS.INTL($E15,J15,رمز_العطلة,أيام_الأجازات)-1))</f>
        <v>21</v>
      </c>
      <c r="M15" s="26" t="n">
        <f aca="false">IF($G15="","",MAX(0,L15-مهلة_المراجعة))</f>
        <v>11</v>
      </c>
      <c r="N15" s="30" t="str">
        <f aca="false">IF($A15="",IF(OR($D15&lt;&gt;"",$E15&lt;&gt;""),"رقم المخرج ناقص",""),IF(ISNA(MATCH($A15,قائمة_المخرجات,0)),"رقم مخرج غير موجود",IF($D15="","نوع الحركة ناقص",IF(NOT(ISNUMBER($E15)),"التاريخ ناقص",IF($E15&gt;تاريخ_الاحتساب,"تاريخ بعد تاريخ الاحتساب",IF(AND($D15&lt;&gt;"تسليم",COUNTIFS($A$5:$A$1504,$A15,$D$5:$D$1504,"تسليم",$E$5:$E$1504,"&lt;="&amp;$E15)=0),"لا يوجد تسليم قبل الحركة دي",""))))))</f>
        <v/>
      </c>
    </row>
    <row r="16" customFormat="false" ht="15" hidden="false" customHeight="false" outlineLevel="0" collapsed="false">
      <c r="A16" s="20"/>
      <c r="B16" s="35" t="str">
        <f aca="false">IF($A16="","",IFERROR(INDEX(مخرج_البند,MATCH($A16,قائمة_المخرجات,0)),""))</f>
        <v/>
      </c>
      <c r="C16" s="30" t="str">
        <f aca="false">IF($A16="","",IFERROR(INDEX(مخرج_الوصف,MATCH($A16,قائمة_المخرجات,0)),""))</f>
        <v/>
      </c>
      <c r="D16" s="20"/>
      <c r="E16" s="31"/>
      <c r="F16" s="22"/>
      <c r="G16" s="36" t="str">
        <f aca="false">IF(OR($A16="",$D16&lt;&gt;"تسليم",NOT(ISNUMBER($E16))),"",COUNTIFS($A$5:$A$1504,$A16,$D$5:$D$1504,"تسليم",$E$5:$E$1504,"&lt;"&amp;$E16)+1)</f>
        <v/>
      </c>
      <c r="H16" s="33" t="str">
        <f aca="false">IF($G16="","",_xlfn.MINIFS($E$5:$E$1504,$A$5:$A$1504,$A16,$D$5:$D$1504,"&lt;&gt;تسليم",$E$5:$E$1504,"&gt;="&amp;$E16))</f>
        <v/>
      </c>
      <c r="I16" s="33" t="str">
        <f aca="false">IF($G16="","",_xlfn.MINIFS($E$5:$E$1504,$A$5:$A$1504,$A16,$D$5:$D$1504,"تسليم",$E$5:$E$1504,"&gt;"&amp;$E16))</f>
        <v/>
      </c>
      <c r="J16" s="33" t="str">
        <f aca="false">IF($G16="","",IF(H16&gt;0,IF(I16&gt;0,MIN(H16,I16),H16),IF(I16&gt;0,I16,تاريخ_الاحتساب)))</f>
        <v/>
      </c>
      <c r="K16" s="34" t="str">
        <f aca="false">IF($G16="","",IF(AND(H16=0,I16=0),"جارية","مغلقة"))</f>
        <v/>
      </c>
      <c r="L16" s="26" t="str">
        <f aca="false">IF($G16="","",MAX(0,NETWORKDAYS.INTL($E16,J16,رمز_العطلة,أيام_الأجازات)-1))</f>
        <v/>
      </c>
      <c r="M16" s="26" t="str">
        <f aca="false">IF($G16="","",MAX(0,L16-مهلة_المراجعة))</f>
        <v/>
      </c>
      <c r="N16" s="30" t="str">
        <f aca="false">IF($A16="",IF(OR($D16&lt;&gt;"",$E16&lt;&gt;""),"رقم المخرج ناقص",""),IF(ISNA(MATCH($A16,قائمة_المخرجات,0)),"رقم مخرج غير موجود",IF($D16="","نوع الحركة ناقص",IF(NOT(ISNUMBER($E16)),"التاريخ ناقص",IF($E16&gt;تاريخ_الاحتساب,"تاريخ بعد تاريخ الاحتساب",IF(AND($D16&lt;&gt;"تسليم",COUNTIFS($A$5:$A$1504,$A16,$D$5:$D$1504,"تسليم",$E$5:$E$1504,"&lt;="&amp;$E16)=0),"لا يوجد تسليم قبل الحركة دي",""))))))</f>
        <v/>
      </c>
    </row>
    <row r="17" customFormat="false" ht="15" hidden="false" customHeight="false" outlineLevel="0" collapsed="false">
      <c r="A17" s="20"/>
      <c r="B17" s="35" t="str">
        <f aca="false">IF($A17="","",IFERROR(INDEX(مخرج_البند,MATCH($A17,قائمة_المخرجات,0)),""))</f>
        <v/>
      </c>
      <c r="C17" s="30" t="str">
        <f aca="false">IF($A17="","",IFERROR(INDEX(مخرج_الوصف,MATCH($A17,قائمة_المخرجات,0)),""))</f>
        <v/>
      </c>
      <c r="D17" s="20"/>
      <c r="E17" s="31"/>
      <c r="F17" s="22"/>
      <c r="G17" s="36" t="str">
        <f aca="false">IF(OR($A17="",$D17&lt;&gt;"تسليم",NOT(ISNUMBER($E17))),"",COUNTIFS($A$5:$A$1504,$A17,$D$5:$D$1504,"تسليم",$E$5:$E$1504,"&lt;"&amp;$E17)+1)</f>
        <v/>
      </c>
      <c r="H17" s="33" t="str">
        <f aca="false">IF($G17="","",_xlfn.MINIFS($E$5:$E$1504,$A$5:$A$1504,$A17,$D$5:$D$1504,"&lt;&gt;تسليم",$E$5:$E$1504,"&gt;="&amp;$E17))</f>
        <v/>
      </c>
      <c r="I17" s="33" t="str">
        <f aca="false">IF($G17="","",_xlfn.MINIFS($E$5:$E$1504,$A$5:$A$1504,$A17,$D$5:$D$1504,"تسليم",$E$5:$E$1504,"&gt;"&amp;$E17))</f>
        <v/>
      </c>
      <c r="J17" s="33" t="str">
        <f aca="false">IF($G17="","",IF(H17&gt;0,IF(I17&gt;0,MIN(H17,I17),H17),IF(I17&gt;0,I17,تاريخ_الاحتساب)))</f>
        <v/>
      </c>
      <c r="K17" s="34" t="str">
        <f aca="false">IF($G17="","",IF(AND(H17=0,I17=0),"جارية","مغلقة"))</f>
        <v/>
      </c>
      <c r="L17" s="26" t="str">
        <f aca="false">IF($G17="","",MAX(0,NETWORKDAYS.INTL($E17,J17,رمز_العطلة,أيام_الأجازات)-1))</f>
        <v/>
      </c>
      <c r="M17" s="26" t="str">
        <f aca="false">IF($G17="","",MAX(0,L17-مهلة_المراجعة))</f>
        <v/>
      </c>
      <c r="N17" s="30" t="str">
        <f aca="false">IF($A17="",IF(OR($D17&lt;&gt;"",$E17&lt;&gt;""),"رقم المخرج ناقص",""),IF(ISNA(MATCH($A17,قائمة_المخرجات,0)),"رقم مخرج غير موجود",IF($D17="","نوع الحركة ناقص",IF(NOT(ISNUMBER($E17)),"التاريخ ناقص",IF($E17&gt;تاريخ_الاحتساب,"تاريخ بعد تاريخ الاحتساب",IF(AND($D17&lt;&gt;"تسليم",COUNTIFS($A$5:$A$1504,$A17,$D$5:$D$1504,"تسليم",$E$5:$E$1504,"&lt;="&amp;$E17)=0),"لا يوجد تسليم قبل الحركة دي",""))))))</f>
        <v/>
      </c>
    </row>
    <row r="18" customFormat="false" ht="15" hidden="false" customHeight="false" outlineLevel="0" collapsed="false">
      <c r="A18" s="20"/>
      <c r="B18" s="35" t="str">
        <f aca="false">IF($A18="","",IFERROR(INDEX(مخرج_البند,MATCH($A18,قائمة_المخرجات,0)),""))</f>
        <v/>
      </c>
      <c r="C18" s="30" t="str">
        <f aca="false">IF($A18="","",IFERROR(INDEX(مخرج_الوصف,MATCH($A18,قائمة_المخرجات,0)),""))</f>
        <v/>
      </c>
      <c r="D18" s="20"/>
      <c r="E18" s="31"/>
      <c r="F18" s="22"/>
      <c r="G18" s="36" t="str">
        <f aca="false">IF(OR($A18="",$D18&lt;&gt;"تسليم",NOT(ISNUMBER($E18))),"",COUNTIFS($A$5:$A$1504,$A18,$D$5:$D$1504,"تسليم",$E$5:$E$1504,"&lt;"&amp;$E18)+1)</f>
        <v/>
      </c>
      <c r="H18" s="33" t="str">
        <f aca="false">IF($G18="","",_xlfn.MINIFS($E$5:$E$1504,$A$5:$A$1504,$A18,$D$5:$D$1504,"&lt;&gt;تسليم",$E$5:$E$1504,"&gt;="&amp;$E18))</f>
        <v/>
      </c>
      <c r="I18" s="33" t="str">
        <f aca="false">IF($G18="","",_xlfn.MINIFS($E$5:$E$1504,$A$5:$A$1504,$A18,$D$5:$D$1504,"تسليم",$E$5:$E$1504,"&gt;"&amp;$E18))</f>
        <v/>
      </c>
      <c r="J18" s="33" t="str">
        <f aca="false">IF($G18="","",IF(H18&gt;0,IF(I18&gt;0,MIN(H18,I18),H18),IF(I18&gt;0,I18,تاريخ_الاحتساب)))</f>
        <v/>
      </c>
      <c r="K18" s="34" t="str">
        <f aca="false">IF($G18="","",IF(AND(H18=0,I18=0),"جارية","مغلقة"))</f>
        <v/>
      </c>
      <c r="L18" s="26" t="str">
        <f aca="false">IF($G18="","",MAX(0,NETWORKDAYS.INTL($E18,J18,رمز_العطلة,أيام_الأجازات)-1))</f>
        <v/>
      </c>
      <c r="M18" s="26" t="str">
        <f aca="false">IF($G18="","",MAX(0,L18-مهلة_المراجعة))</f>
        <v/>
      </c>
      <c r="N18" s="30" t="str">
        <f aca="false">IF($A18="",IF(OR($D18&lt;&gt;"",$E18&lt;&gt;""),"رقم المخرج ناقص",""),IF(ISNA(MATCH($A18,قائمة_المخرجات,0)),"رقم مخرج غير موجود",IF($D18="","نوع الحركة ناقص",IF(NOT(ISNUMBER($E18)),"التاريخ ناقص",IF($E18&gt;تاريخ_الاحتساب,"تاريخ بعد تاريخ الاحتساب",IF(AND($D18&lt;&gt;"تسليم",COUNTIFS($A$5:$A$1504,$A18,$D$5:$D$1504,"تسليم",$E$5:$E$1504,"&lt;="&amp;$E18)=0),"لا يوجد تسليم قبل الحركة دي",""))))))</f>
        <v/>
      </c>
    </row>
    <row r="19" customFormat="false" ht="15" hidden="false" customHeight="false" outlineLevel="0" collapsed="false">
      <c r="A19" s="20"/>
      <c r="B19" s="35" t="str">
        <f aca="false">IF($A19="","",IFERROR(INDEX(مخرج_البند,MATCH($A19,قائمة_المخرجات,0)),""))</f>
        <v/>
      </c>
      <c r="C19" s="30" t="str">
        <f aca="false">IF($A19="","",IFERROR(INDEX(مخرج_الوصف,MATCH($A19,قائمة_المخرجات,0)),""))</f>
        <v/>
      </c>
      <c r="D19" s="20"/>
      <c r="E19" s="31"/>
      <c r="F19" s="22"/>
      <c r="G19" s="36" t="str">
        <f aca="false">IF(OR($A19="",$D19&lt;&gt;"تسليم",NOT(ISNUMBER($E19))),"",COUNTIFS($A$5:$A$1504,$A19,$D$5:$D$1504,"تسليم",$E$5:$E$1504,"&lt;"&amp;$E19)+1)</f>
        <v/>
      </c>
      <c r="H19" s="33" t="str">
        <f aca="false">IF($G19="","",_xlfn.MINIFS($E$5:$E$1504,$A$5:$A$1504,$A19,$D$5:$D$1504,"&lt;&gt;تسليم",$E$5:$E$1504,"&gt;="&amp;$E19))</f>
        <v/>
      </c>
      <c r="I19" s="33" t="str">
        <f aca="false">IF($G19="","",_xlfn.MINIFS($E$5:$E$1504,$A$5:$A$1504,$A19,$D$5:$D$1504,"تسليم",$E$5:$E$1504,"&gt;"&amp;$E19))</f>
        <v/>
      </c>
      <c r="J19" s="33" t="str">
        <f aca="false">IF($G19="","",IF(H19&gt;0,IF(I19&gt;0,MIN(H19,I19),H19),IF(I19&gt;0,I19,تاريخ_الاحتساب)))</f>
        <v/>
      </c>
      <c r="K19" s="34" t="str">
        <f aca="false">IF($G19="","",IF(AND(H19=0,I19=0),"جارية","مغلقة"))</f>
        <v/>
      </c>
      <c r="L19" s="26" t="str">
        <f aca="false">IF($G19="","",MAX(0,NETWORKDAYS.INTL($E19,J19,رمز_العطلة,أيام_الأجازات)-1))</f>
        <v/>
      </c>
      <c r="M19" s="26" t="str">
        <f aca="false">IF($G19="","",MAX(0,L19-مهلة_المراجعة))</f>
        <v/>
      </c>
      <c r="N19" s="30" t="str">
        <f aca="false">IF($A19="",IF(OR($D19&lt;&gt;"",$E19&lt;&gt;""),"رقم المخرج ناقص",""),IF(ISNA(MATCH($A19,قائمة_المخرجات,0)),"رقم مخرج غير موجود",IF($D19="","نوع الحركة ناقص",IF(NOT(ISNUMBER($E19)),"التاريخ ناقص",IF($E19&gt;تاريخ_الاحتساب,"تاريخ بعد تاريخ الاحتساب",IF(AND($D19&lt;&gt;"تسليم",COUNTIFS($A$5:$A$1504,$A19,$D$5:$D$1504,"تسليم",$E$5:$E$1504,"&lt;="&amp;$E19)=0),"لا يوجد تسليم قبل الحركة دي",""))))))</f>
        <v/>
      </c>
    </row>
    <row r="20" customFormat="false" ht="15" hidden="false" customHeight="false" outlineLevel="0" collapsed="false">
      <c r="A20" s="20"/>
      <c r="B20" s="35" t="str">
        <f aca="false">IF($A20="","",IFERROR(INDEX(مخرج_البند,MATCH($A20,قائمة_المخرجات,0)),""))</f>
        <v/>
      </c>
      <c r="C20" s="30" t="str">
        <f aca="false">IF($A20="","",IFERROR(INDEX(مخرج_الوصف,MATCH($A20,قائمة_المخرجات,0)),""))</f>
        <v/>
      </c>
      <c r="D20" s="20"/>
      <c r="E20" s="31"/>
      <c r="F20" s="22"/>
      <c r="G20" s="36" t="str">
        <f aca="false">IF(OR($A20="",$D20&lt;&gt;"تسليم",NOT(ISNUMBER($E20))),"",COUNTIFS($A$5:$A$1504,$A20,$D$5:$D$1504,"تسليم",$E$5:$E$1504,"&lt;"&amp;$E20)+1)</f>
        <v/>
      </c>
      <c r="H20" s="33" t="str">
        <f aca="false">IF($G20="","",_xlfn.MINIFS($E$5:$E$1504,$A$5:$A$1504,$A20,$D$5:$D$1504,"&lt;&gt;تسليم",$E$5:$E$1504,"&gt;="&amp;$E20))</f>
        <v/>
      </c>
      <c r="I20" s="33" t="str">
        <f aca="false">IF($G20="","",_xlfn.MINIFS($E$5:$E$1504,$A$5:$A$1504,$A20,$D$5:$D$1504,"تسليم",$E$5:$E$1504,"&gt;"&amp;$E20))</f>
        <v/>
      </c>
      <c r="J20" s="33" t="str">
        <f aca="false">IF($G20="","",IF(H20&gt;0,IF(I20&gt;0,MIN(H20,I20),H20),IF(I20&gt;0,I20,تاريخ_الاحتساب)))</f>
        <v/>
      </c>
      <c r="K20" s="34" t="str">
        <f aca="false">IF($G20="","",IF(AND(H20=0,I20=0),"جارية","مغلقة"))</f>
        <v/>
      </c>
      <c r="L20" s="26" t="str">
        <f aca="false">IF($G20="","",MAX(0,NETWORKDAYS.INTL($E20,J20,رمز_العطلة,أيام_الأجازات)-1))</f>
        <v/>
      </c>
      <c r="M20" s="26" t="str">
        <f aca="false">IF($G20="","",MAX(0,L20-مهلة_المراجعة))</f>
        <v/>
      </c>
      <c r="N20" s="30" t="str">
        <f aca="false">IF($A20="",IF(OR($D20&lt;&gt;"",$E20&lt;&gt;""),"رقم المخرج ناقص",""),IF(ISNA(MATCH($A20,قائمة_المخرجات,0)),"رقم مخرج غير موجود",IF($D20="","نوع الحركة ناقص",IF(NOT(ISNUMBER($E20)),"التاريخ ناقص",IF($E20&gt;تاريخ_الاحتساب,"تاريخ بعد تاريخ الاحتساب",IF(AND($D20&lt;&gt;"تسليم",COUNTIFS($A$5:$A$1504,$A20,$D$5:$D$1504,"تسليم",$E$5:$E$1504,"&lt;="&amp;$E20)=0),"لا يوجد تسليم قبل الحركة دي",""))))))</f>
        <v/>
      </c>
    </row>
    <row r="21" customFormat="false" ht="15" hidden="false" customHeight="false" outlineLevel="0" collapsed="false">
      <c r="A21" s="20"/>
      <c r="B21" s="35" t="str">
        <f aca="false">IF($A21="","",IFERROR(INDEX(مخرج_البند,MATCH($A21,قائمة_المخرجات,0)),""))</f>
        <v/>
      </c>
      <c r="C21" s="30" t="str">
        <f aca="false">IF($A21="","",IFERROR(INDEX(مخرج_الوصف,MATCH($A21,قائمة_المخرجات,0)),""))</f>
        <v/>
      </c>
      <c r="D21" s="20"/>
      <c r="E21" s="31"/>
      <c r="F21" s="22"/>
      <c r="G21" s="36" t="str">
        <f aca="false">IF(OR($A21="",$D21&lt;&gt;"تسليم",NOT(ISNUMBER($E21))),"",COUNTIFS($A$5:$A$1504,$A21,$D$5:$D$1504,"تسليم",$E$5:$E$1504,"&lt;"&amp;$E21)+1)</f>
        <v/>
      </c>
      <c r="H21" s="33" t="str">
        <f aca="false">IF($G21="","",_xlfn.MINIFS($E$5:$E$1504,$A$5:$A$1504,$A21,$D$5:$D$1504,"&lt;&gt;تسليم",$E$5:$E$1504,"&gt;="&amp;$E21))</f>
        <v/>
      </c>
      <c r="I21" s="33" t="str">
        <f aca="false">IF($G21="","",_xlfn.MINIFS($E$5:$E$1504,$A$5:$A$1504,$A21,$D$5:$D$1504,"تسليم",$E$5:$E$1504,"&gt;"&amp;$E21))</f>
        <v/>
      </c>
      <c r="J21" s="33" t="str">
        <f aca="false">IF($G21="","",IF(H21&gt;0,IF(I21&gt;0,MIN(H21,I21),H21),IF(I21&gt;0,I21,تاريخ_الاحتساب)))</f>
        <v/>
      </c>
      <c r="K21" s="34" t="str">
        <f aca="false">IF($G21="","",IF(AND(H21=0,I21=0),"جارية","مغلقة"))</f>
        <v/>
      </c>
      <c r="L21" s="26" t="str">
        <f aca="false">IF($G21="","",MAX(0,NETWORKDAYS.INTL($E21,J21,رمز_العطلة,أيام_الأجازات)-1))</f>
        <v/>
      </c>
      <c r="M21" s="26" t="str">
        <f aca="false">IF($G21="","",MAX(0,L21-مهلة_المراجعة))</f>
        <v/>
      </c>
      <c r="N21" s="30" t="str">
        <f aca="false">IF($A21="",IF(OR($D21&lt;&gt;"",$E21&lt;&gt;""),"رقم المخرج ناقص",""),IF(ISNA(MATCH($A21,قائمة_المخرجات,0)),"رقم مخرج غير موجود",IF($D21="","نوع الحركة ناقص",IF(NOT(ISNUMBER($E21)),"التاريخ ناقص",IF($E21&gt;تاريخ_الاحتساب,"تاريخ بعد تاريخ الاحتساب",IF(AND($D21&lt;&gt;"تسليم",COUNTIFS($A$5:$A$1504,$A21,$D$5:$D$1504,"تسليم",$E$5:$E$1504,"&lt;="&amp;$E21)=0),"لا يوجد تسليم قبل الحركة دي",""))))))</f>
        <v/>
      </c>
    </row>
    <row r="22" customFormat="false" ht="15" hidden="false" customHeight="false" outlineLevel="0" collapsed="false">
      <c r="A22" s="20"/>
      <c r="B22" s="35" t="str">
        <f aca="false">IF($A22="","",IFERROR(INDEX(مخرج_البند,MATCH($A22,قائمة_المخرجات,0)),""))</f>
        <v/>
      </c>
      <c r="C22" s="30" t="str">
        <f aca="false">IF($A22="","",IFERROR(INDEX(مخرج_الوصف,MATCH($A22,قائمة_المخرجات,0)),""))</f>
        <v/>
      </c>
      <c r="D22" s="20"/>
      <c r="E22" s="31"/>
      <c r="F22" s="22"/>
      <c r="G22" s="36" t="str">
        <f aca="false">IF(OR($A22="",$D22&lt;&gt;"تسليم",NOT(ISNUMBER($E22))),"",COUNTIFS($A$5:$A$1504,$A22,$D$5:$D$1504,"تسليم",$E$5:$E$1504,"&lt;"&amp;$E22)+1)</f>
        <v/>
      </c>
      <c r="H22" s="33" t="str">
        <f aca="false">IF($G22="","",_xlfn.MINIFS($E$5:$E$1504,$A$5:$A$1504,$A22,$D$5:$D$1504,"&lt;&gt;تسليم",$E$5:$E$1504,"&gt;="&amp;$E22))</f>
        <v/>
      </c>
      <c r="I22" s="33" t="str">
        <f aca="false">IF($G22="","",_xlfn.MINIFS($E$5:$E$1504,$A$5:$A$1504,$A22,$D$5:$D$1504,"تسليم",$E$5:$E$1504,"&gt;"&amp;$E22))</f>
        <v/>
      </c>
      <c r="J22" s="33" t="str">
        <f aca="false">IF($G22="","",IF(H22&gt;0,IF(I22&gt;0,MIN(H22,I22),H22),IF(I22&gt;0,I22,تاريخ_الاحتساب)))</f>
        <v/>
      </c>
      <c r="K22" s="34" t="str">
        <f aca="false">IF($G22="","",IF(AND(H22=0,I22=0),"جارية","مغلقة"))</f>
        <v/>
      </c>
      <c r="L22" s="26" t="str">
        <f aca="false">IF($G22="","",MAX(0,NETWORKDAYS.INTL($E22,J22,رمز_العطلة,أيام_الأجازات)-1))</f>
        <v/>
      </c>
      <c r="M22" s="26" t="str">
        <f aca="false">IF($G22="","",MAX(0,L22-مهلة_المراجعة))</f>
        <v/>
      </c>
      <c r="N22" s="30" t="str">
        <f aca="false">IF($A22="",IF(OR($D22&lt;&gt;"",$E22&lt;&gt;""),"رقم المخرج ناقص",""),IF(ISNA(MATCH($A22,قائمة_المخرجات,0)),"رقم مخرج غير موجود",IF($D22="","نوع الحركة ناقص",IF(NOT(ISNUMBER($E22)),"التاريخ ناقص",IF($E22&gt;تاريخ_الاحتساب,"تاريخ بعد تاريخ الاحتساب",IF(AND($D22&lt;&gt;"تسليم",COUNTIFS($A$5:$A$1504,$A22,$D$5:$D$1504,"تسليم",$E$5:$E$1504,"&lt;="&amp;$E22)=0),"لا يوجد تسليم قبل الحركة دي",""))))))</f>
        <v/>
      </c>
    </row>
    <row r="23" customFormat="false" ht="15" hidden="false" customHeight="false" outlineLevel="0" collapsed="false">
      <c r="A23" s="20"/>
      <c r="B23" s="35" t="str">
        <f aca="false">IF($A23="","",IFERROR(INDEX(مخرج_البند,MATCH($A23,قائمة_المخرجات,0)),""))</f>
        <v/>
      </c>
      <c r="C23" s="30" t="str">
        <f aca="false">IF($A23="","",IFERROR(INDEX(مخرج_الوصف,MATCH($A23,قائمة_المخرجات,0)),""))</f>
        <v/>
      </c>
      <c r="D23" s="20"/>
      <c r="E23" s="31"/>
      <c r="F23" s="22"/>
      <c r="G23" s="36" t="str">
        <f aca="false">IF(OR($A23="",$D23&lt;&gt;"تسليم",NOT(ISNUMBER($E23))),"",COUNTIFS($A$5:$A$1504,$A23,$D$5:$D$1504,"تسليم",$E$5:$E$1504,"&lt;"&amp;$E23)+1)</f>
        <v/>
      </c>
      <c r="H23" s="33" t="str">
        <f aca="false">IF($G23="","",_xlfn.MINIFS($E$5:$E$1504,$A$5:$A$1504,$A23,$D$5:$D$1504,"&lt;&gt;تسليم",$E$5:$E$1504,"&gt;="&amp;$E23))</f>
        <v/>
      </c>
      <c r="I23" s="33" t="str">
        <f aca="false">IF($G23="","",_xlfn.MINIFS($E$5:$E$1504,$A$5:$A$1504,$A23,$D$5:$D$1504,"تسليم",$E$5:$E$1504,"&gt;"&amp;$E23))</f>
        <v/>
      </c>
      <c r="J23" s="33" t="str">
        <f aca="false">IF($G23="","",IF(H23&gt;0,IF(I23&gt;0,MIN(H23,I23),H23),IF(I23&gt;0,I23,تاريخ_الاحتساب)))</f>
        <v/>
      </c>
      <c r="K23" s="34" t="str">
        <f aca="false">IF($G23="","",IF(AND(H23=0,I23=0),"جارية","مغلقة"))</f>
        <v/>
      </c>
      <c r="L23" s="26" t="str">
        <f aca="false">IF($G23="","",MAX(0,NETWORKDAYS.INTL($E23,J23,رمز_العطلة,أيام_الأجازات)-1))</f>
        <v/>
      </c>
      <c r="M23" s="26" t="str">
        <f aca="false">IF($G23="","",MAX(0,L23-مهلة_المراجعة))</f>
        <v/>
      </c>
      <c r="N23" s="30" t="str">
        <f aca="false">IF($A23="",IF(OR($D23&lt;&gt;"",$E23&lt;&gt;""),"رقم المخرج ناقص",""),IF(ISNA(MATCH($A23,قائمة_المخرجات,0)),"رقم مخرج غير موجود",IF($D23="","نوع الحركة ناقص",IF(NOT(ISNUMBER($E23)),"التاريخ ناقص",IF($E23&gt;تاريخ_الاحتساب,"تاريخ بعد تاريخ الاحتساب",IF(AND($D23&lt;&gt;"تسليم",COUNTIFS($A$5:$A$1504,$A23,$D$5:$D$1504,"تسليم",$E$5:$E$1504,"&lt;="&amp;$E23)=0),"لا يوجد تسليم قبل الحركة دي",""))))))</f>
        <v/>
      </c>
    </row>
    <row r="24" customFormat="false" ht="15" hidden="false" customHeight="false" outlineLevel="0" collapsed="false">
      <c r="A24" s="20"/>
      <c r="B24" s="35" t="str">
        <f aca="false">IF($A24="","",IFERROR(INDEX(مخرج_البند,MATCH($A24,قائمة_المخرجات,0)),""))</f>
        <v/>
      </c>
      <c r="C24" s="30" t="str">
        <f aca="false">IF($A24="","",IFERROR(INDEX(مخرج_الوصف,MATCH($A24,قائمة_المخرجات,0)),""))</f>
        <v/>
      </c>
      <c r="D24" s="20"/>
      <c r="E24" s="31"/>
      <c r="F24" s="22"/>
      <c r="G24" s="36" t="str">
        <f aca="false">IF(OR($A24="",$D24&lt;&gt;"تسليم",NOT(ISNUMBER($E24))),"",COUNTIFS($A$5:$A$1504,$A24,$D$5:$D$1504,"تسليم",$E$5:$E$1504,"&lt;"&amp;$E24)+1)</f>
        <v/>
      </c>
      <c r="H24" s="33" t="str">
        <f aca="false">IF($G24="","",_xlfn.MINIFS($E$5:$E$1504,$A$5:$A$1504,$A24,$D$5:$D$1504,"&lt;&gt;تسليم",$E$5:$E$1504,"&gt;="&amp;$E24))</f>
        <v/>
      </c>
      <c r="I24" s="33" t="str">
        <f aca="false">IF($G24="","",_xlfn.MINIFS($E$5:$E$1504,$A$5:$A$1504,$A24,$D$5:$D$1504,"تسليم",$E$5:$E$1504,"&gt;"&amp;$E24))</f>
        <v/>
      </c>
      <c r="J24" s="33" t="str">
        <f aca="false">IF($G24="","",IF(H24&gt;0,IF(I24&gt;0,MIN(H24,I24),H24),IF(I24&gt;0,I24,تاريخ_الاحتساب)))</f>
        <v/>
      </c>
      <c r="K24" s="34" t="str">
        <f aca="false">IF($G24="","",IF(AND(H24=0,I24=0),"جارية","مغلقة"))</f>
        <v/>
      </c>
      <c r="L24" s="26" t="str">
        <f aca="false">IF($G24="","",MAX(0,NETWORKDAYS.INTL($E24,J24,رمز_العطلة,أيام_الأجازات)-1))</f>
        <v/>
      </c>
      <c r="M24" s="26" t="str">
        <f aca="false">IF($G24="","",MAX(0,L24-مهلة_المراجعة))</f>
        <v/>
      </c>
      <c r="N24" s="30" t="str">
        <f aca="false">IF($A24="",IF(OR($D24&lt;&gt;"",$E24&lt;&gt;""),"رقم المخرج ناقص",""),IF(ISNA(MATCH($A24,قائمة_المخرجات,0)),"رقم مخرج غير موجود",IF($D24="","نوع الحركة ناقص",IF(NOT(ISNUMBER($E24)),"التاريخ ناقص",IF($E24&gt;تاريخ_الاحتساب,"تاريخ بعد تاريخ الاحتساب",IF(AND($D24&lt;&gt;"تسليم",COUNTIFS($A$5:$A$1504,$A24,$D$5:$D$1504,"تسليم",$E$5:$E$1504,"&lt;="&amp;$E24)=0),"لا يوجد تسليم قبل الحركة دي",""))))))</f>
        <v/>
      </c>
    </row>
    <row r="25" customFormat="false" ht="15" hidden="false" customHeight="false" outlineLevel="0" collapsed="false">
      <c r="A25" s="20"/>
      <c r="B25" s="35" t="str">
        <f aca="false">IF($A25="","",IFERROR(INDEX(مخرج_البند,MATCH($A25,قائمة_المخرجات,0)),""))</f>
        <v/>
      </c>
      <c r="C25" s="30" t="str">
        <f aca="false">IF($A25="","",IFERROR(INDEX(مخرج_الوصف,MATCH($A25,قائمة_المخرجات,0)),""))</f>
        <v/>
      </c>
      <c r="D25" s="20"/>
      <c r="E25" s="31"/>
      <c r="F25" s="22"/>
      <c r="G25" s="36" t="str">
        <f aca="false">IF(OR($A25="",$D25&lt;&gt;"تسليم",NOT(ISNUMBER($E25))),"",COUNTIFS($A$5:$A$1504,$A25,$D$5:$D$1504,"تسليم",$E$5:$E$1504,"&lt;"&amp;$E25)+1)</f>
        <v/>
      </c>
      <c r="H25" s="33" t="str">
        <f aca="false">IF($G25="","",_xlfn.MINIFS($E$5:$E$1504,$A$5:$A$1504,$A25,$D$5:$D$1504,"&lt;&gt;تسليم",$E$5:$E$1504,"&gt;="&amp;$E25))</f>
        <v/>
      </c>
      <c r="I25" s="33" t="str">
        <f aca="false">IF($G25="","",_xlfn.MINIFS($E$5:$E$1504,$A$5:$A$1504,$A25,$D$5:$D$1504,"تسليم",$E$5:$E$1504,"&gt;"&amp;$E25))</f>
        <v/>
      </c>
      <c r="J25" s="33" t="str">
        <f aca="false">IF($G25="","",IF(H25&gt;0,IF(I25&gt;0,MIN(H25,I25),H25),IF(I25&gt;0,I25,تاريخ_الاحتساب)))</f>
        <v/>
      </c>
      <c r="K25" s="34" t="str">
        <f aca="false">IF($G25="","",IF(AND(H25=0,I25=0),"جارية","مغلقة"))</f>
        <v/>
      </c>
      <c r="L25" s="26" t="str">
        <f aca="false">IF($G25="","",MAX(0,NETWORKDAYS.INTL($E25,J25,رمز_العطلة,أيام_الأجازات)-1))</f>
        <v/>
      </c>
      <c r="M25" s="26" t="str">
        <f aca="false">IF($G25="","",MAX(0,L25-مهلة_المراجعة))</f>
        <v/>
      </c>
      <c r="N25" s="30" t="str">
        <f aca="false">IF($A25="",IF(OR($D25&lt;&gt;"",$E25&lt;&gt;""),"رقم المخرج ناقص",""),IF(ISNA(MATCH($A25,قائمة_المخرجات,0)),"رقم مخرج غير موجود",IF($D25="","نوع الحركة ناقص",IF(NOT(ISNUMBER($E25)),"التاريخ ناقص",IF($E25&gt;تاريخ_الاحتساب,"تاريخ بعد تاريخ الاحتساب",IF(AND($D25&lt;&gt;"تسليم",COUNTIFS($A$5:$A$1504,$A25,$D$5:$D$1504,"تسليم",$E$5:$E$1504,"&lt;="&amp;$E25)=0),"لا يوجد تسليم قبل الحركة دي",""))))))</f>
        <v/>
      </c>
    </row>
    <row r="26" customFormat="false" ht="15" hidden="false" customHeight="false" outlineLevel="0" collapsed="false">
      <c r="A26" s="20"/>
      <c r="B26" s="35" t="str">
        <f aca="false">IF($A26="","",IFERROR(INDEX(مخرج_البند,MATCH($A26,قائمة_المخرجات,0)),""))</f>
        <v/>
      </c>
      <c r="C26" s="30" t="str">
        <f aca="false">IF($A26="","",IFERROR(INDEX(مخرج_الوصف,MATCH($A26,قائمة_المخرجات,0)),""))</f>
        <v/>
      </c>
      <c r="D26" s="20"/>
      <c r="E26" s="31"/>
      <c r="F26" s="22"/>
      <c r="G26" s="36" t="str">
        <f aca="false">IF(OR($A26="",$D26&lt;&gt;"تسليم",NOT(ISNUMBER($E26))),"",COUNTIFS($A$5:$A$1504,$A26,$D$5:$D$1504,"تسليم",$E$5:$E$1504,"&lt;"&amp;$E26)+1)</f>
        <v/>
      </c>
      <c r="H26" s="33" t="str">
        <f aca="false">IF($G26="","",_xlfn.MINIFS($E$5:$E$1504,$A$5:$A$1504,$A26,$D$5:$D$1504,"&lt;&gt;تسليم",$E$5:$E$1504,"&gt;="&amp;$E26))</f>
        <v/>
      </c>
      <c r="I26" s="33" t="str">
        <f aca="false">IF($G26="","",_xlfn.MINIFS($E$5:$E$1504,$A$5:$A$1504,$A26,$D$5:$D$1504,"تسليم",$E$5:$E$1504,"&gt;"&amp;$E26))</f>
        <v/>
      </c>
      <c r="J26" s="33" t="str">
        <f aca="false">IF($G26="","",IF(H26&gt;0,IF(I26&gt;0,MIN(H26,I26),H26),IF(I26&gt;0,I26,تاريخ_الاحتساب)))</f>
        <v/>
      </c>
      <c r="K26" s="34" t="str">
        <f aca="false">IF($G26="","",IF(AND(H26=0,I26=0),"جارية","مغلقة"))</f>
        <v/>
      </c>
      <c r="L26" s="26" t="str">
        <f aca="false">IF($G26="","",MAX(0,NETWORKDAYS.INTL($E26,J26,رمز_العطلة,أيام_الأجازات)-1))</f>
        <v/>
      </c>
      <c r="M26" s="26" t="str">
        <f aca="false">IF($G26="","",MAX(0,L26-مهلة_المراجعة))</f>
        <v/>
      </c>
      <c r="N26" s="30" t="str">
        <f aca="false">IF($A26="",IF(OR($D26&lt;&gt;"",$E26&lt;&gt;""),"رقم المخرج ناقص",""),IF(ISNA(MATCH($A26,قائمة_المخرجات,0)),"رقم مخرج غير موجود",IF($D26="","نوع الحركة ناقص",IF(NOT(ISNUMBER($E26)),"التاريخ ناقص",IF($E26&gt;تاريخ_الاحتساب,"تاريخ بعد تاريخ الاحتساب",IF(AND($D26&lt;&gt;"تسليم",COUNTIFS($A$5:$A$1504,$A26,$D$5:$D$1504,"تسليم",$E$5:$E$1504,"&lt;="&amp;$E26)=0),"لا يوجد تسليم قبل الحركة دي",""))))))</f>
        <v/>
      </c>
    </row>
    <row r="27" customFormat="false" ht="15" hidden="false" customHeight="false" outlineLevel="0" collapsed="false">
      <c r="A27" s="20"/>
      <c r="B27" s="35" t="str">
        <f aca="false">IF($A27="","",IFERROR(INDEX(مخرج_البند,MATCH($A27,قائمة_المخرجات,0)),""))</f>
        <v/>
      </c>
      <c r="C27" s="30" t="str">
        <f aca="false">IF($A27="","",IFERROR(INDEX(مخرج_الوصف,MATCH($A27,قائمة_المخرجات,0)),""))</f>
        <v/>
      </c>
      <c r="D27" s="20"/>
      <c r="E27" s="31"/>
      <c r="F27" s="22"/>
      <c r="G27" s="36" t="str">
        <f aca="false">IF(OR($A27="",$D27&lt;&gt;"تسليم",NOT(ISNUMBER($E27))),"",COUNTIFS($A$5:$A$1504,$A27,$D$5:$D$1504,"تسليم",$E$5:$E$1504,"&lt;"&amp;$E27)+1)</f>
        <v/>
      </c>
      <c r="H27" s="33" t="str">
        <f aca="false">IF($G27="","",_xlfn.MINIFS($E$5:$E$1504,$A$5:$A$1504,$A27,$D$5:$D$1504,"&lt;&gt;تسليم",$E$5:$E$1504,"&gt;="&amp;$E27))</f>
        <v/>
      </c>
      <c r="I27" s="33" t="str">
        <f aca="false">IF($G27="","",_xlfn.MINIFS($E$5:$E$1504,$A$5:$A$1504,$A27,$D$5:$D$1504,"تسليم",$E$5:$E$1504,"&gt;"&amp;$E27))</f>
        <v/>
      </c>
      <c r="J27" s="33" t="str">
        <f aca="false">IF($G27="","",IF(H27&gt;0,IF(I27&gt;0,MIN(H27,I27),H27),IF(I27&gt;0,I27,تاريخ_الاحتساب)))</f>
        <v/>
      </c>
      <c r="K27" s="34" t="str">
        <f aca="false">IF($G27="","",IF(AND(H27=0,I27=0),"جارية","مغلقة"))</f>
        <v/>
      </c>
      <c r="L27" s="26" t="str">
        <f aca="false">IF($G27="","",MAX(0,NETWORKDAYS.INTL($E27,J27,رمز_العطلة,أيام_الأجازات)-1))</f>
        <v/>
      </c>
      <c r="M27" s="26" t="str">
        <f aca="false">IF($G27="","",MAX(0,L27-مهلة_المراجعة))</f>
        <v/>
      </c>
      <c r="N27" s="30" t="str">
        <f aca="false">IF($A27="",IF(OR($D27&lt;&gt;"",$E27&lt;&gt;""),"رقم المخرج ناقص",""),IF(ISNA(MATCH($A27,قائمة_المخرجات,0)),"رقم مخرج غير موجود",IF($D27="","نوع الحركة ناقص",IF(NOT(ISNUMBER($E27)),"التاريخ ناقص",IF($E27&gt;تاريخ_الاحتساب,"تاريخ بعد تاريخ الاحتساب",IF(AND($D27&lt;&gt;"تسليم",COUNTIFS($A$5:$A$1504,$A27,$D$5:$D$1504,"تسليم",$E$5:$E$1504,"&lt;="&amp;$E27)=0),"لا يوجد تسليم قبل الحركة دي",""))))))</f>
        <v/>
      </c>
    </row>
    <row r="28" customFormat="false" ht="15" hidden="false" customHeight="false" outlineLevel="0" collapsed="false">
      <c r="A28" s="20"/>
      <c r="B28" s="35" t="str">
        <f aca="false">IF($A28="","",IFERROR(INDEX(مخرج_البند,MATCH($A28,قائمة_المخرجات,0)),""))</f>
        <v/>
      </c>
      <c r="C28" s="30" t="str">
        <f aca="false">IF($A28="","",IFERROR(INDEX(مخرج_الوصف,MATCH($A28,قائمة_المخرجات,0)),""))</f>
        <v/>
      </c>
      <c r="D28" s="20"/>
      <c r="E28" s="31"/>
      <c r="F28" s="22"/>
      <c r="G28" s="36" t="str">
        <f aca="false">IF(OR($A28="",$D28&lt;&gt;"تسليم",NOT(ISNUMBER($E28))),"",COUNTIFS($A$5:$A$1504,$A28,$D$5:$D$1504,"تسليم",$E$5:$E$1504,"&lt;"&amp;$E28)+1)</f>
        <v/>
      </c>
      <c r="H28" s="33" t="str">
        <f aca="false">IF($G28="","",_xlfn.MINIFS($E$5:$E$1504,$A$5:$A$1504,$A28,$D$5:$D$1504,"&lt;&gt;تسليم",$E$5:$E$1504,"&gt;="&amp;$E28))</f>
        <v/>
      </c>
      <c r="I28" s="33" t="str">
        <f aca="false">IF($G28="","",_xlfn.MINIFS($E$5:$E$1504,$A$5:$A$1504,$A28,$D$5:$D$1504,"تسليم",$E$5:$E$1504,"&gt;"&amp;$E28))</f>
        <v/>
      </c>
      <c r="J28" s="33" t="str">
        <f aca="false">IF($G28="","",IF(H28&gt;0,IF(I28&gt;0,MIN(H28,I28),H28),IF(I28&gt;0,I28,تاريخ_الاحتساب)))</f>
        <v/>
      </c>
      <c r="K28" s="34" t="str">
        <f aca="false">IF($G28="","",IF(AND(H28=0,I28=0),"جارية","مغلقة"))</f>
        <v/>
      </c>
      <c r="L28" s="26" t="str">
        <f aca="false">IF($G28="","",MAX(0,NETWORKDAYS.INTL($E28,J28,رمز_العطلة,أيام_الأجازات)-1))</f>
        <v/>
      </c>
      <c r="M28" s="26" t="str">
        <f aca="false">IF($G28="","",MAX(0,L28-مهلة_المراجعة))</f>
        <v/>
      </c>
      <c r="N28" s="30" t="str">
        <f aca="false">IF($A28="",IF(OR($D28&lt;&gt;"",$E28&lt;&gt;""),"رقم المخرج ناقص",""),IF(ISNA(MATCH($A28,قائمة_المخرجات,0)),"رقم مخرج غير موجود",IF($D28="","نوع الحركة ناقص",IF(NOT(ISNUMBER($E28)),"التاريخ ناقص",IF($E28&gt;تاريخ_الاحتساب,"تاريخ بعد تاريخ الاحتساب",IF(AND($D28&lt;&gt;"تسليم",COUNTIFS($A$5:$A$1504,$A28,$D$5:$D$1504,"تسليم",$E$5:$E$1504,"&lt;="&amp;$E28)=0),"لا يوجد تسليم قبل الحركة دي",""))))))</f>
        <v/>
      </c>
    </row>
    <row r="29" customFormat="false" ht="15" hidden="false" customHeight="false" outlineLevel="0" collapsed="false">
      <c r="A29" s="20"/>
      <c r="B29" s="35" t="str">
        <f aca="false">IF($A29="","",IFERROR(INDEX(مخرج_البند,MATCH($A29,قائمة_المخرجات,0)),""))</f>
        <v/>
      </c>
      <c r="C29" s="30" t="str">
        <f aca="false">IF($A29="","",IFERROR(INDEX(مخرج_الوصف,MATCH($A29,قائمة_المخرجات,0)),""))</f>
        <v/>
      </c>
      <c r="D29" s="20"/>
      <c r="E29" s="31"/>
      <c r="F29" s="22"/>
      <c r="G29" s="36" t="str">
        <f aca="false">IF(OR($A29="",$D29&lt;&gt;"تسليم",NOT(ISNUMBER($E29))),"",COUNTIFS($A$5:$A$1504,$A29,$D$5:$D$1504,"تسليم",$E$5:$E$1504,"&lt;"&amp;$E29)+1)</f>
        <v/>
      </c>
      <c r="H29" s="33" t="str">
        <f aca="false">IF($G29="","",_xlfn.MINIFS($E$5:$E$1504,$A$5:$A$1504,$A29,$D$5:$D$1504,"&lt;&gt;تسليم",$E$5:$E$1504,"&gt;="&amp;$E29))</f>
        <v/>
      </c>
      <c r="I29" s="33" t="str">
        <f aca="false">IF($G29="","",_xlfn.MINIFS($E$5:$E$1504,$A$5:$A$1504,$A29,$D$5:$D$1504,"تسليم",$E$5:$E$1504,"&gt;"&amp;$E29))</f>
        <v/>
      </c>
      <c r="J29" s="33" t="str">
        <f aca="false">IF($G29="","",IF(H29&gt;0,IF(I29&gt;0,MIN(H29,I29),H29),IF(I29&gt;0,I29,تاريخ_الاحتساب)))</f>
        <v/>
      </c>
      <c r="K29" s="34" t="str">
        <f aca="false">IF($G29="","",IF(AND(H29=0,I29=0),"جارية","مغلقة"))</f>
        <v/>
      </c>
      <c r="L29" s="26" t="str">
        <f aca="false">IF($G29="","",MAX(0,NETWORKDAYS.INTL($E29,J29,رمز_العطلة,أيام_الأجازات)-1))</f>
        <v/>
      </c>
      <c r="M29" s="26" t="str">
        <f aca="false">IF($G29="","",MAX(0,L29-مهلة_المراجعة))</f>
        <v/>
      </c>
      <c r="N29" s="30" t="str">
        <f aca="false">IF($A29="",IF(OR($D29&lt;&gt;"",$E29&lt;&gt;""),"رقم المخرج ناقص",""),IF(ISNA(MATCH($A29,قائمة_المخرجات,0)),"رقم مخرج غير موجود",IF($D29="","نوع الحركة ناقص",IF(NOT(ISNUMBER($E29)),"التاريخ ناقص",IF($E29&gt;تاريخ_الاحتساب,"تاريخ بعد تاريخ الاحتساب",IF(AND($D29&lt;&gt;"تسليم",COUNTIFS($A$5:$A$1504,$A29,$D$5:$D$1504,"تسليم",$E$5:$E$1504,"&lt;="&amp;$E29)=0),"لا يوجد تسليم قبل الحركة دي",""))))))</f>
        <v/>
      </c>
    </row>
    <row r="30" customFormat="false" ht="15" hidden="false" customHeight="false" outlineLevel="0" collapsed="false">
      <c r="A30" s="20"/>
      <c r="B30" s="35" t="str">
        <f aca="false">IF($A30="","",IFERROR(INDEX(مخرج_البند,MATCH($A30,قائمة_المخرجات,0)),""))</f>
        <v/>
      </c>
      <c r="C30" s="30" t="str">
        <f aca="false">IF($A30="","",IFERROR(INDEX(مخرج_الوصف,MATCH($A30,قائمة_المخرجات,0)),""))</f>
        <v/>
      </c>
      <c r="D30" s="20"/>
      <c r="E30" s="31"/>
      <c r="F30" s="22"/>
      <c r="G30" s="36" t="str">
        <f aca="false">IF(OR($A30="",$D30&lt;&gt;"تسليم",NOT(ISNUMBER($E30))),"",COUNTIFS($A$5:$A$1504,$A30,$D$5:$D$1504,"تسليم",$E$5:$E$1504,"&lt;"&amp;$E30)+1)</f>
        <v/>
      </c>
      <c r="H30" s="33" t="str">
        <f aca="false">IF($G30="","",_xlfn.MINIFS($E$5:$E$1504,$A$5:$A$1504,$A30,$D$5:$D$1504,"&lt;&gt;تسليم",$E$5:$E$1504,"&gt;="&amp;$E30))</f>
        <v/>
      </c>
      <c r="I30" s="33" t="str">
        <f aca="false">IF($G30="","",_xlfn.MINIFS($E$5:$E$1504,$A$5:$A$1504,$A30,$D$5:$D$1504,"تسليم",$E$5:$E$1504,"&gt;"&amp;$E30))</f>
        <v/>
      </c>
      <c r="J30" s="33" t="str">
        <f aca="false">IF($G30="","",IF(H30&gt;0,IF(I30&gt;0,MIN(H30,I30),H30),IF(I30&gt;0,I30,تاريخ_الاحتساب)))</f>
        <v/>
      </c>
      <c r="K30" s="34" t="str">
        <f aca="false">IF($G30="","",IF(AND(H30=0,I30=0),"جارية","مغلقة"))</f>
        <v/>
      </c>
      <c r="L30" s="26" t="str">
        <f aca="false">IF($G30="","",MAX(0,NETWORKDAYS.INTL($E30,J30,رمز_العطلة,أيام_الأجازات)-1))</f>
        <v/>
      </c>
      <c r="M30" s="26" t="str">
        <f aca="false">IF($G30="","",MAX(0,L30-مهلة_المراجعة))</f>
        <v/>
      </c>
      <c r="N30" s="30" t="str">
        <f aca="false">IF($A30="",IF(OR($D30&lt;&gt;"",$E30&lt;&gt;""),"رقم المخرج ناقص",""),IF(ISNA(MATCH($A30,قائمة_المخرجات,0)),"رقم مخرج غير موجود",IF($D30="","نوع الحركة ناقص",IF(NOT(ISNUMBER($E30)),"التاريخ ناقص",IF($E30&gt;تاريخ_الاحتساب,"تاريخ بعد تاريخ الاحتساب",IF(AND($D30&lt;&gt;"تسليم",COUNTIFS($A$5:$A$1504,$A30,$D$5:$D$1504,"تسليم",$E$5:$E$1504,"&lt;="&amp;$E30)=0),"لا يوجد تسليم قبل الحركة دي",""))))))</f>
        <v/>
      </c>
    </row>
    <row r="31" customFormat="false" ht="15" hidden="false" customHeight="false" outlineLevel="0" collapsed="false">
      <c r="A31" s="20"/>
      <c r="B31" s="35" t="str">
        <f aca="false">IF($A31="","",IFERROR(INDEX(مخرج_البند,MATCH($A31,قائمة_المخرجات,0)),""))</f>
        <v/>
      </c>
      <c r="C31" s="30" t="str">
        <f aca="false">IF($A31="","",IFERROR(INDEX(مخرج_الوصف,MATCH($A31,قائمة_المخرجات,0)),""))</f>
        <v/>
      </c>
      <c r="D31" s="20"/>
      <c r="E31" s="31"/>
      <c r="F31" s="22"/>
      <c r="G31" s="36" t="str">
        <f aca="false">IF(OR($A31="",$D31&lt;&gt;"تسليم",NOT(ISNUMBER($E31))),"",COUNTIFS($A$5:$A$1504,$A31,$D$5:$D$1504,"تسليم",$E$5:$E$1504,"&lt;"&amp;$E31)+1)</f>
        <v/>
      </c>
      <c r="H31" s="33" t="str">
        <f aca="false">IF($G31="","",_xlfn.MINIFS($E$5:$E$1504,$A$5:$A$1504,$A31,$D$5:$D$1504,"&lt;&gt;تسليم",$E$5:$E$1504,"&gt;="&amp;$E31))</f>
        <v/>
      </c>
      <c r="I31" s="33" t="str">
        <f aca="false">IF($G31="","",_xlfn.MINIFS($E$5:$E$1504,$A$5:$A$1504,$A31,$D$5:$D$1504,"تسليم",$E$5:$E$1504,"&gt;"&amp;$E31))</f>
        <v/>
      </c>
      <c r="J31" s="33" t="str">
        <f aca="false">IF($G31="","",IF(H31&gt;0,IF(I31&gt;0,MIN(H31,I31),H31),IF(I31&gt;0,I31,تاريخ_الاحتساب)))</f>
        <v/>
      </c>
      <c r="K31" s="34" t="str">
        <f aca="false">IF($G31="","",IF(AND(H31=0,I31=0),"جارية","مغلقة"))</f>
        <v/>
      </c>
      <c r="L31" s="26" t="str">
        <f aca="false">IF($G31="","",MAX(0,NETWORKDAYS.INTL($E31,J31,رمز_العطلة,أيام_الأجازات)-1))</f>
        <v/>
      </c>
      <c r="M31" s="26" t="str">
        <f aca="false">IF($G31="","",MAX(0,L31-مهلة_المراجعة))</f>
        <v/>
      </c>
      <c r="N31" s="30" t="str">
        <f aca="false">IF($A31="",IF(OR($D31&lt;&gt;"",$E31&lt;&gt;""),"رقم المخرج ناقص",""),IF(ISNA(MATCH($A31,قائمة_المخرجات,0)),"رقم مخرج غير موجود",IF($D31="","نوع الحركة ناقص",IF(NOT(ISNUMBER($E31)),"التاريخ ناقص",IF($E31&gt;تاريخ_الاحتساب,"تاريخ بعد تاريخ الاحتساب",IF(AND($D31&lt;&gt;"تسليم",COUNTIFS($A$5:$A$1504,$A31,$D$5:$D$1504,"تسليم",$E$5:$E$1504,"&lt;="&amp;$E31)=0),"لا يوجد تسليم قبل الحركة دي",""))))))</f>
        <v/>
      </c>
    </row>
    <row r="32" customFormat="false" ht="15" hidden="false" customHeight="false" outlineLevel="0" collapsed="false">
      <c r="A32" s="20"/>
      <c r="B32" s="35" t="str">
        <f aca="false">IF($A32="","",IFERROR(INDEX(مخرج_البند,MATCH($A32,قائمة_المخرجات,0)),""))</f>
        <v/>
      </c>
      <c r="C32" s="30" t="str">
        <f aca="false">IF($A32="","",IFERROR(INDEX(مخرج_الوصف,MATCH($A32,قائمة_المخرجات,0)),""))</f>
        <v/>
      </c>
      <c r="D32" s="20"/>
      <c r="E32" s="31"/>
      <c r="F32" s="22"/>
      <c r="G32" s="36" t="str">
        <f aca="false">IF(OR($A32="",$D32&lt;&gt;"تسليم",NOT(ISNUMBER($E32))),"",COUNTIFS($A$5:$A$1504,$A32,$D$5:$D$1504,"تسليم",$E$5:$E$1504,"&lt;"&amp;$E32)+1)</f>
        <v/>
      </c>
      <c r="H32" s="33" t="str">
        <f aca="false">IF($G32="","",_xlfn.MINIFS($E$5:$E$1504,$A$5:$A$1504,$A32,$D$5:$D$1504,"&lt;&gt;تسليم",$E$5:$E$1504,"&gt;="&amp;$E32))</f>
        <v/>
      </c>
      <c r="I32" s="33" t="str">
        <f aca="false">IF($G32="","",_xlfn.MINIFS($E$5:$E$1504,$A$5:$A$1504,$A32,$D$5:$D$1504,"تسليم",$E$5:$E$1504,"&gt;"&amp;$E32))</f>
        <v/>
      </c>
      <c r="J32" s="33" t="str">
        <f aca="false">IF($G32="","",IF(H32&gt;0,IF(I32&gt;0,MIN(H32,I32),H32),IF(I32&gt;0,I32,تاريخ_الاحتساب)))</f>
        <v/>
      </c>
      <c r="K32" s="34" t="str">
        <f aca="false">IF($G32="","",IF(AND(H32=0,I32=0),"جارية","مغلقة"))</f>
        <v/>
      </c>
      <c r="L32" s="26" t="str">
        <f aca="false">IF($G32="","",MAX(0,NETWORKDAYS.INTL($E32,J32,رمز_العطلة,أيام_الأجازات)-1))</f>
        <v/>
      </c>
      <c r="M32" s="26" t="str">
        <f aca="false">IF($G32="","",MAX(0,L32-مهلة_المراجعة))</f>
        <v/>
      </c>
      <c r="N32" s="30" t="str">
        <f aca="false">IF($A32="",IF(OR($D32&lt;&gt;"",$E32&lt;&gt;""),"رقم المخرج ناقص",""),IF(ISNA(MATCH($A32,قائمة_المخرجات,0)),"رقم مخرج غير موجود",IF($D32="","نوع الحركة ناقص",IF(NOT(ISNUMBER($E32)),"التاريخ ناقص",IF($E32&gt;تاريخ_الاحتساب,"تاريخ بعد تاريخ الاحتساب",IF(AND($D32&lt;&gt;"تسليم",COUNTIFS($A$5:$A$1504,$A32,$D$5:$D$1504,"تسليم",$E$5:$E$1504,"&lt;="&amp;$E32)=0),"لا يوجد تسليم قبل الحركة دي",""))))))</f>
        <v/>
      </c>
    </row>
    <row r="33" customFormat="false" ht="15" hidden="false" customHeight="false" outlineLevel="0" collapsed="false">
      <c r="A33" s="20"/>
      <c r="B33" s="35" t="str">
        <f aca="false">IF($A33="","",IFERROR(INDEX(مخرج_البند,MATCH($A33,قائمة_المخرجات,0)),""))</f>
        <v/>
      </c>
      <c r="C33" s="30" t="str">
        <f aca="false">IF($A33="","",IFERROR(INDEX(مخرج_الوصف,MATCH($A33,قائمة_المخرجات,0)),""))</f>
        <v/>
      </c>
      <c r="D33" s="20"/>
      <c r="E33" s="31"/>
      <c r="F33" s="22"/>
      <c r="G33" s="36" t="str">
        <f aca="false">IF(OR($A33="",$D33&lt;&gt;"تسليم",NOT(ISNUMBER($E33))),"",COUNTIFS($A$5:$A$1504,$A33,$D$5:$D$1504,"تسليم",$E$5:$E$1504,"&lt;"&amp;$E33)+1)</f>
        <v/>
      </c>
      <c r="H33" s="33" t="str">
        <f aca="false">IF($G33="","",_xlfn.MINIFS($E$5:$E$1504,$A$5:$A$1504,$A33,$D$5:$D$1504,"&lt;&gt;تسليم",$E$5:$E$1504,"&gt;="&amp;$E33))</f>
        <v/>
      </c>
      <c r="I33" s="33" t="str">
        <f aca="false">IF($G33="","",_xlfn.MINIFS($E$5:$E$1504,$A$5:$A$1504,$A33,$D$5:$D$1504,"تسليم",$E$5:$E$1504,"&gt;"&amp;$E33))</f>
        <v/>
      </c>
      <c r="J33" s="33" t="str">
        <f aca="false">IF($G33="","",IF(H33&gt;0,IF(I33&gt;0,MIN(H33,I33),H33),IF(I33&gt;0,I33,تاريخ_الاحتساب)))</f>
        <v/>
      </c>
      <c r="K33" s="34" t="str">
        <f aca="false">IF($G33="","",IF(AND(H33=0,I33=0),"جارية","مغلقة"))</f>
        <v/>
      </c>
      <c r="L33" s="26" t="str">
        <f aca="false">IF($G33="","",MAX(0,NETWORKDAYS.INTL($E33,J33,رمز_العطلة,أيام_الأجازات)-1))</f>
        <v/>
      </c>
      <c r="M33" s="26" t="str">
        <f aca="false">IF($G33="","",MAX(0,L33-مهلة_المراجعة))</f>
        <v/>
      </c>
      <c r="N33" s="30" t="str">
        <f aca="false">IF($A33="",IF(OR($D33&lt;&gt;"",$E33&lt;&gt;""),"رقم المخرج ناقص",""),IF(ISNA(MATCH($A33,قائمة_المخرجات,0)),"رقم مخرج غير موجود",IF($D33="","نوع الحركة ناقص",IF(NOT(ISNUMBER($E33)),"التاريخ ناقص",IF($E33&gt;تاريخ_الاحتساب,"تاريخ بعد تاريخ الاحتساب",IF(AND($D33&lt;&gt;"تسليم",COUNTIFS($A$5:$A$1504,$A33,$D$5:$D$1504,"تسليم",$E$5:$E$1504,"&lt;="&amp;$E33)=0),"لا يوجد تسليم قبل الحركة دي",""))))))</f>
        <v/>
      </c>
    </row>
    <row r="34" customFormat="false" ht="15" hidden="false" customHeight="false" outlineLevel="0" collapsed="false">
      <c r="A34" s="20"/>
      <c r="B34" s="35" t="str">
        <f aca="false">IF($A34="","",IFERROR(INDEX(مخرج_البند,MATCH($A34,قائمة_المخرجات,0)),""))</f>
        <v/>
      </c>
      <c r="C34" s="30" t="str">
        <f aca="false">IF($A34="","",IFERROR(INDEX(مخرج_الوصف,MATCH($A34,قائمة_المخرجات,0)),""))</f>
        <v/>
      </c>
      <c r="D34" s="20"/>
      <c r="E34" s="31"/>
      <c r="F34" s="22"/>
      <c r="G34" s="36" t="str">
        <f aca="false">IF(OR($A34="",$D34&lt;&gt;"تسليم",NOT(ISNUMBER($E34))),"",COUNTIFS($A$5:$A$1504,$A34,$D$5:$D$1504,"تسليم",$E$5:$E$1504,"&lt;"&amp;$E34)+1)</f>
        <v/>
      </c>
      <c r="H34" s="33" t="str">
        <f aca="false">IF($G34="","",_xlfn.MINIFS($E$5:$E$1504,$A$5:$A$1504,$A34,$D$5:$D$1504,"&lt;&gt;تسليم",$E$5:$E$1504,"&gt;="&amp;$E34))</f>
        <v/>
      </c>
      <c r="I34" s="33" t="str">
        <f aca="false">IF($G34="","",_xlfn.MINIFS($E$5:$E$1504,$A$5:$A$1504,$A34,$D$5:$D$1504,"تسليم",$E$5:$E$1504,"&gt;"&amp;$E34))</f>
        <v/>
      </c>
      <c r="J34" s="33" t="str">
        <f aca="false">IF($G34="","",IF(H34&gt;0,IF(I34&gt;0,MIN(H34,I34),H34),IF(I34&gt;0,I34,تاريخ_الاحتساب)))</f>
        <v/>
      </c>
      <c r="K34" s="34" t="str">
        <f aca="false">IF($G34="","",IF(AND(H34=0,I34=0),"جارية","مغلقة"))</f>
        <v/>
      </c>
      <c r="L34" s="26" t="str">
        <f aca="false">IF($G34="","",MAX(0,NETWORKDAYS.INTL($E34,J34,رمز_العطلة,أيام_الأجازات)-1))</f>
        <v/>
      </c>
      <c r="M34" s="26" t="str">
        <f aca="false">IF($G34="","",MAX(0,L34-مهلة_المراجعة))</f>
        <v/>
      </c>
      <c r="N34" s="30" t="str">
        <f aca="false">IF($A34="",IF(OR($D34&lt;&gt;"",$E34&lt;&gt;""),"رقم المخرج ناقص",""),IF(ISNA(MATCH($A34,قائمة_المخرجات,0)),"رقم مخرج غير موجود",IF($D34="","نوع الحركة ناقص",IF(NOT(ISNUMBER($E34)),"التاريخ ناقص",IF($E34&gt;تاريخ_الاحتساب,"تاريخ بعد تاريخ الاحتساب",IF(AND($D34&lt;&gt;"تسليم",COUNTIFS($A$5:$A$1504,$A34,$D$5:$D$1504,"تسليم",$E$5:$E$1504,"&lt;="&amp;$E34)=0),"لا يوجد تسليم قبل الحركة دي",""))))))</f>
        <v/>
      </c>
    </row>
    <row r="35" customFormat="false" ht="15" hidden="false" customHeight="false" outlineLevel="0" collapsed="false">
      <c r="A35" s="20"/>
      <c r="B35" s="35" t="str">
        <f aca="false">IF($A35="","",IFERROR(INDEX(مخرج_البند,MATCH($A35,قائمة_المخرجات,0)),""))</f>
        <v/>
      </c>
      <c r="C35" s="30" t="str">
        <f aca="false">IF($A35="","",IFERROR(INDEX(مخرج_الوصف,MATCH($A35,قائمة_المخرجات,0)),""))</f>
        <v/>
      </c>
      <c r="D35" s="20"/>
      <c r="E35" s="31"/>
      <c r="F35" s="22"/>
      <c r="G35" s="36" t="str">
        <f aca="false">IF(OR($A35="",$D35&lt;&gt;"تسليم",NOT(ISNUMBER($E35))),"",COUNTIFS($A$5:$A$1504,$A35,$D$5:$D$1504,"تسليم",$E$5:$E$1504,"&lt;"&amp;$E35)+1)</f>
        <v/>
      </c>
      <c r="H35" s="33" t="str">
        <f aca="false">IF($G35="","",_xlfn.MINIFS($E$5:$E$1504,$A$5:$A$1504,$A35,$D$5:$D$1504,"&lt;&gt;تسليم",$E$5:$E$1504,"&gt;="&amp;$E35))</f>
        <v/>
      </c>
      <c r="I35" s="33" t="str">
        <f aca="false">IF($G35="","",_xlfn.MINIFS($E$5:$E$1504,$A$5:$A$1504,$A35,$D$5:$D$1504,"تسليم",$E$5:$E$1504,"&gt;"&amp;$E35))</f>
        <v/>
      </c>
      <c r="J35" s="33" t="str">
        <f aca="false">IF($G35="","",IF(H35&gt;0,IF(I35&gt;0,MIN(H35,I35),H35),IF(I35&gt;0,I35,تاريخ_الاحتساب)))</f>
        <v/>
      </c>
      <c r="K35" s="34" t="str">
        <f aca="false">IF($G35="","",IF(AND(H35=0,I35=0),"جارية","مغلقة"))</f>
        <v/>
      </c>
      <c r="L35" s="26" t="str">
        <f aca="false">IF($G35="","",MAX(0,NETWORKDAYS.INTL($E35,J35,رمز_العطلة,أيام_الأجازات)-1))</f>
        <v/>
      </c>
      <c r="M35" s="26" t="str">
        <f aca="false">IF($G35="","",MAX(0,L35-مهلة_المراجعة))</f>
        <v/>
      </c>
      <c r="N35" s="30" t="str">
        <f aca="false">IF($A35="",IF(OR($D35&lt;&gt;"",$E35&lt;&gt;""),"رقم المخرج ناقص",""),IF(ISNA(MATCH($A35,قائمة_المخرجات,0)),"رقم مخرج غير موجود",IF($D35="","نوع الحركة ناقص",IF(NOT(ISNUMBER($E35)),"التاريخ ناقص",IF($E35&gt;تاريخ_الاحتساب,"تاريخ بعد تاريخ الاحتساب",IF(AND($D35&lt;&gt;"تسليم",COUNTIFS($A$5:$A$1504,$A35,$D$5:$D$1504,"تسليم",$E$5:$E$1504,"&lt;="&amp;$E35)=0),"لا يوجد تسليم قبل الحركة دي",""))))))</f>
        <v/>
      </c>
    </row>
    <row r="36" customFormat="false" ht="15" hidden="false" customHeight="false" outlineLevel="0" collapsed="false">
      <c r="A36" s="20"/>
      <c r="B36" s="35" t="str">
        <f aca="false">IF($A36="","",IFERROR(INDEX(مخرج_البند,MATCH($A36,قائمة_المخرجات,0)),""))</f>
        <v/>
      </c>
      <c r="C36" s="30" t="str">
        <f aca="false">IF($A36="","",IFERROR(INDEX(مخرج_الوصف,MATCH($A36,قائمة_المخرجات,0)),""))</f>
        <v/>
      </c>
      <c r="D36" s="20"/>
      <c r="E36" s="31"/>
      <c r="F36" s="22"/>
      <c r="G36" s="36" t="str">
        <f aca="false">IF(OR($A36="",$D36&lt;&gt;"تسليم",NOT(ISNUMBER($E36))),"",COUNTIFS($A$5:$A$1504,$A36,$D$5:$D$1504,"تسليم",$E$5:$E$1504,"&lt;"&amp;$E36)+1)</f>
        <v/>
      </c>
      <c r="H36" s="33" t="str">
        <f aca="false">IF($G36="","",_xlfn.MINIFS($E$5:$E$1504,$A$5:$A$1504,$A36,$D$5:$D$1504,"&lt;&gt;تسليم",$E$5:$E$1504,"&gt;="&amp;$E36))</f>
        <v/>
      </c>
      <c r="I36" s="33" t="str">
        <f aca="false">IF($G36="","",_xlfn.MINIFS($E$5:$E$1504,$A$5:$A$1504,$A36,$D$5:$D$1504,"تسليم",$E$5:$E$1504,"&gt;"&amp;$E36))</f>
        <v/>
      </c>
      <c r="J36" s="33" t="str">
        <f aca="false">IF($G36="","",IF(H36&gt;0,IF(I36&gt;0,MIN(H36,I36),H36),IF(I36&gt;0,I36,تاريخ_الاحتساب)))</f>
        <v/>
      </c>
      <c r="K36" s="34" t="str">
        <f aca="false">IF($G36="","",IF(AND(H36=0,I36=0),"جارية","مغلقة"))</f>
        <v/>
      </c>
      <c r="L36" s="26" t="str">
        <f aca="false">IF($G36="","",MAX(0,NETWORKDAYS.INTL($E36,J36,رمز_العطلة,أيام_الأجازات)-1))</f>
        <v/>
      </c>
      <c r="M36" s="26" t="str">
        <f aca="false">IF($G36="","",MAX(0,L36-مهلة_المراجعة))</f>
        <v/>
      </c>
      <c r="N36" s="30" t="str">
        <f aca="false">IF($A36="",IF(OR($D36&lt;&gt;"",$E36&lt;&gt;""),"رقم المخرج ناقص",""),IF(ISNA(MATCH($A36,قائمة_المخرجات,0)),"رقم مخرج غير موجود",IF($D36="","نوع الحركة ناقص",IF(NOT(ISNUMBER($E36)),"التاريخ ناقص",IF($E36&gt;تاريخ_الاحتساب,"تاريخ بعد تاريخ الاحتساب",IF(AND($D36&lt;&gt;"تسليم",COUNTIFS($A$5:$A$1504,$A36,$D$5:$D$1504,"تسليم",$E$5:$E$1504,"&lt;="&amp;$E36)=0),"لا يوجد تسليم قبل الحركة دي",""))))))</f>
        <v/>
      </c>
    </row>
    <row r="37" customFormat="false" ht="15" hidden="false" customHeight="false" outlineLevel="0" collapsed="false">
      <c r="A37" s="20"/>
      <c r="B37" s="35" t="str">
        <f aca="false">IF($A37="","",IFERROR(INDEX(مخرج_البند,MATCH($A37,قائمة_المخرجات,0)),""))</f>
        <v/>
      </c>
      <c r="C37" s="30" t="str">
        <f aca="false">IF($A37="","",IFERROR(INDEX(مخرج_الوصف,MATCH($A37,قائمة_المخرجات,0)),""))</f>
        <v/>
      </c>
      <c r="D37" s="20"/>
      <c r="E37" s="31"/>
      <c r="F37" s="22"/>
      <c r="G37" s="36" t="str">
        <f aca="false">IF(OR($A37="",$D37&lt;&gt;"تسليم",NOT(ISNUMBER($E37))),"",COUNTIFS($A$5:$A$1504,$A37,$D$5:$D$1504,"تسليم",$E$5:$E$1504,"&lt;"&amp;$E37)+1)</f>
        <v/>
      </c>
      <c r="H37" s="33" t="str">
        <f aca="false">IF($G37="","",_xlfn.MINIFS($E$5:$E$1504,$A$5:$A$1504,$A37,$D$5:$D$1504,"&lt;&gt;تسليم",$E$5:$E$1504,"&gt;="&amp;$E37))</f>
        <v/>
      </c>
      <c r="I37" s="33" t="str">
        <f aca="false">IF($G37="","",_xlfn.MINIFS($E$5:$E$1504,$A$5:$A$1504,$A37,$D$5:$D$1504,"تسليم",$E$5:$E$1504,"&gt;"&amp;$E37))</f>
        <v/>
      </c>
      <c r="J37" s="33" t="str">
        <f aca="false">IF($G37="","",IF(H37&gt;0,IF(I37&gt;0,MIN(H37,I37),H37),IF(I37&gt;0,I37,تاريخ_الاحتساب)))</f>
        <v/>
      </c>
      <c r="K37" s="34" t="str">
        <f aca="false">IF($G37="","",IF(AND(H37=0,I37=0),"جارية","مغلقة"))</f>
        <v/>
      </c>
      <c r="L37" s="26" t="str">
        <f aca="false">IF($G37="","",MAX(0,NETWORKDAYS.INTL($E37,J37,رمز_العطلة,أيام_الأجازات)-1))</f>
        <v/>
      </c>
      <c r="M37" s="26" t="str">
        <f aca="false">IF($G37="","",MAX(0,L37-مهلة_المراجعة))</f>
        <v/>
      </c>
      <c r="N37" s="30" t="str">
        <f aca="false">IF($A37="",IF(OR($D37&lt;&gt;"",$E37&lt;&gt;""),"رقم المخرج ناقص",""),IF(ISNA(MATCH($A37,قائمة_المخرجات,0)),"رقم مخرج غير موجود",IF($D37="","نوع الحركة ناقص",IF(NOT(ISNUMBER($E37)),"التاريخ ناقص",IF($E37&gt;تاريخ_الاحتساب,"تاريخ بعد تاريخ الاحتساب",IF(AND($D37&lt;&gt;"تسليم",COUNTIFS($A$5:$A$1504,$A37,$D$5:$D$1504,"تسليم",$E$5:$E$1504,"&lt;="&amp;$E37)=0),"لا يوجد تسليم قبل الحركة دي",""))))))</f>
        <v/>
      </c>
    </row>
    <row r="38" customFormat="false" ht="15" hidden="false" customHeight="false" outlineLevel="0" collapsed="false">
      <c r="A38" s="20"/>
      <c r="B38" s="35" t="str">
        <f aca="false">IF($A38="","",IFERROR(INDEX(مخرج_البند,MATCH($A38,قائمة_المخرجات,0)),""))</f>
        <v/>
      </c>
      <c r="C38" s="30" t="str">
        <f aca="false">IF($A38="","",IFERROR(INDEX(مخرج_الوصف,MATCH($A38,قائمة_المخرجات,0)),""))</f>
        <v/>
      </c>
      <c r="D38" s="20"/>
      <c r="E38" s="31"/>
      <c r="F38" s="22"/>
      <c r="G38" s="36" t="str">
        <f aca="false">IF(OR($A38="",$D38&lt;&gt;"تسليم",NOT(ISNUMBER($E38))),"",COUNTIFS($A$5:$A$1504,$A38,$D$5:$D$1504,"تسليم",$E$5:$E$1504,"&lt;"&amp;$E38)+1)</f>
        <v/>
      </c>
      <c r="H38" s="33" t="str">
        <f aca="false">IF($G38="","",_xlfn.MINIFS($E$5:$E$1504,$A$5:$A$1504,$A38,$D$5:$D$1504,"&lt;&gt;تسليم",$E$5:$E$1504,"&gt;="&amp;$E38))</f>
        <v/>
      </c>
      <c r="I38" s="33" t="str">
        <f aca="false">IF($G38="","",_xlfn.MINIFS($E$5:$E$1504,$A$5:$A$1504,$A38,$D$5:$D$1504,"تسليم",$E$5:$E$1504,"&gt;"&amp;$E38))</f>
        <v/>
      </c>
      <c r="J38" s="33" t="str">
        <f aca="false">IF($G38="","",IF(H38&gt;0,IF(I38&gt;0,MIN(H38,I38),H38),IF(I38&gt;0,I38,تاريخ_الاحتساب)))</f>
        <v/>
      </c>
      <c r="K38" s="34" t="str">
        <f aca="false">IF($G38="","",IF(AND(H38=0,I38=0),"جارية","مغلقة"))</f>
        <v/>
      </c>
      <c r="L38" s="26" t="str">
        <f aca="false">IF($G38="","",MAX(0,NETWORKDAYS.INTL($E38,J38,رمز_العطلة,أيام_الأجازات)-1))</f>
        <v/>
      </c>
      <c r="M38" s="26" t="str">
        <f aca="false">IF($G38="","",MAX(0,L38-مهلة_المراجعة))</f>
        <v/>
      </c>
      <c r="N38" s="30" t="str">
        <f aca="false">IF($A38="",IF(OR($D38&lt;&gt;"",$E38&lt;&gt;""),"رقم المخرج ناقص",""),IF(ISNA(MATCH($A38,قائمة_المخرجات,0)),"رقم مخرج غير موجود",IF($D38="","نوع الحركة ناقص",IF(NOT(ISNUMBER($E38)),"التاريخ ناقص",IF($E38&gt;تاريخ_الاحتساب,"تاريخ بعد تاريخ الاحتساب",IF(AND($D38&lt;&gt;"تسليم",COUNTIFS($A$5:$A$1504,$A38,$D$5:$D$1504,"تسليم",$E$5:$E$1504,"&lt;="&amp;$E38)=0),"لا يوجد تسليم قبل الحركة دي",""))))))</f>
        <v/>
      </c>
    </row>
    <row r="39" customFormat="false" ht="15" hidden="false" customHeight="false" outlineLevel="0" collapsed="false">
      <c r="A39" s="20"/>
      <c r="B39" s="35" t="str">
        <f aca="false">IF($A39="","",IFERROR(INDEX(مخرج_البند,MATCH($A39,قائمة_المخرجات,0)),""))</f>
        <v/>
      </c>
      <c r="C39" s="30" t="str">
        <f aca="false">IF($A39="","",IFERROR(INDEX(مخرج_الوصف,MATCH($A39,قائمة_المخرجات,0)),""))</f>
        <v/>
      </c>
      <c r="D39" s="20"/>
      <c r="E39" s="31"/>
      <c r="F39" s="22"/>
      <c r="G39" s="36" t="str">
        <f aca="false">IF(OR($A39="",$D39&lt;&gt;"تسليم",NOT(ISNUMBER($E39))),"",COUNTIFS($A$5:$A$1504,$A39,$D$5:$D$1504,"تسليم",$E$5:$E$1504,"&lt;"&amp;$E39)+1)</f>
        <v/>
      </c>
      <c r="H39" s="33" t="str">
        <f aca="false">IF($G39="","",_xlfn.MINIFS($E$5:$E$1504,$A$5:$A$1504,$A39,$D$5:$D$1504,"&lt;&gt;تسليم",$E$5:$E$1504,"&gt;="&amp;$E39))</f>
        <v/>
      </c>
      <c r="I39" s="33" t="str">
        <f aca="false">IF($G39="","",_xlfn.MINIFS($E$5:$E$1504,$A$5:$A$1504,$A39,$D$5:$D$1504,"تسليم",$E$5:$E$1504,"&gt;"&amp;$E39))</f>
        <v/>
      </c>
      <c r="J39" s="33" t="str">
        <f aca="false">IF($G39="","",IF(H39&gt;0,IF(I39&gt;0,MIN(H39,I39),H39),IF(I39&gt;0,I39,تاريخ_الاحتساب)))</f>
        <v/>
      </c>
      <c r="K39" s="34" t="str">
        <f aca="false">IF($G39="","",IF(AND(H39=0,I39=0),"جارية","مغلقة"))</f>
        <v/>
      </c>
      <c r="L39" s="26" t="str">
        <f aca="false">IF($G39="","",MAX(0,NETWORKDAYS.INTL($E39,J39,رمز_العطلة,أيام_الأجازات)-1))</f>
        <v/>
      </c>
      <c r="M39" s="26" t="str">
        <f aca="false">IF($G39="","",MAX(0,L39-مهلة_المراجعة))</f>
        <v/>
      </c>
      <c r="N39" s="30" t="str">
        <f aca="false">IF($A39="",IF(OR($D39&lt;&gt;"",$E39&lt;&gt;""),"رقم المخرج ناقص",""),IF(ISNA(MATCH($A39,قائمة_المخرجات,0)),"رقم مخرج غير موجود",IF($D39="","نوع الحركة ناقص",IF(NOT(ISNUMBER($E39)),"التاريخ ناقص",IF($E39&gt;تاريخ_الاحتساب,"تاريخ بعد تاريخ الاحتساب",IF(AND($D39&lt;&gt;"تسليم",COUNTIFS($A$5:$A$1504,$A39,$D$5:$D$1504,"تسليم",$E$5:$E$1504,"&lt;="&amp;$E39)=0),"لا يوجد تسليم قبل الحركة دي",""))))))</f>
        <v/>
      </c>
    </row>
    <row r="40" customFormat="false" ht="15" hidden="false" customHeight="false" outlineLevel="0" collapsed="false">
      <c r="A40" s="20"/>
      <c r="B40" s="35" t="str">
        <f aca="false">IF($A40="","",IFERROR(INDEX(مخرج_البند,MATCH($A40,قائمة_المخرجات,0)),""))</f>
        <v/>
      </c>
      <c r="C40" s="30" t="str">
        <f aca="false">IF($A40="","",IFERROR(INDEX(مخرج_الوصف,MATCH($A40,قائمة_المخرجات,0)),""))</f>
        <v/>
      </c>
      <c r="D40" s="20"/>
      <c r="E40" s="31"/>
      <c r="F40" s="22"/>
      <c r="G40" s="36" t="str">
        <f aca="false">IF(OR($A40="",$D40&lt;&gt;"تسليم",NOT(ISNUMBER($E40))),"",COUNTIFS($A$5:$A$1504,$A40,$D$5:$D$1504,"تسليم",$E$5:$E$1504,"&lt;"&amp;$E40)+1)</f>
        <v/>
      </c>
      <c r="H40" s="33" t="str">
        <f aca="false">IF($G40="","",_xlfn.MINIFS($E$5:$E$1504,$A$5:$A$1504,$A40,$D$5:$D$1504,"&lt;&gt;تسليم",$E$5:$E$1504,"&gt;="&amp;$E40))</f>
        <v/>
      </c>
      <c r="I40" s="33" t="str">
        <f aca="false">IF($G40="","",_xlfn.MINIFS($E$5:$E$1504,$A$5:$A$1504,$A40,$D$5:$D$1504,"تسليم",$E$5:$E$1504,"&gt;"&amp;$E40))</f>
        <v/>
      </c>
      <c r="J40" s="33" t="str">
        <f aca="false">IF($G40="","",IF(H40&gt;0,IF(I40&gt;0,MIN(H40,I40),H40),IF(I40&gt;0,I40,تاريخ_الاحتساب)))</f>
        <v/>
      </c>
      <c r="K40" s="34" t="str">
        <f aca="false">IF($G40="","",IF(AND(H40=0,I40=0),"جارية","مغلقة"))</f>
        <v/>
      </c>
      <c r="L40" s="26" t="str">
        <f aca="false">IF($G40="","",MAX(0,NETWORKDAYS.INTL($E40,J40,رمز_العطلة,أيام_الأجازات)-1))</f>
        <v/>
      </c>
      <c r="M40" s="26" t="str">
        <f aca="false">IF($G40="","",MAX(0,L40-مهلة_المراجعة))</f>
        <v/>
      </c>
      <c r="N40" s="30" t="str">
        <f aca="false">IF($A40="",IF(OR($D40&lt;&gt;"",$E40&lt;&gt;""),"رقم المخرج ناقص",""),IF(ISNA(MATCH($A40,قائمة_المخرجات,0)),"رقم مخرج غير موجود",IF($D40="","نوع الحركة ناقص",IF(NOT(ISNUMBER($E40)),"التاريخ ناقص",IF($E40&gt;تاريخ_الاحتساب,"تاريخ بعد تاريخ الاحتساب",IF(AND($D40&lt;&gt;"تسليم",COUNTIFS($A$5:$A$1504,$A40,$D$5:$D$1504,"تسليم",$E$5:$E$1504,"&lt;="&amp;$E40)=0),"لا يوجد تسليم قبل الحركة دي",""))))))</f>
        <v/>
      </c>
    </row>
    <row r="41" customFormat="false" ht="15" hidden="false" customHeight="false" outlineLevel="0" collapsed="false">
      <c r="A41" s="20"/>
      <c r="B41" s="35" t="str">
        <f aca="false">IF($A41="","",IFERROR(INDEX(مخرج_البند,MATCH($A41,قائمة_المخرجات,0)),""))</f>
        <v/>
      </c>
      <c r="C41" s="30" t="str">
        <f aca="false">IF($A41="","",IFERROR(INDEX(مخرج_الوصف,MATCH($A41,قائمة_المخرجات,0)),""))</f>
        <v/>
      </c>
      <c r="D41" s="20"/>
      <c r="E41" s="31"/>
      <c r="F41" s="22"/>
      <c r="G41" s="36" t="str">
        <f aca="false">IF(OR($A41="",$D41&lt;&gt;"تسليم",NOT(ISNUMBER($E41))),"",COUNTIFS($A$5:$A$1504,$A41,$D$5:$D$1504,"تسليم",$E$5:$E$1504,"&lt;"&amp;$E41)+1)</f>
        <v/>
      </c>
      <c r="H41" s="33" t="str">
        <f aca="false">IF($G41="","",_xlfn.MINIFS($E$5:$E$1504,$A$5:$A$1504,$A41,$D$5:$D$1504,"&lt;&gt;تسليم",$E$5:$E$1504,"&gt;="&amp;$E41))</f>
        <v/>
      </c>
      <c r="I41" s="33" t="str">
        <f aca="false">IF($G41="","",_xlfn.MINIFS($E$5:$E$1504,$A$5:$A$1504,$A41,$D$5:$D$1504,"تسليم",$E$5:$E$1504,"&gt;"&amp;$E41))</f>
        <v/>
      </c>
      <c r="J41" s="33" t="str">
        <f aca="false">IF($G41="","",IF(H41&gt;0,IF(I41&gt;0,MIN(H41,I41),H41),IF(I41&gt;0,I41,تاريخ_الاحتساب)))</f>
        <v/>
      </c>
      <c r="K41" s="34" t="str">
        <f aca="false">IF($G41="","",IF(AND(H41=0,I41=0),"جارية","مغلقة"))</f>
        <v/>
      </c>
      <c r="L41" s="26" t="str">
        <f aca="false">IF($G41="","",MAX(0,NETWORKDAYS.INTL($E41,J41,رمز_العطلة,أيام_الأجازات)-1))</f>
        <v/>
      </c>
      <c r="M41" s="26" t="str">
        <f aca="false">IF($G41="","",MAX(0,L41-مهلة_المراجعة))</f>
        <v/>
      </c>
      <c r="N41" s="30" t="str">
        <f aca="false">IF($A41="",IF(OR($D41&lt;&gt;"",$E41&lt;&gt;""),"رقم المخرج ناقص",""),IF(ISNA(MATCH($A41,قائمة_المخرجات,0)),"رقم مخرج غير موجود",IF($D41="","نوع الحركة ناقص",IF(NOT(ISNUMBER($E41)),"التاريخ ناقص",IF($E41&gt;تاريخ_الاحتساب,"تاريخ بعد تاريخ الاحتساب",IF(AND($D41&lt;&gt;"تسليم",COUNTIFS($A$5:$A$1504,$A41,$D$5:$D$1504,"تسليم",$E$5:$E$1504,"&lt;="&amp;$E41)=0),"لا يوجد تسليم قبل الحركة دي",""))))))</f>
        <v/>
      </c>
    </row>
    <row r="42" customFormat="false" ht="15" hidden="false" customHeight="false" outlineLevel="0" collapsed="false">
      <c r="A42" s="20"/>
      <c r="B42" s="35" t="str">
        <f aca="false">IF($A42="","",IFERROR(INDEX(مخرج_البند,MATCH($A42,قائمة_المخرجات,0)),""))</f>
        <v/>
      </c>
      <c r="C42" s="30" t="str">
        <f aca="false">IF($A42="","",IFERROR(INDEX(مخرج_الوصف,MATCH($A42,قائمة_المخرجات,0)),""))</f>
        <v/>
      </c>
      <c r="D42" s="20"/>
      <c r="E42" s="31"/>
      <c r="F42" s="22"/>
      <c r="G42" s="36" t="str">
        <f aca="false">IF(OR($A42="",$D42&lt;&gt;"تسليم",NOT(ISNUMBER($E42))),"",COUNTIFS($A$5:$A$1504,$A42,$D$5:$D$1504,"تسليم",$E$5:$E$1504,"&lt;"&amp;$E42)+1)</f>
        <v/>
      </c>
      <c r="H42" s="33" t="str">
        <f aca="false">IF($G42="","",_xlfn.MINIFS($E$5:$E$1504,$A$5:$A$1504,$A42,$D$5:$D$1504,"&lt;&gt;تسليم",$E$5:$E$1504,"&gt;="&amp;$E42))</f>
        <v/>
      </c>
      <c r="I42" s="33" t="str">
        <f aca="false">IF($G42="","",_xlfn.MINIFS($E$5:$E$1504,$A$5:$A$1504,$A42,$D$5:$D$1504,"تسليم",$E$5:$E$1504,"&gt;"&amp;$E42))</f>
        <v/>
      </c>
      <c r="J42" s="33" t="str">
        <f aca="false">IF($G42="","",IF(H42&gt;0,IF(I42&gt;0,MIN(H42,I42),H42),IF(I42&gt;0,I42,تاريخ_الاحتساب)))</f>
        <v/>
      </c>
      <c r="K42" s="34" t="str">
        <f aca="false">IF($G42="","",IF(AND(H42=0,I42=0),"جارية","مغلقة"))</f>
        <v/>
      </c>
      <c r="L42" s="26" t="str">
        <f aca="false">IF($G42="","",MAX(0,NETWORKDAYS.INTL($E42,J42,رمز_العطلة,أيام_الأجازات)-1))</f>
        <v/>
      </c>
      <c r="M42" s="26" t="str">
        <f aca="false">IF($G42="","",MAX(0,L42-مهلة_المراجعة))</f>
        <v/>
      </c>
      <c r="N42" s="30" t="str">
        <f aca="false">IF($A42="",IF(OR($D42&lt;&gt;"",$E42&lt;&gt;""),"رقم المخرج ناقص",""),IF(ISNA(MATCH($A42,قائمة_المخرجات,0)),"رقم مخرج غير موجود",IF($D42="","نوع الحركة ناقص",IF(NOT(ISNUMBER($E42)),"التاريخ ناقص",IF($E42&gt;تاريخ_الاحتساب,"تاريخ بعد تاريخ الاحتساب",IF(AND($D42&lt;&gt;"تسليم",COUNTIFS($A$5:$A$1504,$A42,$D$5:$D$1504,"تسليم",$E$5:$E$1504,"&lt;="&amp;$E42)=0),"لا يوجد تسليم قبل الحركة دي",""))))))</f>
        <v/>
      </c>
    </row>
    <row r="43" customFormat="false" ht="15" hidden="false" customHeight="false" outlineLevel="0" collapsed="false">
      <c r="A43" s="20"/>
      <c r="B43" s="35" t="str">
        <f aca="false">IF($A43="","",IFERROR(INDEX(مخرج_البند,MATCH($A43,قائمة_المخرجات,0)),""))</f>
        <v/>
      </c>
      <c r="C43" s="30" t="str">
        <f aca="false">IF($A43="","",IFERROR(INDEX(مخرج_الوصف,MATCH($A43,قائمة_المخرجات,0)),""))</f>
        <v/>
      </c>
      <c r="D43" s="20"/>
      <c r="E43" s="31"/>
      <c r="F43" s="22"/>
      <c r="G43" s="36" t="str">
        <f aca="false">IF(OR($A43="",$D43&lt;&gt;"تسليم",NOT(ISNUMBER($E43))),"",COUNTIFS($A$5:$A$1504,$A43,$D$5:$D$1504,"تسليم",$E$5:$E$1504,"&lt;"&amp;$E43)+1)</f>
        <v/>
      </c>
      <c r="H43" s="33" t="str">
        <f aca="false">IF($G43="","",_xlfn.MINIFS($E$5:$E$1504,$A$5:$A$1504,$A43,$D$5:$D$1504,"&lt;&gt;تسليم",$E$5:$E$1504,"&gt;="&amp;$E43))</f>
        <v/>
      </c>
      <c r="I43" s="33" t="str">
        <f aca="false">IF($G43="","",_xlfn.MINIFS($E$5:$E$1504,$A$5:$A$1504,$A43,$D$5:$D$1504,"تسليم",$E$5:$E$1504,"&gt;"&amp;$E43))</f>
        <v/>
      </c>
      <c r="J43" s="33" t="str">
        <f aca="false">IF($G43="","",IF(H43&gt;0,IF(I43&gt;0,MIN(H43,I43),H43),IF(I43&gt;0,I43,تاريخ_الاحتساب)))</f>
        <v/>
      </c>
      <c r="K43" s="34" t="str">
        <f aca="false">IF($G43="","",IF(AND(H43=0,I43=0),"جارية","مغلقة"))</f>
        <v/>
      </c>
      <c r="L43" s="26" t="str">
        <f aca="false">IF($G43="","",MAX(0,NETWORKDAYS.INTL($E43,J43,رمز_العطلة,أيام_الأجازات)-1))</f>
        <v/>
      </c>
      <c r="M43" s="26" t="str">
        <f aca="false">IF($G43="","",MAX(0,L43-مهلة_المراجعة))</f>
        <v/>
      </c>
      <c r="N43" s="30" t="str">
        <f aca="false">IF($A43="",IF(OR($D43&lt;&gt;"",$E43&lt;&gt;""),"رقم المخرج ناقص",""),IF(ISNA(MATCH($A43,قائمة_المخرجات,0)),"رقم مخرج غير موجود",IF($D43="","نوع الحركة ناقص",IF(NOT(ISNUMBER($E43)),"التاريخ ناقص",IF($E43&gt;تاريخ_الاحتساب,"تاريخ بعد تاريخ الاحتساب",IF(AND($D43&lt;&gt;"تسليم",COUNTIFS($A$5:$A$1504,$A43,$D$5:$D$1504,"تسليم",$E$5:$E$1504,"&lt;="&amp;$E43)=0),"لا يوجد تسليم قبل الحركة دي",""))))))</f>
        <v/>
      </c>
    </row>
    <row r="44" customFormat="false" ht="15" hidden="false" customHeight="false" outlineLevel="0" collapsed="false">
      <c r="A44" s="20"/>
      <c r="B44" s="35" t="str">
        <f aca="false">IF($A44="","",IFERROR(INDEX(مخرج_البند,MATCH($A44,قائمة_المخرجات,0)),""))</f>
        <v/>
      </c>
      <c r="C44" s="30" t="str">
        <f aca="false">IF($A44="","",IFERROR(INDEX(مخرج_الوصف,MATCH($A44,قائمة_المخرجات,0)),""))</f>
        <v/>
      </c>
      <c r="D44" s="20"/>
      <c r="E44" s="31"/>
      <c r="F44" s="22"/>
      <c r="G44" s="36" t="str">
        <f aca="false">IF(OR($A44="",$D44&lt;&gt;"تسليم",NOT(ISNUMBER($E44))),"",COUNTIFS($A$5:$A$1504,$A44,$D$5:$D$1504,"تسليم",$E$5:$E$1504,"&lt;"&amp;$E44)+1)</f>
        <v/>
      </c>
      <c r="H44" s="33" t="str">
        <f aca="false">IF($G44="","",_xlfn.MINIFS($E$5:$E$1504,$A$5:$A$1504,$A44,$D$5:$D$1504,"&lt;&gt;تسليم",$E$5:$E$1504,"&gt;="&amp;$E44))</f>
        <v/>
      </c>
      <c r="I44" s="33" t="str">
        <f aca="false">IF($G44="","",_xlfn.MINIFS($E$5:$E$1504,$A$5:$A$1504,$A44,$D$5:$D$1504,"تسليم",$E$5:$E$1504,"&gt;"&amp;$E44))</f>
        <v/>
      </c>
      <c r="J44" s="33" t="str">
        <f aca="false">IF($G44="","",IF(H44&gt;0,IF(I44&gt;0,MIN(H44,I44),H44),IF(I44&gt;0,I44,تاريخ_الاحتساب)))</f>
        <v/>
      </c>
      <c r="K44" s="34" t="str">
        <f aca="false">IF($G44="","",IF(AND(H44=0,I44=0),"جارية","مغلقة"))</f>
        <v/>
      </c>
      <c r="L44" s="26" t="str">
        <f aca="false">IF($G44="","",MAX(0,NETWORKDAYS.INTL($E44,J44,رمز_العطلة,أيام_الأجازات)-1))</f>
        <v/>
      </c>
      <c r="M44" s="26" t="str">
        <f aca="false">IF($G44="","",MAX(0,L44-مهلة_المراجعة))</f>
        <v/>
      </c>
      <c r="N44" s="30" t="str">
        <f aca="false">IF($A44="",IF(OR($D44&lt;&gt;"",$E44&lt;&gt;""),"رقم المخرج ناقص",""),IF(ISNA(MATCH($A44,قائمة_المخرجات,0)),"رقم مخرج غير موجود",IF($D44="","نوع الحركة ناقص",IF(NOT(ISNUMBER($E44)),"التاريخ ناقص",IF($E44&gt;تاريخ_الاحتساب,"تاريخ بعد تاريخ الاحتساب",IF(AND($D44&lt;&gt;"تسليم",COUNTIFS($A$5:$A$1504,$A44,$D$5:$D$1504,"تسليم",$E$5:$E$1504,"&lt;="&amp;$E44)=0),"لا يوجد تسليم قبل الحركة دي",""))))))</f>
        <v/>
      </c>
    </row>
    <row r="45" customFormat="false" ht="15" hidden="false" customHeight="false" outlineLevel="0" collapsed="false">
      <c r="A45" s="20"/>
      <c r="B45" s="35" t="str">
        <f aca="false">IF($A45="","",IFERROR(INDEX(مخرج_البند,MATCH($A45,قائمة_المخرجات,0)),""))</f>
        <v/>
      </c>
      <c r="C45" s="30" t="str">
        <f aca="false">IF($A45="","",IFERROR(INDEX(مخرج_الوصف,MATCH($A45,قائمة_المخرجات,0)),""))</f>
        <v/>
      </c>
      <c r="D45" s="20"/>
      <c r="E45" s="31"/>
      <c r="F45" s="22"/>
      <c r="G45" s="36" t="str">
        <f aca="false">IF(OR($A45="",$D45&lt;&gt;"تسليم",NOT(ISNUMBER($E45))),"",COUNTIFS($A$5:$A$1504,$A45,$D$5:$D$1504,"تسليم",$E$5:$E$1504,"&lt;"&amp;$E45)+1)</f>
        <v/>
      </c>
      <c r="H45" s="33" t="str">
        <f aca="false">IF($G45="","",_xlfn.MINIFS($E$5:$E$1504,$A$5:$A$1504,$A45,$D$5:$D$1504,"&lt;&gt;تسليم",$E$5:$E$1504,"&gt;="&amp;$E45))</f>
        <v/>
      </c>
      <c r="I45" s="33" t="str">
        <f aca="false">IF($G45="","",_xlfn.MINIFS($E$5:$E$1504,$A$5:$A$1504,$A45,$D$5:$D$1504,"تسليم",$E$5:$E$1504,"&gt;"&amp;$E45))</f>
        <v/>
      </c>
      <c r="J45" s="33" t="str">
        <f aca="false">IF($G45="","",IF(H45&gt;0,IF(I45&gt;0,MIN(H45,I45),H45),IF(I45&gt;0,I45,تاريخ_الاحتساب)))</f>
        <v/>
      </c>
      <c r="K45" s="34" t="str">
        <f aca="false">IF($G45="","",IF(AND(H45=0,I45=0),"جارية","مغلقة"))</f>
        <v/>
      </c>
      <c r="L45" s="26" t="str">
        <f aca="false">IF($G45="","",MAX(0,NETWORKDAYS.INTL($E45,J45,رمز_العطلة,أيام_الأجازات)-1))</f>
        <v/>
      </c>
      <c r="M45" s="26" t="str">
        <f aca="false">IF($G45="","",MAX(0,L45-مهلة_المراجعة))</f>
        <v/>
      </c>
      <c r="N45" s="30" t="str">
        <f aca="false">IF($A45="",IF(OR($D45&lt;&gt;"",$E45&lt;&gt;""),"رقم المخرج ناقص",""),IF(ISNA(MATCH($A45,قائمة_المخرجات,0)),"رقم مخرج غير موجود",IF($D45="","نوع الحركة ناقص",IF(NOT(ISNUMBER($E45)),"التاريخ ناقص",IF($E45&gt;تاريخ_الاحتساب,"تاريخ بعد تاريخ الاحتساب",IF(AND($D45&lt;&gt;"تسليم",COUNTIFS($A$5:$A$1504,$A45,$D$5:$D$1504,"تسليم",$E$5:$E$1504,"&lt;="&amp;$E45)=0),"لا يوجد تسليم قبل الحركة دي",""))))))</f>
        <v/>
      </c>
    </row>
    <row r="46" customFormat="false" ht="15" hidden="false" customHeight="false" outlineLevel="0" collapsed="false">
      <c r="A46" s="20"/>
      <c r="B46" s="35" t="str">
        <f aca="false">IF($A46="","",IFERROR(INDEX(مخرج_البند,MATCH($A46,قائمة_المخرجات,0)),""))</f>
        <v/>
      </c>
      <c r="C46" s="30" t="str">
        <f aca="false">IF($A46="","",IFERROR(INDEX(مخرج_الوصف,MATCH($A46,قائمة_المخرجات,0)),""))</f>
        <v/>
      </c>
      <c r="D46" s="20"/>
      <c r="E46" s="31"/>
      <c r="F46" s="22"/>
      <c r="G46" s="36" t="str">
        <f aca="false">IF(OR($A46="",$D46&lt;&gt;"تسليم",NOT(ISNUMBER($E46))),"",COUNTIFS($A$5:$A$1504,$A46,$D$5:$D$1504,"تسليم",$E$5:$E$1504,"&lt;"&amp;$E46)+1)</f>
        <v/>
      </c>
      <c r="H46" s="33" t="str">
        <f aca="false">IF($G46="","",_xlfn.MINIFS($E$5:$E$1504,$A$5:$A$1504,$A46,$D$5:$D$1504,"&lt;&gt;تسليم",$E$5:$E$1504,"&gt;="&amp;$E46))</f>
        <v/>
      </c>
      <c r="I46" s="33" t="str">
        <f aca="false">IF($G46="","",_xlfn.MINIFS($E$5:$E$1504,$A$5:$A$1504,$A46,$D$5:$D$1504,"تسليم",$E$5:$E$1504,"&gt;"&amp;$E46))</f>
        <v/>
      </c>
      <c r="J46" s="33" t="str">
        <f aca="false">IF($G46="","",IF(H46&gt;0,IF(I46&gt;0,MIN(H46,I46),H46),IF(I46&gt;0,I46,تاريخ_الاحتساب)))</f>
        <v/>
      </c>
      <c r="K46" s="34" t="str">
        <f aca="false">IF($G46="","",IF(AND(H46=0,I46=0),"جارية","مغلقة"))</f>
        <v/>
      </c>
      <c r="L46" s="26" t="str">
        <f aca="false">IF($G46="","",MAX(0,NETWORKDAYS.INTL($E46,J46,رمز_العطلة,أيام_الأجازات)-1))</f>
        <v/>
      </c>
      <c r="M46" s="26" t="str">
        <f aca="false">IF($G46="","",MAX(0,L46-مهلة_المراجعة))</f>
        <v/>
      </c>
      <c r="N46" s="30" t="str">
        <f aca="false">IF($A46="",IF(OR($D46&lt;&gt;"",$E46&lt;&gt;""),"رقم المخرج ناقص",""),IF(ISNA(MATCH($A46,قائمة_المخرجات,0)),"رقم مخرج غير موجود",IF($D46="","نوع الحركة ناقص",IF(NOT(ISNUMBER($E46)),"التاريخ ناقص",IF($E46&gt;تاريخ_الاحتساب,"تاريخ بعد تاريخ الاحتساب",IF(AND($D46&lt;&gt;"تسليم",COUNTIFS($A$5:$A$1504,$A46,$D$5:$D$1504,"تسليم",$E$5:$E$1504,"&lt;="&amp;$E46)=0),"لا يوجد تسليم قبل الحركة دي",""))))))</f>
        <v/>
      </c>
    </row>
    <row r="47" customFormat="false" ht="15" hidden="false" customHeight="false" outlineLevel="0" collapsed="false">
      <c r="A47" s="20"/>
      <c r="B47" s="35" t="str">
        <f aca="false">IF($A47="","",IFERROR(INDEX(مخرج_البند,MATCH($A47,قائمة_المخرجات,0)),""))</f>
        <v/>
      </c>
      <c r="C47" s="30" t="str">
        <f aca="false">IF($A47="","",IFERROR(INDEX(مخرج_الوصف,MATCH($A47,قائمة_المخرجات,0)),""))</f>
        <v/>
      </c>
      <c r="D47" s="20"/>
      <c r="E47" s="31"/>
      <c r="F47" s="22"/>
      <c r="G47" s="36" t="str">
        <f aca="false">IF(OR($A47="",$D47&lt;&gt;"تسليم",NOT(ISNUMBER($E47))),"",COUNTIFS($A$5:$A$1504,$A47,$D$5:$D$1504,"تسليم",$E$5:$E$1504,"&lt;"&amp;$E47)+1)</f>
        <v/>
      </c>
      <c r="H47" s="33" t="str">
        <f aca="false">IF($G47="","",_xlfn.MINIFS($E$5:$E$1504,$A$5:$A$1504,$A47,$D$5:$D$1504,"&lt;&gt;تسليم",$E$5:$E$1504,"&gt;="&amp;$E47))</f>
        <v/>
      </c>
      <c r="I47" s="33" t="str">
        <f aca="false">IF($G47="","",_xlfn.MINIFS($E$5:$E$1504,$A$5:$A$1504,$A47,$D$5:$D$1504,"تسليم",$E$5:$E$1504,"&gt;"&amp;$E47))</f>
        <v/>
      </c>
      <c r="J47" s="33" t="str">
        <f aca="false">IF($G47="","",IF(H47&gt;0,IF(I47&gt;0,MIN(H47,I47),H47),IF(I47&gt;0,I47,تاريخ_الاحتساب)))</f>
        <v/>
      </c>
      <c r="K47" s="34" t="str">
        <f aca="false">IF($G47="","",IF(AND(H47=0,I47=0),"جارية","مغلقة"))</f>
        <v/>
      </c>
      <c r="L47" s="26" t="str">
        <f aca="false">IF($G47="","",MAX(0,NETWORKDAYS.INTL($E47,J47,رمز_العطلة,أيام_الأجازات)-1))</f>
        <v/>
      </c>
      <c r="M47" s="26" t="str">
        <f aca="false">IF($G47="","",MAX(0,L47-مهلة_المراجعة))</f>
        <v/>
      </c>
      <c r="N47" s="30" t="str">
        <f aca="false">IF($A47="",IF(OR($D47&lt;&gt;"",$E47&lt;&gt;""),"رقم المخرج ناقص",""),IF(ISNA(MATCH($A47,قائمة_المخرجات,0)),"رقم مخرج غير موجود",IF($D47="","نوع الحركة ناقص",IF(NOT(ISNUMBER($E47)),"التاريخ ناقص",IF($E47&gt;تاريخ_الاحتساب,"تاريخ بعد تاريخ الاحتساب",IF(AND($D47&lt;&gt;"تسليم",COUNTIFS($A$5:$A$1504,$A47,$D$5:$D$1504,"تسليم",$E$5:$E$1504,"&lt;="&amp;$E47)=0),"لا يوجد تسليم قبل الحركة دي",""))))))</f>
        <v/>
      </c>
    </row>
    <row r="48" customFormat="false" ht="15" hidden="false" customHeight="false" outlineLevel="0" collapsed="false">
      <c r="A48" s="20"/>
      <c r="B48" s="35" t="str">
        <f aca="false">IF($A48="","",IFERROR(INDEX(مخرج_البند,MATCH($A48,قائمة_المخرجات,0)),""))</f>
        <v/>
      </c>
      <c r="C48" s="30" t="str">
        <f aca="false">IF($A48="","",IFERROR(INDEX(مخرج_الوصف,MATCH($A48,قائمة_المخرجات,0)),""))</f>
        <v/>
      </c>
      <c r="D48" s="20"/>
      <c r="E48" s="31"/>
      <c r="F48" s="22"/>
      <c r="G48" s="36" t="str">
        <f aca="false">IF(OR($A48="",$D48&lt;&gt;"تسليم",NOT(ISNUMBER($E48))),"",COUNTIFS($A$5:$A$1504,$A48,$D$5:$D$1504,"تسليم",$E$5:$E$1504,"&lt;"&amp;$E48)+1)</f>
        <v/>
      </c>
      <c r="H48" s="33" t="str">
        <f aca="false">IF($G48="","",_xlfn.MINIFS($E$5:$E$1504,$A$5:$A$1504,$A48,$D$5:$D$1504,"&lt;&gt;تسليم",$E$5:$E$1504,"&gt;="&amp;$E48))</f>
        <v/>
      </c>
      <c r="I48" s="33" t="str">
        <f aca="false">IF($G48="","",_xlfn.MINIFS($E$5:$E$1504,$A$5:$A$1504,$A48,$D$5:$D$1504,"تسليم",$E$5:$E$1504,"&gt;"&amp;$E48))</f>
        <v/>
      </c>
      <c r="J48" s="33" t="str">
        <f aca="false">IF($G48="","",IF(H48&gt;0,IF(I48&gt;0,MIN(H48,I48),H48),IF(I48&gt;0,I48,تاريخ_الاحتساب)))</f>
        <v/>
      </c>
      <c r="K48" s="34" t="str">
        <f aca="false">IF($G48="","",IF(AND(H48=0,I48=0),"جارية","مغلقة"))</f>
        <v/>
      </c>
      <c r="L48" s="26" t="str">
        <f aca="false">IF($G48="","",MAX(0,NETWORKDAYS.INTL($E48,J48,رمز_العطلة,أيام_الأجازات)-1))</f>
        <v/>
      </c>
      <c r="M48" s="26" t="str">
        <f aca="false">IF($G48="","",MAX(0,L48-مهلة_المراجعة))</f>
        <v/>
      </c>
      <c r="N48" s="30" t="str">
        <f aca="false">IF($A48="",IF(OR($D48&lt;&gt;"",$E48&lt;&gt;""),"رقم المخرج ناقص",""),IF(ISNA(MATCH($A48,قائمة_المخرجات,0)),"رقم مخرج غير موجود",IF($D48="","نوع الحركة ناقص",IF(NOT(ISNUMBER($E48)),"التاريخ ناقص",IF($E48&gt;تاريخ_الاحتساب,"تاريخ بعد تاريخ الاحتساب",IF(AND($D48&lt;&gt;"تسليم",COUNTIFS($A$5:$A$1504,$A48,$D$5:$D$1504,"تسليم",$E$5:$E$1504,"&lt;="&amp;$E48)=0),"لا يوجد تسليم قبل الحركة دي",""))))))</f>
        <v/>
      </c>
    </row>
    <row r="49" customFormat="false" ht="15" hidden="false" customHeight="false" outlineLevel="0" collapsed="false">
      <c r="A49" s="20"/>
      <c r="B49" s="35" t="str">
        <f aca="false">IF($A49="","",IFERROR(INDEX(مخرج_البند,MATCH($A49,قائمة_المخرجات,0)),""))</f>
        <v/>
      </c>
      <c r="C49" s="30" t="str">
        <f aca="false">IF($A49="","",IFERROR(INDEX(مخرج_الوصف,MATCH($A49,قائمة_المخرجات,0)),""))</f>
        <v/>
      </c>
      <c r="D49" s="20"/>
      <c r="E49" s="31"/>
      <c r="F49" s="22"/>
      <c r="G49" s="36" t="str">
        <f aca="false">IF(OR($A49="",$D49&lt;&gt;"تسليم",NOT(ISNUMBER($E49))),"",COUNTIFS($A$5:$A$1504,$A49,$D$5:$D$1504,"تسليم",$E$5:$E$1504,"&lt;"&amp;$E49)+1)</f>
        <v/>
      </c>
      <c r="H49" s="33" t="str">
        <f aca="false">IF($G49="","",_xlfn.MINIFS($E$5:$E$1504,$A$5:$A$1504,$A49,$D$5:$D$1504,"&lt;&gt;تسليم",$E$5:$E$1504,"&gt;="&amp;$E49))</f>
        <v/>
      </c>
      <c r="I49" s="33" t="str">
        <f aca="false">IF($G49="","",_xlfn.MINIFS($E$5:$E$1504,$A$5:$A$1504,$A49,$D$5:$D$1504,"تسليم",$E$5:$E$1504,"&gt;"&amp;$E49))</f>
        <v/>
      </c>
      <c r="J49" s="33" t="str">
        <f aca="false">IF($G49="","",IF(H49&gt;0,IF(I49&gt;0,MIN(H49,I49),H49),IF(I49&gt;0,I49,تاريخ_الاحتساب)))</f>
        <v/>
      </c>
      <c r="K49" s="34" t="str">
        <f aca="false">IF($G49="","",IF(AND(H49=0,I49=0),"جارية","مغلقة"))</f>
        <v/>
      </c>
      <c r="L49" s="26" t="str">
        <f aca="false">IF($G49="","",MAX(0,NETWORKDAYS.INTL($E49,J49,رمز_العطلة,أيام_الأجازات)-1))</f>
        <v/>
      </c>
      <c r="M49" s="26" t="str">
        <f aca="false">IF($G49="","",MAX(0,L49-مهلة_المراجعة))</f>
        <v/>
      </c>
      <c r="N49" s="30" t="str">
        <f aca="false">IF($A49="",IF(OR($D49&lt;&gt;"",$E49&lt;&gt;""),"رقم المخرج ناقص",""),IF(ISNA(MATCH($A49,قائمة_المخرجات,0)),"رقم مخرج غير موجود",IF($D49="","نوع الحركة ناقص",IF(NOT(ISNUMBER($E49)),"التاريخ ناقص",IF($E49&gt;تاريخ_الاحتساب,"تاريخ بعد تاريخ الاحتساب",IF(AND($D49&lt;&gt;"تسليم",COUNTIFS($A$5:$A$1504,$A49,$D$5:$D$1504,"تسليم",$E$5:$E$1504,"&lt;="&amp;$E49)=0),"لا يوجد تسليم قبل الحركة دي",""))))))</f>
        <v/>
      </c>
    </row>
    <row r="50" customFormat="false" ht="15" hidden="false" customHeight="false" outlineLevel="0" collapsed="false">
      <c r="A50" s="20"/>
      <c r="B50" s="35" t="str">
        <f aca="false">IF($A50="","",IFERROR(INDEX(مخرج_البند,MATCH($A50,قائمة_المخرجات,0)),""))</f>
        <v/>
      </c>
      <c r="C50" s="30" t="str">
        <f aca="false">IF($A50="","",IFERROR(INDEX(مخرج_الوصف,MATCH($A50,قائمة_المخرجات,0)),""))</f>
        <v/>
      </c>
      <c r="D50" s="20"/>
      <c r="E50" s="31"/>
      <c r="F50" s="22"/>
      <c r="G50" s="36" t="str">
        <f aca="false">IF(OR($A50="",$D50&lt;&gt;"تسليم",NOT(ISNUMBER($E50))),"",COUNTIFS($A$5:$A$1504,$A50,$D$5:$D$1504,"تسليم",$E$5:$E$1504,"&lt;"&amp;$E50)+1)</f>
        <v/>
      </c>
      <c r="H50" s="33" t="str">
        <f aca="false">IF($G50="","",_xlfn.MINIFS($E$5:$E$1504,$A$5:$A$1504,$A50,$D$5:$D$1504,"&lt;&gt;تسليم",$E$5:$E$1504,"&gt;="&amp;$E50))</f>
        <v/>
      </c>
      <c r="I50" s="33" t="str">
        <f aca="false">IF($G50="","",_xlfn.MINIFS($E$5:$E$1504,$A$5:$A$1504,$A50,$D$5:$D$1504,"تسليم",$E$5:$E$1504,"&gt;"&amp;$E50))</f>
        <v/>
      </c>
      <c r="J50" s="33" t="str">
        <f aca="false">IF($G50="","",IF(H50&gt;0,IF(I50&gt;0,MIN(H50,I50),H50),IF(I50&gt;0,I50,تاريخ_الاحتساب)))</f>
        <v/>
      </c>
      <c r="K50" s="34" t="str">
        <f aca="false">IF($G50="","",IF(AND(H50=0,I50=0),"جارية","مغلقة"))</f>
        <v/>
      </c>
      <c r="L50" s="26" t="str">
        <f aca="false">IF($G50="","",MAX(0,NETWORKDAYS.INTL($E50,J50,رمز_العطلة,أيام_الأجازات)-1))</f>
        <v/>
      </c>
      <c r="M50" s="26" t="str">
        <f aca="false">IF($G50="","",MAX(0,L50-مهلة_المراجعة))</f>
        <v/>
      </c>
      <c r="N50" s="30" t="str">
        <f aca="false">IF($A50="",IF(OR($D50&lt;&gt;"",$E50&lt;&gt;""),"رقم المخرج ناقص",""),IF(ISNA(MATCH($A50,قائمة_المخرجات,0)),"رقم مخرج غير موجود",IF($D50="","نوع الحركة ناقص",IF(NOT(ISNUMBER($E50)),"التاريخ ناقص",IF($E50&gt;تاريخ_الاحتساب,"تاريخ بعد تاريخ الاحتساب",IF(AND($D50&lt;&gt;"تسليم",COUNTIFS($A$5:$A$1504,$A50,$D$5:$D$1504,"تسليم",$E$5:$E$1504,"&lt;="&amp;$E50)=0),"لا يوجد تسليم قبل الحركة دي",""))))))</f>
        <v/>
      </c>
    </row>
    <row r="51" customFormat="false" ht="15" hidden="false" customHeight="false" outlineLevel="0" collapsed="false">
      <c r="A51" s="20"/>
      <c r="B51" s="35" t="str">
        <f aca="false">IF($A51="","",IFERROR(INDEX(مخرج_البند,MATCH($A51,قائمة_المخرجات,0)),""))</f>
        <v/>
      </c>
      <c r="C51" s="30" t="str">
        <f aca="false">IF($A51="","",IFERROR(INDEX(مخرج_الوصف,MATCH($A51,قائمة_المخرجات,0)),""))</f>
        <v/>
      </c>
      <c r="D51" s="20"/>
      <c r="E51" s="31"/>
      <c r="F51" s="22"/>
      <c r="G51" s="36" t="str">
        <f aca="false">IF(OR($A51="",$D51&lt;&gt;"تسليم",NOT(ISNUMBER($E51))),"",COUNTIFS($A$5:$A$1504,$A51,$D$5:$D$1504,"تسليم",$E$5:$E$1504,"&lt;"&amp;$E51)+1)</f>
        <v/>
      </c>
      <c r="H51" s="33" t="str">
        <f aca="false">IF($G51="","",_xlfn.MINIFS($E$5:$E$1504,$A$5:$A$1504,$A51,$D$5:$D$1504,"&lt;&gt;تسليم",$E$5:$E$1504,"&gt;="&amp;$E51))</f>
        <v/>
      </c>
      <c r="I51" s="33" t="str">
        <f aca="false">IF($G51="","",_xlfn.MINIFS($E$5:$E$1504,$A$5:$A$1504,$A51,$D$5:$D$1504,"تسليم",$E$5:$E$1504,"&gt;"&amp;$E51))</f>
        <v/>
      </c>
      <c r="J51" s="33" t="str">
        <f aca="false">IF($G51="","",IF(H51&gt;0,IF(I51&gt;0,MIN(H51,I51),H51),IF(I51&gt;0,I51,تاريخ_الاحتساب)))</f>
        <v/>
      </c>
      <c r="K51" s="34" t="str">
        <f aca="false">IF($G51="","",IF(AND(H51=0,I51=0),"جارية","مغلقة"))</f>
        <v/>
      </c>
      <c r="L51" s="26" t="str">
        <f aca="false">IF($G51="","",MAX(0,NETWORKDAYS.INTL($E51,J51,رمز_العطلة,أيام_الأجازات)-1))</f>
        <v/>
      </c>
      <c r="M51" s="26" t="str">
        <f aca="false">IF($G51="","",MAX(0,L51-مهلة_المراجعة))</f>
        <v/>
      </c>
      <c r="N51" s="30" t="str">
        <f aca="false">IF($A51="",IF(OR($D51&lt;&gt;"",$E51&lt;&gt;""),"رقم المخرج ناقص",""),IF(ISNA(MATCH($A51,قائمة_المخرجات,0)),"رقم مخرج غير موجود",IF($D51="","نوع الحركة ناقص",IF(NOT(ISNUMBER($E51)),"التاريخ ناقص",IF($E51&gt;تاريخ_الاحتساب,"تاريخ بعد تاريخ الاحتساب",IF(AND($D51&lt;&gt;"تسليم",COUNTIFS($A$5:$A$1504,$A51,$D$5:$D$1504,"تسليم",$E$5:$E$1504,"&lt;="&amp;$E51)=0),"لا يوجد تسليم قبل الحركة دي",""))))))</f>
        <v/>
      </c>
    </row>
    <row r="52" customFormat="false" ht="15" hidden="false" customHeight="false" outlineLevel="0" collapsed="false">
      <c r="A52" s="20"/>
      <c r="B52" s="35" t="str">
        <f aca="false">IF($A52="","",IFERROR(INDEX(مخرج_البند,MATCH($A52,قائمة_المخرجات,0)),""))</f>
        <v/>
      </c>
      <c r="C52" s="30" t="str">
        <f aca="false">IF($A52="","",IFERROR(INDEX(مخرج_الوصف,MATCH($A52,قائمة_المخرجات,0)),""))</f>
        <v/>
      </c>
      <c r="D52" s="20"/>
      <c r="E52" s="31"/>
      <c r="F52" s="22"/>
      <c r="G52" s="36" t="str">
        <f aca="false">IF(OR($A52="",$D52&lt;&gt;"تسليم",NOT(ISNUMBER($E52))),"",COUNTIFS($A$5:$A$1504,$A52,$D$5:$D$1504,"تسليم",$E$5:$E$1504,"&lt;"&amp;$E52)+1)</f>
        <v/>
      </c>
      <c r="H52" s="33" t="str">
        <f aca="false">IF($G52="","",_xlfn.MINIFS($E$5:$E$1504,$A$5:$A$1504,$A52,$D$5:$D$1504,"&lt;&gt;تسليم",$E$5:$E$1504,"&gt;="&amp;$E52))</f>
        <v/>
      </c>
      <c r="I52" s="33" t="str">
        <f aca="false">IF($G52="","",_xlfn.MINIFS($E$5:$E$1504,$A$5:$A$1504,$A52,$D$5:$D$1504,"تسليم",$E$5:$E$1504,"&gt;"&amp;$E52))</f>
        <v/>
      </c>
      <c r="J52" s="33" t="str">
        <f aca="false">IF($G52="","",IF(H52&gt;0,IF(I52&gt;0,MIN(H52,I52),H52),IF(I52&gt;0,I52,تاريخ_الاحتساب)))</f>
        <v/>
      </c>
      <c r="K52" s="34" t="str">
        <f aca="false">IF($G52="","",IF(AND(H52=0,I52=0),"جارية","مغلقة"))</f>
        <v/>
      </c>
      <c r="L52" s="26" t="str">
        <f aca="false">IF($G52="","",MAX(0,NETWORKDAYS.INTL($E52,J52,رمز_العطلة,أيام_الأجازات)-1))</f>
        <v/>
      </c>
      <c r="M52" s="26" t="str">
        <f aca="false">IF($G52="","",MAX(0,L52-مهلة_المراجعة))</f>
        <v/>
      </c>
      <c r="N52" s="30" t="str">
        <f aca="false">IF($A52="",IF(OR($D52&lt;&gt;"",$E52&lt;&gt;""),"رقم المخرج ناقص",""),IF(ISNA(MATCH($A52,قائمة_المخرجات,0)),"رقم مخرج غير موجود",IF($D52="","نوع الحركة ناقص",IF(NOT(ISNUMBER($E52)),"التاريخ ناقص",IF($E52&gt;تاريخ_الاحتساب,"تاريخ بعد تاريخ الاحتساب",IF(AND($D52&lt;&gt;"تسليم",COUNTIFS($A$5:$A$1504,$A52,$D$5:$D$1504,"تسليم",$E$5:$E$1504,"&lt;="&amp;$E52)=0),"لا يوجد تسليم قبل الحركة دي",""))))))</f>
        <v/>
      </c>
    </row>
    <row r="53" customFormat="false" ht="15" hidden="false" customHeight="false" outlineLevel="0" collapsed="false">
      <c r="A53" s="20"/>
      <c r="B53" s="35" t="str">
        <f aca="false">IF($A53="","",IFERROR(INDEX(مخرج_البند,MATCH($A53,قائمة_المخرجات,0)),""))</f>
        <v/>
      </c>
      <c r="C53" s="30" t="str">
        <f aca="false">IF($A53="","",IFERROR(INDEX(مخرج_الوصف,MATCH($A53,قائمة_المخرجات,0)),""))</f>
        <v/>
      </c>
      <c r="D53" s="20"/>
      <c r="E53" s="31"/>
      <c r="F53" s="22"/>
      <c r="G53" s="36" t="str">
        <f aca="false">IF(OR($A53="",$D53&lt;&gt;"تسليم",NOT(ISNUMBER($E53))),"",COUNTIFS($A$5:$A$1504,$A53,$D$5:$D$1504,"تسليم",$E$5:$E$1504,"&lt;"&amp;$E53)+1)</f>
        <v/>
      </c>
      <c r="H53" s="33" t="str">
        <f aca="false">IF($G53="","",_xlfn.MINIFS($E$5:$E$1504,$A$5:$A$1504,$A53,$D$5:$D$1504,"&lt;&gt;تسليم",$E$5:$E$1504,"&gt;="&amp;$E53))</f>
        <v/>
      </c>
      <c r="I53" s="33" t="str">
        <f aca="false">IF($G53="","",_xlfn.MINIFS($E$5:$E$1504,$A$5:$A$1504,$A53,$D$5:$D$1504,"تسليم",$E$5:$E$1504,"&gt;"&amp;$E53))</f>
        <v/>
      </c>
      <c r="J53" s="33" t="str">
        <f aca="false">IF($G53="","",IF(H53&gt;0,IF(I53&gt;0,MIN(H53,I53),H53),IF(I53&gt;0,I53,تاريخ_الاحتساب)))</f>
        <v/>
      </c>
      <c r="K53" s="34" t="str">
        <f aca="false">IF($G53="","",IF(AND(H53=0,I53=0),"جارية","مغلقة"))</f>
        <v/>
      </c>
      <c r="L53" s="26" t="str">
        <f aca="false">IF($G53="","",MAX(0,NETWORKDAYS.INTL($E53,J53,رمز_العطلة,أيام_الأجازات)-1))</f>
        <v/>
      </c>
      <c r="M53" s="26" t="str">
        <f aca="false">IF($G53="","",MAX(0,L53-مهلة_المراجعة))</f>
        <v/>
      </c>
      <c r="N53" s="30" t="str">
        <f aca="false">IF($A53="",IF(OR($D53&lt;&gt;"",$E53&lt;&gt;""),"رقم المخرج ناقص",""),IF(ISNA(MATCH($A53,قائمة_المخرجات,0)),"رقم مخرج غير موجود",IF($D53="","نوع الحركة ناقص",IF(NOT(ISNUMBER($E53)),"التاريخ ناقص",IF($E53&gt;تاريخ_الاحتساب,"تاريخ بعد تاريخ الاحتساب",IF(AND($D53&lt;&gt;"تسليم",COUNTIFS($A$5:$A$1504,$A53,$D$5:$D$1504,"تسليم",$E$5:$E$1504,"&lt;="&amp;$E53)=0),"لا يوجد تسليم قبل الحركة دي",""))))))</f>
        <v/>
      </c>
    </row>
    <row r="54" customFormat="false" ht="15" hidden="false" customHeight="false" outlineLevel="0" collapsed="false">
      <c r="A54" s="20"/>
      <c r="B54" s="35" t="str">
        <f aca="false">IF($A54="","",IFERROR(INDEX(مخرج_البند,MATCH($A54,قائمة_المخرجات,0)),""))</f>
        <v/>
      </c>
      <c r="C54" s="30" t="str">
        <f aca="false">IF($A54="","",IFERROR(INDEX(مخرج_الوصف,MATCH($A54,قائمة_المخرجات,0)),""))</f>
        <v/>
      </c>
      <c r="D54" s="20"/>
      <c r="E54" s="31"/>
      <c r="F54" s="22"/>
      <c r="G54" s="36" t="str">
        <f aca="false">IF(OR($A54="",$D54&lt;&gt;"تسليم",NOT(ISNUMBER($E54))),"",COUNTIFS($A$5:$A$1504,$A54,$D$5:$D$1504,"تسليم",$E$5:$E$1504,"&lt;"&amp;$E54)+1)</f>
        <v/>
      </c>
      <c r="H54" s="33" t="str">
        <f aca="false">IF($G54="","",_xlfn.MINIFS($E$5:$E$1504,$A$5:$A$1504,$A54,$D$5:$D$1504,"&lt;&gt;تسليم",$E$5:$E$1504,"&gt;="&amp;$E54))</f>
        <v/>
      </c>
      <c r="I54" s="33" t="str">
        <f aca="false">IF($G54="","",_xlfn.MINIFS($E$5:$E$1504,$A$5:$A$1504,$A54,$D$5:$D$1504,"تسليم",$E$5:$E$1504,"&gt;"&amp;$E54))</f>
        <v/>
      </c>
      <c r="J54" s="33" t="str">
        <f aca="false">IF($G54="","",IF(H54&gt;0,IF(I54&gt;0,MIN(H54,I54),H54),IF(I54&gt;0,I54,تاريخ_الاحتساب)))</f>
        <v/>
      </c>
      <c r="K54" s="34" t="str">
        <f aca="false">IF($G54="","",IF(AND(H54=0,I54=0),"جارية","مغلقة"))</f>
        <v/>
      </c>
      <c r="L54" s="26" t="str">
        <f aca="false">IF($G54="","",MAX(0,NETWORKDAYS.INTL($E54,J54,رمز_العطلة,أيام_الأجازات)-1))</f>
        <v/>
      </c>
      <c r="M54" s="26" t="str">
        <f aca="false">IF($G54="","",MAX(0,L54-مهلة_المراجعة))</f>
        <v/>
      </c>
      <c r="N54" s="30" t="str">
        <f aca="false">IF($A54="",IF(OR($D54&lt;&gt;"",$E54&lt;&gt;""),"رقم المخرج ناقص",""),IF(ISNA(MATCH($A54,قائمة_المخرجات,0)),"رقم مخرج غير موجود",IF($D54="","نوع الحركة ناقص",IF(NOT(ISNUMBER($E54)),"التاريخ ناقص",IF($E54&gt;تاريخ_الاحتساب,"تاريخ بعد تاريخ الاحتساب",IF(AND($D54&lt;&gt;"تسليم",COUNTIFS($A$5:$A$1504,$A54,$D$5:$D$1504,"تسليم",$E$5:$E$1504,"&lt;="&amp;$E54)=0),"لا يوجد تسليم قبل الحركة دي",""))))))</f>
        <v/>
      </c>
    </row>
    <row r="55" customFormat="false" ht="15" hidden="false" customHeight="false" outlineLevel="0" collapsed="false">
      <c r="A55" s="20"/>
      <c r="B55" s="35" t="str">
        <f aca="false">IF($A55="","",IFERROR(INDEX(مخرج_البند,MATCH($A55,قائمة_المخرجات,0)),""))</f>
        <v/>
      </c>
      <c r="C55" s="30" t="str">
        <f aca="false">IF($A55="","",IFERROR(INDEX(مخرج_الوصف,MATCH($A55,قائمة_المخرجات,0)),""))</f>
        <v/>
      </c>
      <c r="D55" s="20"/>
      <c r="E55" s="31"/>
      <c r="F55" s="22"/>
      <c r="G55" s="36" t="str">
        <f aca="false">IF(OR($A55="",$D55&lt;&gt;"تسليم",NOT(ISNUMBER($E55))),"",COUNTIFS($A$5:$A$1504,$A55,$D$5:$D$1504,"تسليم",$E$5:$E$1504,"&lt;"&amp;$E55)+1)</f>
        <v/>
      </c>
      <c r="H55" s="33" t="str">
        <f aca="false">IF($G55="","",_xlfn.MINIFS($E$5:$E$1504,$A$5:$A$1504,$A55,$D$5:$D$1504,"&lt;&gt;تسليم",$E$5:$E$1504,"&gt;="&amp;$E55))</f>
        <v/>
      </c>
      <c r="I55" s="33" t="str">
        <f aca="false">IF($G55="","",_xlfn.MINIFS($E$5:$E$1504,$A$5:$A$1504,$A55,$D$5:$D$1504,"تسليم",$E$5:$E$1504,"&gt;"&amp;$E55))</f>
        <v/>
      </c>
      <c r="J55" s="33" t="str">
        <f aca="false">IF($G55="","",IF(H55&gt;0,IF(I55&gt;0,MIN(H55,I55),H55),IF(I55&gt;0,I55,تاريخ_الاحتساب)))</f>
        <v/>
      </c>
      <c r="K55" s="34" t="str">
        <f aca="false">IF($G55="","",IF(AND(H55=0,I55=0),"جارية","مغلقة"))</f>
        <v/>
      </c>
      <c r="L55" s="26" t="str">
        <f aca="false">IF($G55="","",MAX(0,NETWORKDAYS.INTL($E55,J55,رمز_العطلة,أيام_الأجازات)-1))</f>
        <v/>
      </c>
      <c r="M55" s="26" t="str">
        <f aca="false">IF($G55="","",MAX(0,L55-مهلة_المراجعة))</f>
        <v/>
      </c>
      <c r="N55" s="30" t="str">
        <f aca="false">IF($A55="",IF(OR($D55&lt;&gt;"",$E55&lt;&gt;""),"رقم المخرج ناقص",""),IF(ISNA(MATCH($A55,قائمة_المخرجات,0)),"رقم مخرج غير موجود",IF($D55="","نوع الحركة ناقص",IF(NOT(ISNUMBER($E55)),"التاريخ ناقص",IF($E55&gt;تاريخ_الاحتساب,"تاريخ بعد تاريخ الاحتساب",IF(AND($D55&lt;&gt;"تسليم",COUNTIFS($A$5:$A$1504,$A55,$D$5:$D$1504,"تسليم",$E$5:$E$1504,"&lt;="&amp;$E55)=0),"لا يوجد تسليم قبل الحركة دي",""))))))</f>
        <v/>
      </c>
    </row>
    <row r="56" customFormat="false" ht="15" hidden="false" customHeight="false" outlineLevel="0" collapsed="false">
      <c r="A56" s="20"/>
      <c r="B56" s="35" t="str">
        <f aca="false">IF($A56="","",IFERROR(INDEX(مخرج_البند,MATCH($A56,قائمة_المخرجات,0)),""))</f>
        <v/>
      </c>
      <c r="C56" s="30" t="str">
        <f aca="false">IF($A56="","",IFERROR(INDEX(مخرج_الوصف,MATCH($A56,قائمة_المخرجات,0)),""))</f>
        <v/>
      </c>
      <c r="D56" s="20"/>
      <c r="E56" s="31"/>
      <c r="F56" s="22"/>
      <c r="G56" s="36" t="str">
        <f aca="false">IF(OR($A56="",$D56&lt;&gt;"تسليم",NOT(ISNUMBER($E56))),"",COUNTIFS($A$5:$A$1504,$A56,$D$5:$D$1504,"تسليم",$E$5:$E$1504,"&lt;"&amp;$E56)+1)</f>
        <v/>
      </c>
      <c r="H56" s="33" t="str">
        <f aca="false">IF($G56="","",_xlfn.MINIFS($E$5:$E$1504,$A$5:$A$1504,$A56,$D$5:$D$1504,"&lt;&gt;تسليم",$E$5:$E$1504,"&gt;="&amp;$E56))</f>
        <v/>
      </c>
      <c r="I56" s="33" t="str">
        <f aca="false">IF($G56="","",_xlfn.MINIFS($E$5:$E$1504,$A$5:$A$1504,$A56,$D$5:$D$1504,"تسليم",$E$5:$E$1504,"&gt;"&amp;$E56))</f>
        <v/>
      </c>
      <c r="J56" s="33" t="str">
        <f aca="false">IF($G56="","",IF(H56&gt;0,IF(I56&gt;0,MIN(H56,I56),H56),IF(I56&gt;0,I56,تاريخ_الاحتساب)))</f>
        <v/>
      </c>
      <c r="K56" s="34" t="str">
        <f aca="false">IF($G56="","",IF(AND(H56=0,I56=0),"جارية","مغلقة"))</f>
        <v/>
      </c>
      <c r="L56" s="26" t="str">
        <f aca="false">IF($G56="","",MAX(0,NETWORKDAYS.INTL($E56,J56,رمز_العطلة,أيام_الأجازات)-1))</f>
        <v/>
      </c>
      <c r="M56" s="26" t="str">
        <f aca="false">IF($G56="","",MAX(0,L56-مهلة_المراجعة))</f>
        <v/>
      </c>
      <c r="N56" s="30" t="str">
        <f aca="false">IF($A56="",IF(OR($D56&lt;&gt;"",$E56&lt;&gt;""),"رقم المخرج ناقص",""),IF(ISNA(MATCH($A56,قائمة_المخرجات,0)),"رقم مخرج غير موجود",IF($D56="","نوع الحركة ناقص",IF(NOT(ISNUMBER($E56)),"التاريخ ناقص",IF($E56&gt;تاريخ_الاحتساب,"تاريخ بعد تاريخ الاحتساب",IF(AND($D56&lt;&gt;"تسليم",COUNTIFS($A$5:$A$1504,$A56,$D$5:$D$1504,"تسليم",$E$5:$E$1504,"&lt;="&amp;$E56)=0),"لا يوجد تسليم قبل الحركة دي",""))))))</f>
        <v/>
      </c>
    </row>
    <row r="57" customFormat="false" ht="15" hidden="false" customHeight="false" outlineLevel="0" collapsed="false">
      <c r="A57" s="20"/>
      <c r="B57" s="35" t="str">
        <f aca="false">IF($A57="","",IFERROR(INDEX(مخرج_البند,MATCH($A57,قائمة_المخرجات,0)),""))</f>
        <v/>
      </c>
      <c r="C57" s="30" t="str">
        <f aca="false">IF($A57="","",IFERROR(INDEX(مخرج_الوصف,MATCH($A57,قائمة_المخرجات,0)),""))</f>
        <v/>
      </c>
      <c r="D57" s="20"/>
      <c r="E57" s="31"/>
      <c r="F57" s="22"/>
      <c r="G57" s="36" t="str">
        <f aca="false">IF(OR($A57="",$D57&lt;&gt;"تسليم",NOT(ISNUMBER($E57))),"",COUNTIFS($A$5:$A$1504,$A57,$D$5:$D$1504,"تسليم",$E$5:$E$1504,"&lt;"&amp;$E57)+1)</f>
        <v/>
      </c>
      <c r="H57" s="33" t="str">
        <f aca="false">IF($G57="","",_xlfn.MINIFS($E$5:$E$1504,$A$5:$A$1504,$A57,$D$5:$D$1504,"&lt;&gt;تسليم",$E$5:$E$1504,"&gt;="&amp;$E57))</f>
        <v/>
      </c>
      <c r="I57" s="33" t="str">
        <f aca="false">IF($G57="","",_xlfn.MINIFS($E$5:$E$1504,$A$5:$A$1504,$A57,$D$5:$D$1504,"تسليم",$E$5:$E$1504,"&gt;"&amp;$E57))</f>
        <v/>
      </c>
      <c r="J57" s="33" t="str">
        <f aca="false">IF($G57="","",IF(H57&gt;0,IF(I57&gt;0,MIN(H57,I57),H57),IF(I57&gt;0,I57,تاريخ_الاحتساب)))</f>
        <v/>
      </c>
      <c r="K57" s="34" t="str">
        <f aca="false">IF($G57="","",IF(AND(H57=0,I57=0),"جارية","مغلقة"))</f>
        <v/>
      </c>
      <c r="L57" s="26" t="str">
        <f aca="false">IF($G57="","",MAX(0,NETWORKDAYS.INTL($E57,J57,رمز_العطلة,أيام_الأجازات)-1))</f>
        <v/>
      </c>
      <c r="M57" s="26" t="str">
        <f aca="false">IF($G57="","",MAX(0,L57-مهلة_المراجعة))</f>
        <v/>
      </c>
      <c r="N57" s="30" t="str">
        <f aca="false">IF($A57="",IF(OR($D57&lt;&gt;"",$E57&lt;&gt;""),"رقم المخرج ناقص",""),IF(ISNA(MATCH($A57,قائمة_المخرجات,0)),"رقم مخرج غير موجود",IF($D57="","نوع الحركة ناقص",IF(NOT(ISNUMBER($E57)),"التاريخ ناقص",IF($E57&gt;تاريخ_الاحتساب,"تاريخ بعد تاريخ الاحتساب",IF(AND($D57&lt;&gt;"تسليم",COUNTIFS($A$5:$A$1504,$A57,$D$5:$D$1504,"تسليم",$E$5:$E$1504,"&lt;="&amp;$E57)=0),"لا يوجد تسليم قبل الحركة دي",""))))))</f>
        <v/>
      </c>
    </row>
    <row r="58" customFormat="false" ht="15" hidden="false" customHeight="false" outlineLevel="0" collapsed="false">
      <c r="A58" s="20"/>
      <c r="B58" s="35" t="str">
        <f aca="false">IF($A58="","",IFERROR(INDEX(مخرج_البند,MATCH($A58,قائمة_المخرجات,0)),""))</f>
        <v/>
      </c>
      <c r="C58" s="30" t="str">
        <f aca="false">IF($A58="","",IFERROR(INDEX(مخرج_الوصف,MATCH($A58,قائمة_المخرجات,0)),""))</f>
        <v/>
      </c>
      <c r="D58" s="20"/>
      <c r="E58" s="31"/>
      <c r="F58" s="22"/>
      <c r="G58" s="36" t="str">
        <f aca="false">IF(OR($A58="",$D58&lt;&gt;"تسليم",NOT(ISNUMBER($E58))),"",COUNTIFS($A$5:$A$1504,$A58,$D$5:$D$1504,"تسليم",$E$5:$E$1504,"&lt;"&amp;$E58)+1)</f>
        <v/>
      </c>
      <c r="H58" s="33" t="str">
        <f aca="false">IF($G58="","",_xlfn.MINIFS($E$5:$E$1504,$A$5:$A$1504,$A58,$D$5:$D$1504,"&lt;&gt;تسليم",$E$5:$E$1504,"&gt;="&amp;$E58))</f>
        <v/>
      </c>
      <c r="I58" s="33" t="str">
        <f aca="false">IF($G58="","",_xlfn.MINIFS($E$5:$E$1504,$A$5:$A$1504,$A58,$D$5:$D$1504,"تسليم",$E$5:$E$1504,"&gt;"&amp;$E58))</f>
        <v/>
      </c>
      <c r="J58" s="33" t="str">
        <f aca="false">IF($G58="","",IF(H58&gt;0,IF(I58&gt;0,MIN(H58,I58),H58),IF(I58&gt;0,I58,تاريخ_الاحتساب)))</f>
        <v/>
      </c>
      <c r="K58" s="34" t="str">
        <f aca="false">IF($G58="","",IF(AND(H58=0,I58=0),"جارية","مغلقة"))</f>
        <v/>
      </c>
      <c r="L58" s="26" t="str">
        <f aca="false">IF($G58="","",MAX(0,NETWORKDAYS.INTL($E58,J58,رمز_العطلة,أيام_الأجازات)-1))</f>
        <v/>
      </c>
      <c r="M58" s="26" t="str">
        <f aca="false">IF($G58="","",MAX(0,L58-مهلة_المراجعة))</f>
        <v/>
      </c>
      <c r="N58" s="30" t="str">
        <f aca="false">IF($A58="",IF(OR($D58&lt;&gt;"",$E58&lt;&gt;""),"رقم المخرج ناقص",""),IF(ISNA(MATCH($A58,قائمة_المخرجات,0)),"رقم مخرج غير موجود",IF($D58="","نوع الحركة ناقص",IF(NOT(ISNUMBER($E58)),"التاريخ ناقص",IF($E58&gt;تاريخ_الاحتساب,"تاريخ بعد تاريخ الاحتساب",IF(AND($D58&lt;&gt;"تسليم",COUNTIFS($A$5:$A$1504,$A58,$D$5:$D$1504,"تسليم",$E$5:$E$1504,"&lt;="&amp;$E58)=0),"لا يوجد تسليم قبل الحركة دي",""))))))</f>
        <v/>
      </c>
    </row>
    <row r="59" customFormat="false" ht="15" hidden="false" customHeight="false" outlineLevel="0" collapsed="false">
      <c r="A59" s="20"/>
      <c r="B59" s="35" t="str">
        <f aca="false">IF($A59="","",IFERROR(INDEX(مخرج_البند,MATCH($A59,قائمة_المخرجات,0)),""))</f>
        <v/>
      </c>
      <c r="C59" s="30" t="str">
        <f aca="false">IF($A59="","",IFERROR(INDEX(مخرج_الوصف,MATCH($A59,قائمة_المخرجات,0)),""))</f>
        <v/>
      </c>
      <c r="D59" s="20"/>
      <c r="E59" s="31"/>
      <c r="F59" s="22"/>
      <c r="G59" s="36" t="str">
        <f aca="false">IF(OR($A59="",$D59&lt;&gt;"تسليم",NOT(ISNUMBER($E59))),"",COUNTIFS($A$5:$A$1504,$A59,$D$5:$D$1504,"تسليم",$E$5:$E$1504,"&lt;"&amp;$E59)+1)</f>
        <v/>
      </c>
      <c r="H59" s="33" t="str">
        <f aca="false">IF($G59="","",_xlfn.MINIFS($E$5:$E$1504,$A$5:$A$1504,$A59,$D$5:$D$1504,"&lt;&gt;تسليم",$E$5:$E$1504,"&gt;="&amp;$E59))</f>
        <v/>
      </c>
      <c r="I59" s="33" t="str">
        <f aca="false">IF($G59="","",_xlfn.MINIFS($E$5:$E$1504,$A$5:$A$1504,$A59,$D$5:$D$1504,"تسليم",$E$5:$E$1504,"&gt;"&amp;$E59))</f>
        <v/>
      </c>
      <c r="J59" s="33" t="str">
        <f aca="false">IF($G59="","",IF(H59&gt;0,IF(I59&gt;0,MIN(H59,I59),H59),IF(I59&gt;0,I59,تاريخ_الاحتساب)))</f>
        <v/>
      </c>
      <c r="K59" s="34" t="str">
        <f aca="false">IF($G59="","",IF(AND(H59=0,I59=0),"جارية","مغلقة"))</f>
        <v/>
      </c>
      <c r="L59" s="26" t="str">
        <f aca="false">IF($G59="","",MAX(0,NETWORKDAYS.INTL($E59,J59,رمز_العطلة,أيام_الأجازات)-1))</f>
        <v/>
      </c>
      <c r="M59" s="26" t="str">
        <f aca="false">IF($G59="","",MAX(0,L59-مهلة_المراجعة))</f>
        <v/>
      </c>
      <c r="N59" s="30" t="str">
        <f aca="false">IF($A59="",IF(OR($D59&lt;&gt;"",$E59&lt;&gt;""),"رقم المخرج ناقص",""),IF(ISNA(MATCH($A59,قائمة_المخرجات,0)),"رقم مخرج غير موجود",IF($D59="","نوع الحركة ناقص",IF(NOT(ISNUMBER($E59)),"التاريخ ناقص",IF($E59&gt;تاريخ_الاحتساب,"تاريخ بعد تاريخ الاحتساب",IF(AND($D59&lt;&gt;"تسليم",COUNTIFS($A$5:$A$1504,$A59,$D$5:$D$1504,"تسليم",$E$5:$E$1504,"&lt;="&amp;$E59)=0),"لا يوجد تسليم قبل الحركة دي",""))))))</f>
        <v/>
      </c>
    </row>
    <row r="60" customFormat="false" ht="15" hidden="false" customHeight="false" outlineLevel="0" collapsed="false">
      <c r="A60" s="20"/>
      <c r="B60" s="35" t="str">
        <f aca="false">IF($A60="","",IFERROR(INDEX(مخرج_البند,MATCH($A60,قائمة_المخرجات,0)),""))</f>
        <v/>
      </c>
      <c r="C60" s="30" t="str">
        <f aca="false">IF($A60="","",IFERROR(INDEX(مخرج_الوصف,MATCH($A60,قائمة_المخرجات,0)),""))</f>
        <v/>
      </c>
      <c r="D60" s="20"/>
      <c r="E60" s="31"/>
      <c r="F60" s="22"/>
      <c r="G60" s="36" t="str">
        <f aca="false">IF(OR($A60="",$D60&lt;&gt;"تسليم",NOT(ISNUMBER($E60))),"",COUNTIFS($A$5:$A$1504,$A60,$D$5:$D$1504,"تسليم",$E$5:$E$1504,"&lt;"&amp;$E60)+1)</f>
        <v/>
      </c>
      <c r="H60" s="33" t="str">
        <f aca="false">IF($G60="","",_xlfn.MINIFS($E$5:$E$1504,$A$5:$A$1504,$A60,$D$5:$D$1504,"&lt;&gt;تسليم",$E$5:$E$1504,"&gt;="&amp;$E60))</f>
        <v/>
      </c>
      <c r="I60" s="33" t="str">
        <f aca="false">IF($G60="","",_xlfn.MINIFS($E$5:$E$1504,$A$5:$A$1504,$A60,$D$5:$D$1504,"تسليم",$E$5:$E$1504,"&gt;"&amp;$E60))</f>
        <v/>
      </c>
      <c r="J60" s="33" t="str">
        <f aca="false">IF($G60="","",IF(H60&gt;0,IF(I60&gt;0,MIN(H60,I60),H60),IF(I60&gt;0,I60,تاريخ_الاحتساب)))</f>
        <v/>
      </c>
      <c r="K60" s="34" t="str">
        <f aca="false">IF($G60="","",IF(AND(H60=0,I60=0),"جارية","مغلقة"))</f>
        <v/>
      </c>
      <c r="L60" s="26" t="str">
        <f aca="false">IF($G60="","",MAX(0,NETWORKDAYS.INTL($E60,J60,رمز_العطلة,أيام_الأجازات)-1))</f>
        <v/>
      </c>
      <c r="M60" s="26" t="str">
        <f aca="false">IF($G60="","",MAX(0,L60-مهلة_المراجعة))</f>
        <v/>
      </c>
      <c r="N60" s="30" t="str">
        <f aca="false">IF($A60="",IF(OR($D60&lt;&gt;"",$E60&lt;&gt;""),"رقم المخرج ناقص",""),IF(ISNA(MATCH($A60,قائمة_المخرجات,0)),"رقم مخرج غير موجود",IF($D60="","نوع الحركة ناقص",IF(NOT(ISNUMBER($E60)),"التاريخ ناقص",IF($E60&gt;تاريخ_الاحتساب,"تاريخ بعد تاريخ الاحتساب",IF(AND($D60&lt;&gt;"تسليم",COUNTIFS($A$5:$A$1504,$A60,$D$5:$D$1504,"تسليم",$E$5:$E$1504,"&lt;="&amp;$E60)=0),"لا يوجد تسليم قبل الحركة دي",""))))))</f>
        <v/>
      </c>
    </row>
    <row r="61" customFormat="false" ht="15" hidden="false" customHeight="false" outlineLevel="0" collapsed="false">
      <c r="A61" s="20"/>
      <c r="B61" s="35" t="str">
        <f aca="false">IF($A61="","",IFERROR(INDEX(مخرج_البند,MATCH($A61,قائمة_المخرجات,0)),""))</f>
        <v/>
      </c>
      <c r="C61" s="30" t="str">
        <f aca="false">IF($A61="","",IFERROR(INDEX(مخرج_الوصف,MATCH($A61,قائمة_المخرجات,0)),""))</f>
        <v/>
      </c>
      <c r="D61" s="20"/>
      <c r="E61" s="31"/>
      <c r="F61" s="22"/>
      <c r="G61" s="36" t="str">
        <f aca="false">IF(OR($A61="",$D61&lt;&gt;"تسليم",NOT(ISNUMBER($E61))),"",COUNTIFS($A$5:$A$1504,$A61,$D$5:$D$1504,"تسليم",$E$5:$E$1504,"&lt;"&amp;$E61)+1)</f>
        <v/>
      </c>
      <c r="H61" s="33" t="str">
        <f aca="false">IF($G61="","",_xlfn.MINIFS($E$5:$E$1504,$A$5:$A$1504,$A61,$D$5:$D$1504,"&lt;&gt;تسليم",$E$5:$E$1504,"&gt;="&amp;$E61))</f>
        <v/>
      </c>
      <c r="I61" s="33" t="str">
        <f aca="false">IF($G61="","",_xlfn.MINIFS($E$5:$E$1504,$A$5:$A$1504,$A61,$D$5:$D$1504,"تسليم",$E$5:$E$1504,"&gt;"&amp;$E61))</f>
        <v/>
      </c>
      <c r="J61" s="33" t="str">
        <f aca="false">IF($G61="","",IF(H61&gt;0,IF(I61&gt;0,MIN(H61,I61),H61),IF(I61&gt;0,I61,تاريخ_الاحتساب)))</f>
        <v/>
      </c>
      <c r="K61" s="34" t="str">
        <f aca="false">IF($G61="","",IF(AND(H61=0,I61=0),"جارية","مغلقة"))</f>
        <v/>
      </c>
      <c r="L61" s="26" t="str">
        <f aca="false">IF($G61="","",MAX(0,NETWORKDAYS.INTL($E61,J61,رمز_العطلة,أيام_الأجازات)-1))</f>
        <v/>
      </c>
      <c r="M61" s="26" t="str">
        <f aca="false">IF($G61="","",MAX(0,L61-مهلة_المراجعة))</f>
        <v/>
      </c>
      <c r="N61" s="30" t="str">
        <f aca="false">IF($A61="",IF(OR($D61&lt;&gt;"",$E61&lt;&gt;""),"رقم المخرج ناقص",""),IF(ISNA(MATCH($A61,قائمة_المخرجات,0)),"رقم مخرج غير موجود",IF($D61="","نوع الحركة ناقص",IF(NOT(ISNUMBER($E61)),"التاريخ ناقص",IF($E61&gt;تاريخ_الاحتساب,"تاريخ بعد تاريخ الاحتساب",IF(AND($D61&lt;&gt;"تسليم",COUNTIFS($A$5:$A$1504,$A61,$D$5:$D$1504,"تسليم",$E$5:$E$1504,"&lt;="&amp;$E61)=0),"لا يوجد تسليم قبل الحركة دي",""))))))</f>
        <v/>
      </c>
    </row>
    <row r="62" customFormat="false" ht="15" hidden="false" customHeight="false" outlineLevel="0" collapsed="false">
      <c r="A62" s="20"/>
      <c r="B62" s="35" t="str">
        <f aca="false">IF($A62="","",IFERROR(INDEX(مخرج_البند,MATCH($A62,قائمة_المخرجات,0)),""))</f>
        <v/>
      </c>
      <c r="C62" s="30" t="str">
        <f aca="false">IF($A62="","",IFERROR(INDEX(مخرج_الوصف,MATCH($A62,قائمة_المخرجات,0)),""))</f>
        <v/>
      </c>
      <c r="D62" s="20"/>
      <c r="E62" s="31"/>
      <c r="F62" s="22"/>
      <c r="G62" s="36" t="str">
        <f aca="false">IF(OR($A62="",$D62&lt;&gt;"تسليم",NOT(ISNUMBER($E62))),"",COUNTIFS($A$5:$A$1504,$A62,$D$5:$D$1504,"تسليم",$E$5:$E$1504,"&lt;"&amp;$E62)+1)</f>
        <v/>
      </c>
      <c r="H62" s="33" t="str">
        <f aca="false">IF($G62="","",_xlfn.MINIFS($E$5:$E$1504,$A$5:$A$1504,$A62,$D$5:$D$1504,"&lt;&gt;تسليم",$E$5:$E$1504,"&gt;="&amp;$E62))</f>
        <v/>
      </c>
      <c r="I62" s="33" t="str">
        <f aca="false">IF($G62="","",_xlfn.MINIFS($E$5:$E$1504,$A$5:$A$1504,$A62,$D$5:$D$1504,"تسليم",$E$5:$E$1504,"&gt;"&amp;$E62))</f>
        <v/>
      </c>
      <c r="J62" s="33" t="str">
        <f aca="false">IF($G62="","",IF(H62&gt;0,IF(I62&gt;0,MIN(H62,I62),H62),IF(I62&gt;0,I62,تاريخ_الاحتساب)))</f>
        <v/>
      </c>
      <c r="K62" s="34" t="str">
        <f aca="false">IF($G62="","",IF(AND(H62=0,I62=0),"جارية","مغلقة"))</f>
        <v/>
      </c>
      <c r="L62" s="26" t="str">
        <f aca="false">IF($G62="","",MAX(0,NETWORKDAYS.INTL($E62,J62,رمز_العطلة,أيام_الأجازات)-1))</f>
        <v/>
      </c>
      <c r="M62" s="26" t="str">
        <f aca="false">IF($G62="","",MAX(0,L62-مهلة_المراجعة))</f>
        <v/>
      </c>
      <c r="N62" s="30" t="str">
        <f aca="false">IF($A62="",IF(OR($D62&lt;&gt;"",$E62&lt;&gt;""),"رقم المخرج ناقص",""),IF(ISNA(MATCH($A62,قائمة_المخرجات,0)),"رقم مخرج غير موجود",IF($D62="","نوع الحركة ناقص",IF(NOT(ISNUMBER($E62)),"التاريخ ناقص",IF($E62&gt;تاريخ_الاحتساب,"تاريخ بعد تاريخ الاحتساب",IF(AND($D62&lt;&gt;"تسليم",COUNTIFS($A$5:$A$1504,$A62,$D$5:$D$1504,"تسليم",$E$5:$E$1504,"&lt;="&amp;$E62)=0),"لا يوجد تسليم قبل الحركة دي",""))))))</f>
        <v/>
      </c>
    </row>
    <row r="63" customFormat="false" ht="15" hidden="false" customHeight="false" outlineLevel="0" collapsed="false">
      <c r="A63" s="20"/>
      <c r="B63" s="35" t="str">
        <f aca="false">IF($A63="","",IFERROR(INDEX(مخرج_البند,MATCH($A63,قائمة_المخرجات,0)),""))</f>
        <v/>
      </c>
      <c r="C63" s="30" t="str">
        <f aca="false">IF($A63="","",IFERROR(INDEX(مخرج_الوصف,MATCH($A63,قائمة_المخرجات,0)),""))</f>
        <v/>
      </c>
      <c r="D63" s="20"/>
      <c r="E63" s="31"/>
      <c r="F63" s="22"/>
      <c r="G63" s="36" t="str">
        <f aca="false">IF(OR($A63="",$D63&lt;&gt;"تسليم",NOT(ISNUMBER($E63))),"",COUNTIFS($A$5:$A$1504,$A63,$D$5:$D$1504,"تسليم",$E$5:$E$1504,"&lt;"&amp;$E63)+1)</f>
        <v/>
      </c>
      <c r="H63" s="33" t="str">
        <f aca="false">IF($G63="","",_xlfn.MINIFS($E$5:$E$1504,$A$5:$A$1504,$A63,$D$5:$D$1504,"&lt;&gt;تسليم",$E$5:$E$1504,"&gt;="&amp;$E63))</f>
        <v/>
      </c>
      <c r="I63" s="33" t="str">
        <f aca="false">IF($G63="","",_xlfn.MINIFS($E$5:$E$1504,$A$5:$A$1504,$A63,$D$5:$D$1504,"تسليم",$E$5:$E$1504,"&gt;"&amp;$E63))</f>
        <v/>
      </c>
      <c r="J63" s="33" t="str">
        <f aca="false">IF($G63="","",IF(H63&gt;0,IF(I63&gt;0,MIN(H63,I63),H63),IF(I63&gt;0,I63,تاريخ_الاحتساب)))</f>
        <v/>
      </c>
      <c r="K63" s="34" t="str">
        <f aca="false">IF($G63="","",IF(AND(H63=0,I63=0),"جارية","مغلقة"))</f>
        <v/>
      </c>
      <c r="L63" s="26" t="str">
        <f aca="false">IF($G63="","",MAX(0,NETWORKDAYS.INTL($E63,J63,رمز_العطلة,أيام_الأجازات)-1))</f>
        <v/>
      </c>
      <c r="M63" s="26" t="str">
        <f aca="false">IF($G63="","",MAX(0,L63-مهلة_المراجعة))</f>
        <v/>
      </c>
      <c r="N63" s="30" t="str">
        <f aca="false">IF($A63="",IF(OR($D63&lt;&gt;"",$E63&lt;&gt;""),"رقم المخرج ناقص",""),IF(ISNA(MATCH($A63,قائمة_المخرجات,0)),"رقم مخرج غير موجود",IF($D63="","نوع الحركة ناقص",IF(NOT(ISNUMBER($E63)),"التاريخ ناقص",IF($E63&gt;تاريخ_الاحتساب,"تاريخ بعد تاريخ الاحتساب",IF(AND($D63&lt;&gt;"تسليم",COUNTIFS($A$5:$A$1504,$A63,$D$5:$D$1504,"تسليم",$E$5:$E$1504,"&lt;="&amp;$E63)=0),"لا يوجد تسليم قبل الحركة دي",""))))))</f>
        <v/>
      </c>
    </row>
    <row r="64" customFormat="false" ht="15" hidden="false" customHeight="false" outlineLevel="0" collapsed="false">
      <c r="A64" s="20"/>
      <c r="B64" s="35" t="str">
        <f aca="false">IF($A64="","",IFERROR(INDEX(مخرج_البند,MATCH($A64,قائمة_المخرجات,0)),""))</f>
        <v/>
      </c>
      <c r="C64" s="30" t="str">
        <f aca="false">IF($A64="","",IFERROR(INDEX(مخرج_الوصف,MATCH($A64,قائمة_المخرجات,0)),""))</f>
        <v/>
      </c>
      <c r="D64" s="20"/>
      <c r="E64" s="31"/>
      <c r="F64" s="22"/>
      <c r="G64" s="36" t="str">
        <f aca="false">IF(OR($A64="",$D64&lt;&gt;"تسليم",NOT(ISNUMBER($E64))),"",COUNTIFS($A$5:$A$1504,$A64,$D$5:$D$1504,"تسليم",$E$5:$E$1504,"&lt;"&amp;$E64)+1)</f>
        <v/>
      </c>
      <c r="H64" s="33" t="str">
        <f aca="false">IF($G64="","",_xlfn.MINIFS($E$5:$E$1504,$A$5:$A$1504,$A64,$D$5:$D$1504,"&lt;&gt;تسليم",$E$5:$E$1504,"&gt;="&amp;$E64))</f>
        <v/>
      </c>
      <c r="I64" s="33" t="str">
        <f aca="false">IF($G64="","",_xlfn.MINIFS($E$5:$E$1504,$A$5:$A$1504,$A64,$D$5:$D$1504,"تسليم",$E$5:$E$1504,"&gt;"&amp;$E64))</f>
        <v/>
      </c>
      <c r="J64" s="33" t="str">
        <f aca="false">IF($G64="","",IF(H64&gt;0,IF(I64&gt;0,MIN(H64,I64),H64),IF(I64&gt;0,I64,تاريخ_الاحتساب)))</f>
        <v/>
      </c>
      <c r="K64" s="34" t="str">
        <f aca="false">IF($G64="","",IF(AND(H64=0,I64=0),"جارية","مغلقة"))</f>
        <v/>
      </c>
      <c r="L64" s="26" t="str">
        <f aca="false">IF($G64="","",MAX(0,NETWORKDAYS.INTL($E64,J64,رمز_العطلة,أيام_الأجازات)-1))</f>
        <v/>
      </c>
      <c r="M64" s="26" t="str">
        <f aca="false">IF($G64="","",MAX(0,L64-مهلة_المراجعة))</f>
        <v/>
      </c>
      <c r="N64" s="30" t="str">
        <f aca="false">IF($A64="",IF(OR($D64&lt;&gt;"",$E64&lt;&gt;""),"رقم المخرج ناقص",""),IF(ISNA(MATCH($A64,قائمة_المخرجات,0)),"رقم مخرج غير موجود",IF($D64="","نوع الحركة ناقص",IF(NOT(ISNUMBER($E64)),"التاريخ ناقص",IF($E64&gt;تاريخ_الاحتساب,"تاريخ بعد تاريخ الاحتساب",IF(AND($D64&lt;&gt;"تسليم",COUNTIFS($A$5:$A$1504,$A64,$D$5:$D$1504,"تسليم",$E$5:$E$1504,"&lt;="&amp;$E64)=0),"لا يوجد تسليم قبل الحركة دي",""))))))</f>
        <v/>
      </c>
    </row>
    <row r="65" customFormat="false" ht="15" hidden="false" customHeight="false" outlineLevel="0" collapsed="false">
      <c r="A65" s="20"/>
      <c r="B65" s="35" t="str">
        <f aca="false">IF($A65="","",IFERROR(INDEX(مخرج_البند,MATCH($A65,قائمة_المخرجات,0)),""))</f>
        <v/>
      </c>
      <c r="C65" s="30" t="str">
        <f aca="false">IF($A65="","",IFERROR(INDEX(مخرج_الوصف,MATCH($A65,قائمة_المخرجات,0)),""))</f>
        <v/>
      </c>
      <c r="D65" s="20"/>
      <c r="E65" s="31"/>
      <c r="F65" s="22"/>
      <c r="G65" s="36" t="str">
        <f aca="false">IF(OR($A65="",$D65&lt;&gt;"تسليم",NOT(ISNUMBER($E65))),"",COUNTIFS($A$5:$A$1504,$A65,$D$5:$D$1504,"تسليم",$E$5:$E$1504,"&lt;"&amp;$E65)+1)</f>
        <v/>
      </c>
      <c r="H65" s="33" t="str">
        <f aca="false">IF($G65="","",_xlfn.MINIFS($E$5:$E$1504,$A$5:$A$1504,$A65,$D$5:$D$1504,"&lt;&gt;تسليم",$E$5:$E$1504,"&gt;="&amp;$E65))</f>
        <v/>
      </c>
      <c r="I65" s="33" t="str">
        <f aca="false">IF($G65="","",_xlfn.MINIFS($E$5:$E$1504,$A$5:$A$1504,$A65,$D$5:$D$1504,"تسليم",$E$5:$E$1504,"&gt;"&amp;$E65))</f>
        <v/>
      </c>
      <c r="J65" s="33" t="str">
        <f aca="false">IF($G65="","",IF(H65&gt;0,IF(I65&gt;0,MIN(H65,I65),H65),IF(I65&gt;0,I65,تاريخ_الاحتساب)))</f>
        <v/>
      </c>
      <c r="K65" s="34" t="str">
        <f aca="false">IF($G65="","",IF(AND(H65=0,I65=0),"جارية","مغلقة"))</f>
        <v/>
      </c>
      <c r="L65" s="26" t="str">
        <f aca="false">IF($G65="","",MAX(0,NETWORKDAYS.INTL($E65,J65,رمز_العطلة,أيام_الأجازات)-1))</f>
        <v/>
      </c>
      <c r="M65" s="26" t="str">
        <f aca="false">IF($G65="","",MAX(0,L65-مهلة_المراجعة))</f>
        <v/>
      </c>
      <c r="N65" s="30" t="str">
        <f aca="false">IF($A65="",IF(OR($D65&lt;&gt;"",$E65&lt;&gt;""),"رقم المخرج ناقص",""),IF(ISNA(MATCH($A65,قائمة_المخرجات,0)),"رقم مخرج غير موجود",IF($D65="","نوع الحركة ناقص",IF(NOT(ISNUMBER($E65)),"التاريخ ناقص",IF($E65&gt;تاريخ_الاحتساب,"تاريخ بعد تاريخ الاحتساب",IF(AND($D65&lt;&gt;"تسليم",COUNTIFS($A$5:$A$1504,$A65,$D$5:$D$1504,"تسليم",$E$5:$E$1504,"&lt;="&amp;$E65)=0),"لا يوجد تسليم قبل الحركة دي",""))))))</f>
        <v/>
      </c>
    </row>
    <row r="66" customFormat="false" ht="15" hidden="false" customHeight="false" outlineLevel="0" collapsed="false">
      <c r="A66" s="20"/>
      <c r="B66" s="35" t="str">
        <f aca="false">IF($A66="","",IFERROR(INDEX(مخرج_البند,MATCH($A66,قائمة_المخرجات,0)),""))</f>
        <v/>
      </c>
      <c r="C66" s="30" t="str">
        <f aca="false">IF($A66="","",IFERROR(INDEX(مخرج_الوصف,MATCH($A66,قائمة_المخرجات,0)),""))</f>
        <v/>
      </c>
      <c r="D66" s="20"/>
      <c r="E66" s="31"/>
      <c r="F66" s="22"/>
      <c r="G66" s="36" t="str">
        <f aca="false">IF(OR($A66="",$D66&lt;&gt;"تسليم",NOT(ISNUMBER($E66))),"",COUNTIFS($A$5:$A$1504,$A66,$D$5:$D$1504,"تسليم",$E$5:$E$1504,"&lt;"&amp;$E66)+1)</f>
        <v/>
      </c>
      <c r="H66" s="33" t="str">
        <f aca="false">IF($G66="","",_xlfn.MINIFS($E$5:$E$1504,$A$5:$A$1504,$A66,$D$5:$D$1504,"&lt;&gt;تسليم",$E$5:$E$1504,"&gt;="&amp;$E66))</f>
        <v/>
      </c>
      <c r="I66" s="33" t="str">
        <f aca="false">IF($G66="","",_xlfn.MINIFS($E$5:$E$1504,$A$5:$A$1504,$A66,$D$5:$D$1504,"تسليم",$E$5:$E$1504,"&gt;"&amp;$E66))</f>
        <v/>
      </c>
      <c r="J66" s="33" t="str">
        <f aca="false">IF($G66="","",IF(H66&gt;0,IF(I66&gt;0,MIN(H66,I66),H66),IF(I66&gt;0,I66,تاريخ_الاحتساب)))</f>
        <v/>
      </c>
      <c r="K66" s="34" t="str">
        <f aca="false">IF($G66="","",IF(AND(H66=0,I66=0),"جارية","مغلقة"))</f>
        <v/>
      </c>
      <c r="L66" s="26" t="str">
        <f aca="false">IF($G66="","",MAX(0,NETWORKDAYS.INTL($E66,J66,رمز_العطلة,أيام_الأجازات)-1))</f>
        <v/>
      </c>
      <c r="M66" s="26" t="str">
        <f aca="false">IF($G66="","",MAX(0,L66-مهلة_المراجعة))</f>
        <v/>
      </c>
      <c r="N66" s="30" t="str">
        <f aca="false">IF($A66="",IF(OR($D66&lt;&gt;"",$E66&lt;&gt;""),"رقم المخرج ناقص",""),IF(ISNA(MATCH($A66,قائمة_المخرجات,0)),"رقم مخرج غير موجود",IF($D66="","نوع الحركة ناقص",IF(NOT(ISNUMBER($E66)),"التاريخ ناقص",IF($E66&gt;تاريخ_الاحتساب,"تاريخ بعد تاريخ الاحتساب",IF(AND($D66&lt;&gt;"تسليم",COUNTIFS($A$5:$A$1504,$A66,$D$5:$D$1504,"تسليم",$E$5:$E$1504,"&lt;="&amp;$E66)=0),"لا يوجد تسليم قبل الحركة دي",""))))))</f>
        <v/>
      </c>
    </row>
    <row r="67" customFormat="false" ht="15" hidden="false" customHeight="false" outlineLevel="0" collapsed="false">
      <c r="A67" s="20"/>
      <c r="B67" s="35" t="str">
        <f aca="false">IF($A67="","",IFERROR(INDEX(مخرج_البند,MATCH($A67,قائمة_المخرجات,0)),""))</f>
        <v/>
      </c>
      <c r="C67" s="30" t="str">
        <f aca="false">IF($A67="","",IFERROR(INDEX(مخرج_الوصف,MATCH($A67,قائمة_المخرجات,0)),""))</f>
        <v/>
      </c>
      <c r="D67" s="20"/>
      <c r="E67" s="31"/>
      <c r="F67" s="22"/>
      <c r="G67" s="36" t="str">
        <f aca="false">IF(OR($A67="",$D67&lt;&gt;"تسليم",NOT(ISNUMBER($E67))),"",COUNTIFS($A$5:$A$1504,$A67,$D$5:$D$1504,"تسليم",$E$5:$E$1504,"&lt;"&amp;$E67)+1)</f>
        <v/>
      </c>
      <c r="H67" s="33" t="str">
        <f aca="false">IF($G67="","",_xlfn.MINIFS($E$5:$E$1504,$A$5:$A$1504,$A67,$D$5:$D$1504,"&lt;&gt;تسليم",$E$5:$E$1504,"&gt;="&amp;$E67))</f>
        <v/>
      </c>
      <c r="I67" s="33" t="str">
        <f aca="false">IF($G67="","",_xlfn.MINIFS($E$5:$E$1504,$A$5:$A$1504,$A67,$D$5:$D$1504,"تسليم",$E$5:$E$1504,"&gt;"&amp;$E67))</f>
        <v/>
      </c>
      <c r="J67" s="33" t="str">
        <f aca="false">IF($G67="","",IF(H67&gt;0,IF(I67&gt;0,MIN(H67,I67),H67),IF(I67&gt;0,I67,تاريخ_الاحتساب)))</f>
        <v/>
      </c>
      <c r="K67" s="34" t="str">
        <f aca="false">IF($G67="","",IF(AND(H67=0,I67=0),"جارية","مغلقة"))</f>
        <v/>
      </c>
      <c r="L67" s="26" t="str">
        <f aca="false">IF($G67="","",MAX(0,NETWORKDAYS.INTL($E67,J67,رمز_العطلة,أيام_الأجازات)-1))</f>
        <v/>
      </c>
      <c r="M67" s="26" t="str">
        <f aca="false">IF($G67="","",MAX(0,L67-مهلة_المراجعة))</f>
        <v/>
      </c>
      <c r="N67" s="30" t="str">
        <f aca="false">IF($A67="",IF(OR($D67&lt;&gt;"",$E67&lt;&gt;""),"رقم المخرج ناقص",""),IF(ISNA(MATCH($A67,قائمة_المخرجات,0)),"رقم مخرج غير موجود",IF($D67="","نوع الحركة ناقص",IF(NOT(ISNUMBER($E67)),"التاريخ ناقص",IF($E67&gt;تاريخ_الاحتساب,"تاريخ بعد تاريخ الاحتساب",IF(AND($D67&lt;&gt;"تسليم",COUNTIFS($A$5:$A$1504,$A67,$D$5:$D$1504,"تسليم",$E$5:$E$1504,"&lt;="&amp;$E67)=0),"لا يوجد تسليم قبل الحركة دي",""))))))</f>
        <v/>
      </c>
    </row>
    <row r="68" customFormat="false" ht="15" hidden="false" customHeight="false" outlineLevel="0" collapsed="false">
      <c r="A68" s="20"/>
      <c r="B68" s="35" t="str">
        <f aca="false">IF($A68="","",IFERROR(INDEX(مخرج_البند,MATCH($A68,قائمة_المخرجات,0)),""))</f>
        <v/>
      </c>
      <c r="C68" s="30" t="str">
        <f aca="false">IF($A68="","",IFERROR(INDEX(مخرج_الوصف,MATCH($A68,قائمة_المخرجات,0)),""))</f>
        <v/>
      </c>
      <c r="D68" s="20"/>
      <c r="E68" s="31"/>
      <c r="F68" s="22"/>
      <c r="G68" s="36" t="str">
        <f aca="false">IF(OR($A68="",$D68&lt;&gt;"تسليم",NOT(ISNUMBER($E68))),"",COUNTIFS($A$5:$A$1504,$A68,$D$5:$D$1504,"تسليم",$E$5:$E$1504,"&lt;"&amp;$E68)+1)</f>
        <v/>
      </c>
      <c r="H68" s="33" t="str">
        <f aca="false">IF($G68="","",_xlfn.MINIFS($E$5:$E$1504,$A$5:$A$1504,$A68,$D$5:$D$1504,"&lt;&gt;تسليم",$E$5:$E$1504,"&gt;="&amp;$E68))</f>
        <v/>
      </c>
      <c r="I68" s="33" t="str">
        <f aca="false">IF($G68="","",_xlfn.MINIFS($E$5:$E$1504,$A$5:$A$1504,$A68,$D$5:$D$1504,"تسليم",$E$5:$E$1504,"&gt;"&amp;$E68))</f>
        <v/>
      </c>
      <c r="J68" s="33" t="str">
        <f aca="false">IF($G68="","",IF(H68&gt;0,IF(I68&gt;0,MIN(H68,I68),H68),IF(I68&gt;0,I68,تاريخ_الاحتساب)))</f>
        <v/>
      </c>
      <c r="K68" s="34" t="str">
        <f aca="false">IF($G68="","",IF(AND(H68=0,I68=0),"جارية","مغلقة"))</f>
        <v/>
      </c>
      <c r="L68" s="26" t="str">
        <f aca="false">IF($G68="","",MAX(0,NETWORKDAYS.INTL($E68,J68,رمز_العطلة,أيام_الأجازات)-1))</f>
        <v/>
      </c>
      <c r="M68" s="26" t="str">
        <f aca="false">IF($G68="","",MAX(0,L68-مهلة_المراجعة))</f>
        <v/>
      </c>
      <c r="N68" s="30" t="str">
        <f aca="false">IF($A68="",IF(OR($D68&lt;&gt;"",$E68&lt;&gt;""),"رقم المخرج ناقص",""),IF(ISNA(MATCH($A68,قائمة_المخرجات,0)),"رقم مخرج غير موجود",IF($D68="","نوع الحركة ناقص",IF(NOT(ISNUMBER($E68)),"التاريخ ناقص",IF($E68&gt;تاريخ_الاحتساب,"تاريخ بعد تاريخ الاحتساب",IF(AND($D68&lt;&gt;"تسليم",COUNTIFS($A$5:$A$1504,$A68,$D$5:$D$1504,"تسليم",$E$5:$E$1504,"&lt;="&amp;$E68)=0),"لا يوجد تسليم قبل الحركة دي",""))))))</f>
        <v/>
      </c>
    </row>
    <row r="69" customFormat="false" ht="15" hidden="false" customHeight="false" outlineLevel="0" collapsed="false">
      <c r="A69" s="20"/>
      <c r="B69" s="35" t="str">
        <f aca="false">IF($A69="","",IFERROR(INDEX(مخرج_البند,MATCH($A69,قائمة_المخرجات,0)),""))</f>
        <v/>
      </c>
      <c r="C69" s="30" t="str">
        <f aca="false">IF($A69="","",IFERROR(INDEX(مخرج_الوصف,MATCH($A69,قائمة_المخرجات,0)),""))</f>
        <v/>
      </c>
      <c r="D69" s="20"/>
      <c r="E69" s="31"/>
      <c r="F69" s="22"/>
      <c r="G69" s="36" t="str">
        <f aca="false">IF(OR($A69="",$D69&lt;&gt;"تسليم",NOT(ISNUMBER($E69))),"",COUNTIFS($A$5:$A$1504,$A69,$D$5:$D$1504,"تسليم",$E$5:$E$1504,"&lt;"&amp;$E69)+1)</f>
        <v/>
      </c>
      <c r="H69" s="33" t="str">
        <f aca="false">IF($G69="","",_xlfn.MINIFS($E$5:$E$1504,$A$5:$A$1504,$A69,$D$5:$D$1504,"&lt;&gt;تسليم",$E$5:$E$1504,"&gt;="&amp;$E69))</f>
        <v/>
      </c>
      <c r="I69" s="33" t="str">
        <f aca="false">IF($G69="","",_xlfn.MINIFS($E$5:$E$1504,$A$5:$A$1504,$A69,$D$5:$D$1504,"تسليم",$E$5:$E$1504,"&gt;"&amp;$E69))</f>
        <v/>
      </c>
      <c r="J69" s="33" t="str">
        <f aca="false">IF($G69="","",IF(H69&gt;0,IF(I69&gt;0,MIN(H69,I69),H69),IF(I69&gt;0,I69,تاريخ_الاحتساب)))</f>
        <v/>
      </c>
      <c r="K69" s="34" t="str">
        <f aca="false">IF($G69="","",IF(AND(H69=0,I69=0),"جارية","مغلقة"))</f>
        <v/>
      </c>
      <c r="L69" s="26" t="str">
        <f aca="false">IF($G69="","",MAX(0,NETWORKDAYS.INTL($E69,J69,رمز_العطلة,أيام_الأجازات)-1))</f>
        <v/>
      </c>
      <c r="M69" s="26" t="str">
        <f aca="false">IF($G69="","",MAX(0,L69-مهلة_المراجعة))</f>
        <v/>
      </c>
      <c r="N69" s="30" t="str">
        <f aca="false">IF($A69="",IF(OR($D69&lt;&gt;"",$E69&lt;&gt;""),"رقم المخرج ناقص",""),IF(ISNA(MATCH($A69,قائمة_المخرجات,0)),"رقم مخرج غير موجود",IF($D69="","نوع الحركة ناقص",IF(NOT(ISNUMBER($E69)),"التاريخ ناقص",IF($E69&gt;تاريخ_الاحتساب,"تاريخ بعد تاريخ الاحتساب",IF(AND($D69&lt;&gt;"تسليم",COUNTIFS($A$5:$A$1504,$A69,$D$5:$D$1504,"تسليم",$E$5:$E$1504,"&lt;="&amp;$E69)=0),"لا يوجد تسليم قبل الحركة دي",""))))))</f>
        <v/>
      </c>
    </row>
    <row r="70" customFormat="false" ht="15" hidden="false" customHeight="false" outlineLevel="0" collapsed="false">
      <c r="A70" s="20"/>
      <c r="B70" s="35" t="str">
        <f aca="false">IF($A70="","",IFERROR(INDEX(مخرج_البند,MATCH($A70,قائمة_المخرجات,0)),""))</f>
        <v/>
      </c>
      <c r="C70" s="30" t="str">
        <f aca="false">IF($A70="","",IFERROR(INDEX(مخرج_الوصف,MATCH($A70,قائمة_المخرجات,0)),""))</f>
        <v/>
      </c>
      <c r="D70" s="20"/>
      <c r="E70" s="31"/>
      <c r="F70" s="22"/>
      <c r="G70" s="36" t="str">
        <f aca="false">IF(OR($A70="",$D70&lt;&gt;"تسليم",NOT(ISNUMBER($E70))),"",COUNTIFS($A$5:$A$1504,$A70,$D$5:$D$1504,"تسليم",$E$5:$E$1504,"&lt;"&amp;$E70)+1)</f>
        <v/>
      </c>
      <c r="H70" s="33" t="str">
        <f aca="false">IF($G70="","",_xlfn.MINIFS($E$5:$E$1504,$A$5:$A$1504,$A70,$D$5:$D$1504,"&lt;&gt;تسليم",$E$5:$E$1504,"&gt;="&amp;$E70))</f>
        <v/>
      </c>
      <c r="I70" s="33" t="str">
        <f aca="false">IF($G70="","",_xlfn.MINIFS($E$5:$E$1504,$A$5:$A$1504,$A70,$D$5:$D$1504,"تسليم",$E$5:$E$1504,"&gt;"&amp;$E70))</f>
        <v/>
      </c>
      <c r="J70" s="33" t="str">
        <f aca="false">IF($G70="","",IF(H70&gt;0,IF(I70&gt;0,MIN(H70,I70),H70),IF(I70&gt;0,I70,تاريخ_الاحتساب)))</f>
        <v/>
      </c>
      <c r="K70" s="34" t="str">
        <f aca="false">IF($G70="","",IF(AND(H70=0,I70=0),"جارية","مغلقة"))</f>
        <v/>
      </c>
      <c r="L70" s="26" t="str">
        <f aca="false">IF($G70="","",MAX(0,NETWORKDAYS.INTL($E70,J70,رمز_العطلة,أيام_الأجازات)-1))</f>
        <v/>
      </c>
      <c r="M70" s="26" t="str">
        <f aca="false">IF($G70="","",MAX(0,L70-مهلة_المراجعة))</f>
        <v/>
      </c>
      <c r="N70" s="30" t="str">
        <f aca="false">IF($A70="",IF(OR($D70&lt;&gt;"",$E70&lt;&gt;""),"رقم المخرج ناقص",""),IF(ISNA(MATCH($A70,قائمة_المخرجات,0)),"رقم مخرج غير موجود",IF($D70="","نوع الحركة ناقص",IF(NOT(ISNUMBER($E70)),"التاريخ ناقص",IF($E70&gt;تاريخ_الاحتساب,"تاريخ بعد تاريخ الاحتساب",IF(AND($D70&lt;&gt;"تسليم",COUNTIFS($A$5:$A$1504,$A70,$D$5:$D$1504,"تسليم",$E$5:$E$1504,"&lt;="&amp;$E70)=0),"لا يوجد تسليم قبل الحركة دي",""))))))</f>
        <v/>
      </c>
    </row>
    <row r="71" customFormat="false" ht="15" hidden="false" customHeight="false" outlineLevel="0" collapsed="false">
      <c r="A71" s="20"/>
      <c r="B71" s="35" t="str">
        <f aca="false">IF($A71="","",IFERROR(INDEX(مخرج_البند,MATCH($A71,قائمة_المخرجات,0)),""))</f>
        <v/>
      </c>
      <c r="C71" s="30" t="str">
        <f aca="false">IF($A71="","",IFERROR(INDEX(مخرج_الوصف,MATCH($A71,قائمة_المخرجات,0)),""))</f>
        <v/>
      </c>
      <c r="D71" s="20"/>
      <c r="E71" s="31"/>
      <c r="F71" s="22"/>
      <c r="G71" s="36" t="str">
        <f aca="false">IF(OR($A71="",$D71&lt;&gt;"تسليم",NOT(ISNUMBER($E71))),"",COUNTIFS($A$5:$A$1504,$A71,$D$5:$D$1504,"تسليم",$E$5:$E$1504,"&lt;"&amp;$E71)+1)</f>
        <v/>
      </c>
      <c r="H71" s="33" t="str">
        <f aca="false">IF($G71="","",_xlfn.MINIFS($E$5:$E$1504,$A$5:$A$1504,$A71,$D$5:$D$1504,"&lt;&gt;تسليم",$E$5:$E$1504,"&gt;="&amp;$E71))</f>
        <v/>
      </c>
      <c r="I71" s="33" t="str">
        <f aca="false">IF($G71="","",_xlfn.MINIFS($E$5:$E$1504,$A$5:$A$1504,$A71,$D$5:$D$1504,"تسليم",$E$5:$E$1504,"&gt;"&amp;$E71))</f>
        <v/>
      </c>
      <c r="J71" s="33" t="str">
        <f aca="false">IF($G71="","",IF(H71&gt;0,IF(I71&gt;0,MIN(H71,I71),H71),IF(I71&gt;0,I71,تاريخ_الاحتساب)))</f>
        <v/>
      </c>
      <c r="K71" s="34" t="str">
        <f aca="false">IF($G71="","",IF(AND(H71=0,I71=0),"جارية","مغلقة"))</f>
        <v/>
      </c>
      <c r="L71" s="26" t="str">
        <f aca="false">IF($G71="","",MAX(0,NETWORKDAYS.INTL($E71,J71,رمز_العطلة,أيام_الأجازات)-1))</f>
        <v/>
      </c>
      <c r="M71" s="26" t="str">
        <f aca="false">IF($G71="","",MAX(0,L71-مهلة_المراجعة))</f>
        <v/>
      </c>
      <c r="N71" s="30" t="str">
        <f aca="false">IF($A71="",IF(OR($D71&lt;&gt;"",$E71&lt;&gt;""),"رقم المخرج ناقص",""),IF(ISNA(MATCH($A71,قائمة_المخرجات,0)),"رقم مخرج غير موجود",IF($D71="","نوع الحركة ناقص",IF(NOT(ISNUMBER($E71)),"التاريخ ناقص",IF($E71&gt;تاريخ_الاحتساب,"تاريخ بعد تاريخ الاحتساب",IF(AND($D71&lt;&gt;"تسليم",COUNTIFS($A$5:$A$1504,$A71,$D$5:$D$1504,"تسليم",$E$5:$E$1504,"&lt;="&amp;$E71)=0),"لا يوجد تسليم قبل الحركة دي",""))))))</f>
        <v/>
      </c>
    </row>
    <row r="72" customFormat="false" ht="15" hidden="false" customHeight="false" outlineLevel="0" collapsed="false">
      <c r="A72" s="20"/>
      <c r="B72" s="35" t="str">
        <f aca="false">IF($A72="","",IFERROR(INDEX(مخرج_البند,MATCH($A72,قائمة_المخرجات,0)),""))</f>
        <v/>
      </c>
      <c r="C72" s="30" t="str">
        <f aca="false">IF($A72="","",IFERROR(INDEX(مخرج_الوصف,MATCH($A72,قائمة_المخرجات,0)),""))</f>
        <v/>
      </c>
      <c r="D72" s="20"/>
      <c r="E72" s="31"/>
      <c r="F72" s="22"/>
      <c r="G72" s="36" t="str">
        <f aca="false">IF(OR($A72="",$D72&lt;&gt;"تسليم",NOT(ISNUMBER($E72))),"",COUNTIFS($A$5:$A$1504,$A72,$D$5:$D$1504,"تسليم",$E$5:$E$1504,"&lt;"&amp;$E72)+1)</f>
        <v/>
      </c>
      <c r="H72" s="33" t="str">
        <f aca="false">IF($G72="","",_xlfn.MINIFS($E$5:$E$1504,$A$5:$A$1504,$A72,$D$5:$D$1504,"&lt;&gt;تسليم",$E$5:$E$1504,"&gt;="&amp;$E72))</f>
        <v/>
      </c>
      <c r="I72" s="33" t="str">
        <f aca="false">IF($G72="","",_xlfn.MINIFS($E$5:$E$1504,$A$5:$A$1504,$A72,$D$5:$D$1504,"تسليم",$E$5:$E$1504,"&gt;"&amp;$E72))</f>
        <v/>
      </c>
      <c r="J72" s="33" t="str">
        <f aca="false">IF($G72="","",IF(H72&gt;0,IF(I72&gt;0,MIN(H72,I72),H72),IF(I72&gt;0,I72,تاريخ_الاحتساب)))</f>
        <v/>
      </c>
      <c r="K72" s="34" t="str">
        <f aca="false">IF($G72="","",IF(AND(H72=0,I72=0),"جارية","مغلقة"))</f>
        <v/>
      </c>
      <c r="L72" s="26" t="str">
        <f aca="false">IF($G72="","",MAX(0,NETWORKDAYS.INTL($E72,J72,رمز_العطلة,أيام_الأجازات)-1))</f>
        <v/>
      </c>
      <c r="M72" s="26" t="str">
        <f aca="false">IF($G72="","",MAX(0,L72-مهلة_المراجعة))</f>
        <v/>
      </c>
      <c r="N72" s="30" t="str">
        <f aca="false">IF($A72="",IF(OR($D72&lt;&gt;"",$E72&lt;&gt;""),"رقم المخرج ناقص",""),IF(ISNA(MATCH($A72,قائمة_المخرجات,0)),"رقم مخرج غير موجود",IF($D72="","نوع الحركة ناقص",IF(NOT(ISNUMBER($E72)),"التاريخ ناقص",IF($E72&gt;تاريخ_الاحتساب,"تاريخ بعد تاريخ الاحتساب",IF(AND($D72&lt;&gt;"تسليم",COUNTIFS($A$5:$A$1504,$A72,$D$5:$D$1504,"تسليم",$E$5:$E$1504,"&lt;="&amp;$E72)=0),"لا يوجد تسليم قبل الحركة دي",""))))))</f>
        <v/>
      </c>
    </row>
    <row r="73" customFormat="false" ht="15" hidden="false" customHeight="false" outlineLevel="0" collapsed="false">
      <c r="A73" s="20"/>
      <c r="B73" s="35" t="str">
        <f aca="false">IF($A73="","",IFERROR(INDEX(مخرج_البند,MATCH($A73,قائمة_المخرجات,0)),""))</f>
        <v/>
      </c>
      <c r="C73" s="30" t="str">
        <f aca="false">IF($A73="","",IFERROR(INDEX(مخرج_الوصف,MATCH($A73,قائمة_المخرجات,0)),""))</f>
        <v/>
      </c>
      <c r="D73" s="20"/>
      <c r="E73" s="31"/>
      <c r="F73" s="22"/>
      <c r="G73" s="36" t="str">
        <f aca="false">IF(OR($A73="",$D73&lt;&gt;"تسليم",NOT(ISNUMBER($E73))),"",COUNTIFS($A$5:$A$1504,$A73,$D$5:$D$1504,"تسليم",$E$5:$E$1504,"&lt;"&amp;$E73)+1)</f>
        <v/>
      </c>
      <c r="H73" s="33" t="str">
        <f aca="false">IF($G73="","",_xlfn.MINIFS($E$5:$E$1504,$A$5:$A$1504,$A73,$D$5:$D$1504,"&lt;&gt;تسليم",$E$5:$E$1504,"&gt;="&amp;$E73))</f>
        <v/>
      </c>
      <c r="I73" s="33" t="str">
        <f aca="false">IF($G73="","",_xlfn.MINIFS($E$5:$E$1504,$A$5:$A$1504,$A73,$D$5:$D$1504,"تسليم",$E$5:$E$1504,"&gt;"&amp;$E73))</f>
        <v/>
      </c>
      <c r="J73" s="33" t="str">
        <f aca="false">IF($G73="","",IF(H73&gt;0,IF(I73&gt;0,MIN(H73,I73),H73),IF(I73&gt;0,I73,تاريخ_الاحتساب)))</f>
        <v/>
      </c>
      <c r="K73" s="34" t="str">
        <f aca="false">IF($G73="","",IF(AND(H73=0,I73=0),"جارية","مغلقة"))</f>
        <v/>
      </c>
      <c r="L73" s="26" t="str">
        <f aca="false">IF($G73="","",MAX(0,NETWORKDAYS.INTL($E73,J73,رمز_العطلة,أيام_الأجازات)-1))</f>
        <v/>
      </c>
      <c r="M73" s="26" t="str">
        <f aca="false">IF($G73="","",MAX(0,L73-مهلة_المراجعة))</f>
        <v/>
      </c>
      <c r="N73" s="30" t="str">
        <f aca="false">IF($A73="",IF(OR($D73&lt;&gt;"",$E73&lt;&gt;""),"رقم المخرج ناقص",""),IF(ISNA(MATCH($A73,قائمة_المخرجات,0)),"رقم مخرج غير موجود",IF($D73="","نوع الحركة ناقص",IF(NOT(ISNUMBER($E73)),"التاريخ ناقص",IF($E73&gt;تاريخ_الاحتساب,"تاريخ بعد تاريخ الاحتساب",IF(AND($D73&lt;&gt;"تسليم",COUNTIFS($A$5:$A$1504,$A73,$D$5:$D$1504,"تسليم",$E$5:$E$1504,"&lt;="&amp;$E73)=0),"لا يوجد تسليم قبل الحركة دي",""))))))</f>
        <v/>
      </c>
    </row>
    <row r="74" customFormat="false" ht="15" hidden="false" customHeight="false" outlineLevel="0" collapsed="false">
      <c r="A74" s="20"/>
      <c r="B74" s="35" t="str">
        <f aca="false">IF($A74="","",IFERROR(INDEX(مخرج_البند,MATCH($A74,قائمة_المخرجات,0)),""))</f>
        <v/>
      </c>
      <c r="C74" s="30" t="str">
        <f aca="false">IF($A74="","",IFERROR(INDEX(مخرج_الوصف,MATCH($A74,قائمة_المخرجات,0)),""))</f>
        <v/>
      </c>
      <c r="D74" s="20"/>
      <c r="E74" s="31"/>
      <c r="F74" s="22"/>
      <c r="G74" s="36" t="str">
        <f aca="false">IF(OR($A74="",$D74&lt;&gt;"تسليم",NOT(ISNUMBER($E74))),"",COUNTIFS($A$5:$A$1504,$A74,$D$5:$D$1504,"تسليم",$E$5:$E$1504,"&lt;"&amp;$E74)+1)</f>
        <v/>
      </c>
      <c r="H74" s="33" t="str">
        <f aca="false">IF($G74="","",_xlfn.MINIFS($E$5:$E$1504,$A$5:$A$1504,$A74,$D$5:$D$1504,"&lt;&gt;تسليم",$E$5:$E$1504,"&gt;="&amp;$E74))</f>
        <v/>
      </c>
      <c r="I74" s="33" t="str">
        <f aca="false">IF($G74="","",_xlfn.MINIFS($E$5:$E$1504,$A$5:$A$1504,$A74,$D$5:$D$1504,"تسليم",$E$5:$E$1504,"&gt;"&amp;$E74))</f>
        <v/>
      </c>
      <c r="J74" s="33" t="str">
        <f aca="false">IF($G74="","",IF(H74&gt;0,IF(I74&gt;0,MIN(H74,I74),H74),IF(I74&gt;0,I74,تاريخ_الاحتساب)))</f>
        <v/>
      </c>
      <c r="K74" s="34" t="str">
        <f aca="false">IF($G74="","",IF(AND(H74=0,I74=0),"جارية","مغلقة"))</f>
        <v/>
      </c>
      <c r="L74" s="26" t="str">
        <f aca="false">IF($G74="","",MAX(0,NETWORKDAYS.INTL($E74,J74,رمز_العطلة,أيام_الأجازات)-1))</f>
        <v/>
      </c>
      <c r="M74" s="26" t="str">
        <f aca="false">IF($G74="","",MAX(0,L74-مهلة_المراجعة))</f>
        <v/>
      </c>
      <c r="N74" s="30" t="str">
        <f aca="false">IF($A74="",IF(OR($D74&lt;&gt;"",$E74&lt;&gt;""),"رقم المخرج ناقص",""),IF(ISNA(MATCH($A74,قائمة_المخرجات,0)),"رقم مخرج غير موجود",IF($D74="","نوع الحركة ناقص",IF(NOT(ISNUMBER($E74)),"التاريخ ناقص",IF($E74&gt;تاريخ_الاحتساب,"تاريخ بعد تاريخ الاحتساب",IF(AND($D74&lt;&gt;"تسليم",COUNTIFS($A$5:$A$1504,$A74,$D$5:$D$1504,"تسليم",$E$5:$E$1504,"&lt;="&amp;$E74)=0),"لا يوجد تسليم قبل الحركة دي",""))))))</f>
        <v/>
      </c>
    </row>
    <row r="75" customFormat="false" ht="15" hidden="false" customHeight="false" outlineLevel="0" collapsed="false">
      <c r="A75" s="20"/>
      <c r="B75" s="35" t="str">
        <f aca="false">IF($A75="","",IFERROR(INDEX(مخرج_البند,MATCH($A75,قائمة_المخرجات,0)),""))</f>
        <v/>
      </c>
      <c r="C75" s="30" t="str">
        <f aca="false">IF($A75="","",IFERROR(INDEX(مخرج_الوصف,MATCH($A75,قائمة_المخرجات,0)),""))</f>
        <v/>
      </c>
      <c r="D75" s="20"/>
      <c r="E75" s="31"/>
      <c r="F75" s="22"/>
      <c r="G75" s="36" t="str">
        <f aca="false">IF(OR($A75="",$D75&lt;&gt;"تسليم",NOT(ISNUMBER($E75))),"",COUNTIFS($A$5:$A$1504,$A75,$D$5:$D$1504,"تسليم",$E$5:$E$1504,"&lt;"&amp;$E75)+1)</f>
        <v/>
      </c>
      <c r="H75" s="33" t="str">
        <f aca="false">IF($G75="","",_xlfn.MINIFS($E$5:$E$1504,$A$5:$A$1504,$A75,$D$5:$D$1504,"&lt;&gt;تسليم",$E$5:$E$1504,"&gt;="&amp;$E75))</f>
        <v/>
      </c>
      <c r="I75" s="33" t="str">
        <f aca="false">IF($G75="","",_xlfn.MINIFS($E$5:$E$1504,$A$5:$A$1504,$A75,$D$5:$D$1504,"تسليم",$E$5:$E$1504,"&gt;"&amp;$E75))</f>
        <v/>
      </c>
      <c r="J75" s="33" t="str">
        <f aca="false">IF($G75="","",IF(H75&gt;0,IF(I75&gt;0,MIN(H75,I75),H75),IF(I75&gt;0,I75,تاريخ_الاحتساب)))</f>
        <v/>
      </c>
      <c r="K75" s="34" t="str">
        <f aca="false">IF($G75="","",IF(AND(H75=0,I75=0),"جارية","مغلقة"))</f>
        <v/>
      </c>
      <c r="L75" s="26" t="str">
        <f aca="false">IF($G75="","",MAX(0,NETWORKDAYS.INTL($E75,J75,رمز_العطلة,أيام_الأجازات)-1))</f>
        <v/>
      </c>
      <c r="M75" s="26" t="str">
        <f aca="false">IF($G75="","",MAX(0,L75-مهلة_المراجعة))</f>
        <v/>
      </c>
      <c r="N75" s="30" t="str">
        <f aca="false">IF($A75="",IF(OR($D75&lt;&gt;"",$E75&lt;&gt;""),"رقم المخرج ناقص",""),IF(ISNA(MATCH($A75,قائمة_المخرجات,0)),"رقم مخرج غير موجود",IF($D75="","نوع الحركة ناقص",IF(NOT(ISNUMBER($E75)),"التاريخ ناقص",IF($E75&gt;تاريخ_الاحتساب,"تاريخ بعد تاريخ الاحتساب",IF(AND($D75&lt;&gt;"تسليم",COUNTIFS($A$5:$A$1504,$A75,$D$5:$D$1504,"تسليم",$E$5:$E$1504,"&lt;="&amp;$E75)=0),"لا يوجد تسليم قبل الحركة دي",""))))))</f>
        <v/>
      </c>
    </row>
    <row r="76" customFormat="false" ht="15" hidden="false" customHeight="false" outlineLevel="0" collapsed="false">
      <c r="A76" s="20"/>
      <c r="B76" s="35" t="str">
        <f aca="false">IF($A76="","",IFERROR(INDEX(مخرج_البند,MATCH($A76,قائمة_المخرجات,0)),""))</f>
        <v/>
      </c>
      <c r="C76" s="30" t="str">
        <f aca="false">IF($A76="","",IFERROR(INDEX(مخرج_الوصف,MATCH($A76,قائمة_المخرجات,0)),""))</f>
        <v/>
      </c>
      <c r="D76" s="20"/>
      <c r="E76" s="31"/>
      <c r="F76" s="22"/>
      <c r="G76" s="36" t="str">
        <f aca="false">IF(OR($A76="",$D76&lt;&gt;"تسليم",NOT(ISNUMBER($E76))),"",COUNTIFS($A$5:$A$1504,$A76,$D$5:$D$1504,"تسليم",$E$5:$E$1504,"&lt;"&amp;$E76)+1)</f>
        <v/>
      </c>
      <c r="H76" s="33" t="str">
        <f aca="false">IF($G76="","",_xlfn.MINIFS($E$5:$E$1504,$A$5:$A$1504,$A76,$D$5:$D$1504,"&lt;&gt;تسليم",$E$5:$E$1504,"&gt;="&amp;$E76))</f>
        <v/>
      </c>
      <c r="I76" s="33" t="str">
        <f aca="false">IF($G76="","",_xlfn.MINIFS($E$5:$E$1504,$A$5:$A$1504,$A76,$D$5:$D$1504,"تسليم",$E$5:$E$1504,"&gt;"&amp;$E76))</f>
        <v/>
      </c>
      <c r="J76" s="33" t="str">
        <f aca="false">IF($G76="","",IF(H76&gt;0,IF(I76&gt;0,MIN(H76,I76),H76),IF(I76&gt;0,I76,تاريخ_الاحتساب)))</f>
        <v/>
      </c>
      <c r="K76" s="34" t="str">
        <f aca="false">IF($G76="","",IF(AND(H76=0,I76=0),"جارية","مغلقة"))</f>
        <v/>
      </c>
      <c r="L76" s="26" t="str">
        <f aca="false">IF($G76="","",MAX(0,NETWORKDAYS.INTL($E76,J76,رمز_العطلة,أيام_الأجازات)-1))</f>
        <v/>
      </c>
      <c r="M76" s="26" t="str">
        <f aca="false">IF($G76="","",MAX(0,L76-مهلة_المراجعة))</f>
        <v/>
      </c>
      <c r="N76" s="30" t="str">
        <f aca="false">IF($A76="",IF(OR($D76&lt;&gt;"",$E76&lt;&gt;""),"رقم المخرج ناقص",""),IF(ISNA(MATCH($A76,قائمة_المخرجات,0)),"رقم مخرج غير موجود",IF($D76="","نوع الحركة ناقص",IF(NOT(ISNUMBER($E76)),"التاريخ ناقص",IF($E76&gt;تاريخ_الاحتساب,"تاريخ بعد تاريخ الاحتساب",IF(AND($D76&lt;&gt;"تسليم",COUNTIFS($A$5:$A$1504,$A76,$D$5:$D$1504,"تسليم",$E$5:$E$1504,"&lt;="&amp;$E76)=0),"لا يوجد تسليم قبل الحركة دي",""))))))</f>
        <v/>
      </c>
    </row>
    <row r="77" customFormat="false" ht="15" hidden="false" customHeight="false" outlineLevel="0" collapsed="false">
      <c r="A77" s="20"/>
      <c r="B77" s="35" t="str">
        <f aca="false">IF($A77="","",IFERROR(INDEX(مخرج_البند,MATCH($A77,قائمة_المخرجات,0)),""))</f>
        <v/>
      </c>
      <c r="C77" s="30" t="str">
        <f aca="false">IF($A77="","",IFERROR(INDEX(مخرج_الوصف,MATCH($A77,قائمة_المخرجات,0)),""))</f>
        <v/>
      </c>
      <c r="D77" s="20"/>
      <c r="E77" s="31"/>
      <c r="F77" s="22"/>
      <c r="G77" s="36" t="str">
        <f aca="false">IF(OR($A77="",$D77&lt;&gt;"تسليم",NOT(ISNUMBER($E77))),"",COUNTIFS($A$5:$A$1504,$A77,$D$5:$D$1504,"تسليم",$E$5:$E$1504,"&lt;"&amp;$E77)+1)</f>
        <v/>
      </c>
      <c r="H77" s="33" t="str">
        <f aca="false">IF($G77="","",_xlfn.MINIFS($E$5:$E$1504,$A$5:$A$1504,$A77,$D$5:$D$1504,"&lt;&gt;تسليم",$E$5:$E$1504,"&gt;="&amp;$E77))</f>
        <v/>
      </c>
      <c r="I77" s="33" t="str">
        <f aca="false">IF($G77="","",_xlfn.MINIFS($E$5:$E$1504,$A$5:$A$1504,$A77,$D$5:$D$1504,"تسليم",$E$5:$E$1504,"&gt;"&amp;$E77))</f>
        <v/>
      </c>
      <c r="J77" s="33" t="str">
        <f aca="false">IF($G77="","",IF(H77&gt;0,IF(I77&gt;0,MIN(H77,I77),H77),IF(I77&gt;0,I77,تاريخ_الاحتساب)))</f>
        <v/>
      </c>
      <c r="K77" s="34" t="str">
        <f aca="false">IF($G77="","",IF(AND(H77=0,I77=0),"جارية","مغلقة"))</f>
        <v/>
      </c>
      <c r="L77" s="26" t="str">
        <f aca="false">IF($G77="","",MAX(0,NETWORKDAYS.INTL($E77,J77,رمز_العطلة,أيام_الأجازات)-1))</f>
        <v/>
      </c>
      <c r="M77" s="26" t="str">
        <f aca="false">IF($G77="","",MAX(0,L77-مهلة_المراجعة))</f>
        <v/>
      </c>
      <c r="N77" s="30" t="str">
        <f aca="false">IF($A77="",IF(OR($D77&lt;&gt;"",$E77&lt;&gt;""),"رقم المخرج ناقص",""),IF(ISNA(MATCH($A77,قائمة_المخرجات,0)),"رقم مخرج غير موجود",IF($D77="","نوع الحركة ناقص",IF(NOT(ISNUMBER($E77)),"التاريخ ناقص",IF($E77&gt;تاريخ_الاحتساب,"تاريخ بعد تاريخ الاحتساب",IF(AND($D77&lt;&gt;"تسليم",COUNTIFS($A$5:$A$1504,$A77,$D$5:$D$1504,"تسليم",$E$5:$E$1504,"&lt;="&amp;$E77)=0),"لا يوجد تسليم قبل الحركة دي",""))))))</f>
        <v/>
      </c>
    </row>
    <row r="78" customFormat="false" ht="15" hidden="false" customHeight="false" outlineLevel="0" collapsed="false">
      <c r="A78" s="20"/>
      <c r="B78" s="35" t="str">
        <f aca="false">IF($A78="","",IFERROR(INDEX(مخرج_البند,MATCH($A78,قائمة_المخرجات,0)),""))</f>
        <v/>
      </c>
      <c r="C78" s="30" t="str">
        <f aca="false">IF($A78="","",IFERROR(INDEX(مخرج_الوصف,MATCH($A78,قائمة_المخرجات,0)),""))</f>
        <v/>
      </c>
      <c r="D78" s="20"/>
      <c r="E78" s="31"/>
      <c r="F78" s="22"/>
      <c r="G78" s="36" t="str">
        <f aca="false">IF(OR($A78="",$D78&lt;&gt;"تسليم",NOT(ISNUMBER($E78))),"",COUNTIFS($A$5:$A$1504,$A78,$D$5:$D$1504,"تسليم",$E$5:$E$1504,"&lt;"&amp;$E78)+1)</f>
        <v/>
      </c>
      <c r="H78" s="33" t="str">
        <f aca="false">IF($G78="","",_xlfn.MINIFS($E$5:$E$1504,$A$5:$A$1504,$A78,$D$5:$D$1504,"&lt;&gt;تسليم",$E$5:$E$1504,"&gt;="&amp;$E78))</f>
        <v/>
      </c>
      <c r="I78" s="33" t="str">
        <f aca="false">IF($G78="","",_xlfn.MINIFS($E$5:$E$1504,$A$5:$A$1504,$A78,$D$5:$D$1504,"تسليم",$E$5:$E$1504,"&gt;"&amp;$E78))</f>
        <v/>
      </c>
      <c r="J78" s="33" t="str">
        <f aca="false">IF($G78="","",IF(H78&gt;0,IF(I78&gt;0,MIN(H78,I78),H78),IF(I78&gt;0,I78,تاريخ_الاحتساب)))</f>
        <v/>
      </c>
      <c r="K78" s="34" t="str">
        <f aca="false">IF($G78="","",IF(AND(H78=0,I78=0),"جارية","مغلقة"))</f>
        <v/>
      </c>
      <c r="L78" s="26" t="str">
        <f aca="false">IF($G78="","",MAX(0,NETWORKDAYS.INTL($E78,J78,رمز_العطلة,أيام_الأجازات)-1))</f>
        <v/>
      </c>
      <c r="M78" s="26" t="str">
        <f aca="false">IF($G78="","",MAX(0,L78-مهلة_المراجعة))</f>
        <v/>
      </c>
      <c r="N78" s="30" t="str">
        <f aca="false">IF($A78="",IF(OR($D78&lt;&gt;"",$E78&lt;&gt;""),"رقم المخرج ناقص",""),IF(ISNA(MATCH($A78,قائمة_المخرجات,0)),"رقم مخرج غير موجود",IF($D78="","نوع الحركة ناقص",IF(NOT(ISNUMBER($E78)),"التاريخ ناقص",IF($E78&gt;تاريخ_الاحتساب,"تاريخ بعد تاريخ الاحتساب",IF(AND($D78&lt;&gt;"تسليم",COUNTIFS($A$5:$A$1504,$A78,$D$5:$D$1504,"تسليم",$E$5:$E$1504,"&lt;="&amp;$E78)=0),"لا يوجد تسليم قبل الحركة دي",""))))))</f>
        <v/>
      </c>
    </row>
    <row r="79" customFormat="false" ht="15" hidden="false" customHeight="false" outlineLevel="0" collapsed="false">
      <c r="A79" s="20"/>
      <c r="B79" s="35" t="str">
        <f aca="false">IF($A79="","",IFERROR(INDEX(مخرج_البند,MATCH($A79,قائمة_المخرجات,0)),""))</f>
        <v/>
      </c>
      <c r="C79" s="30" t="str">
        <f aca="false">IF($A79="","",IFERROR(INDEX(مخرج_الوصف,MATCH($A79,قائمة_المخرجات,0)),""))</f>
        <v/>
      </c>
      <c r="D79" s="20"/>
      <c r="E79" s="31"/>
      <c r="F79" s="22"/>
      <c r="G79" s="36" t="str">
        <f aca="false">IF(OR($A79="",$D79&lt;&gt;"تسليم",NOT(ISNUMBER($E79))),"",COUNTIFS($A$5:$A$1504,$A79,$D$5:$D$1504,"تسليم",$E$5:$E$1504,"&lt;"&amp;$E79)+1)</f>
        <v/>
      </c>
      <c r="H79" s="33" t="str">
        <f aca="false">IF($G79="","",_xlfn.MINIFS($E$5:$E$1504,$A$5:$A$1504,$A79,$D$5:$D$1504,"&lt;&gt;تسليم",$E$5:$E$1504,"&gt;="&amp;$E79))</f>
        <v/>
      </c>
      <c r="I79" s="33" t="str">
        <f aca="false">IF($G79="","",_xlfn.MINIFS($E$5:$E$1504,$A$5:$A$1504,$A79,$D$5:$D$1504,"تسليم",$E$5:$E$1504,"&gt;"&amp;$E79))</f>
        <v/>
      </c>
      <c r="J79" s="33" t="str">
        <f aca="false">IF($G79="","",IF(H79&gt;0,IF(I79&gt;0,MIN(H79,I79),H79),IF(I79&gt;0,I79,تاريخ_الاحتساب)))</f>
        <v/>
      </c>
      <c r="K79" s="34" t="str">
        <f aca="false">IF($G79="","",IF(AND(H79=0,I79=0),"جارية","مغلقة"))</f>
        <v/>
      </c>
      <c r="L79" s="26" t="str">
        <f aca="false">IF($G79="","",MAX(0,NETWORKDAYS.INTL($E79,J79,رمز_العطلة,أيام_الأجازات)-1))</f>
        <v/>
      </c>
      <c r="M79" s="26" t="str">
        <f aca="false">IF($G79="","",MAX(0,L79-مهلة_المراجعة))</f>
        <v/>
      </c>
      <c r="N79" s="30" t="str">
        <f aca="false">IF($A79="",IF(OR($D79&lt;&gt;"",$E79&lt;&gt;""),"رقم المخرج ناقص",""),IF(ISNA(MATCH($A79,قائمة_المخرجات,0)),"رقم مخرج غير موجود",IF($D79="","نوع الحركة ناقص",IF(NOT(ISNUMBER($E79)),"التاريخ ناقص",IF($E79&gt;تاريخ_الاحتساب,"تاريخ بعد تاريخ الاحتساب",IF(AND($D79&lt;&gt;"تسليم",COUNTIFS($A$5:$A$1504,$A79,$D$5:$D$1504,"تسليم",$E$5:$E$1504,"&lt;="&amp;$E79)=0),"لا يوجد تسليم قبل الحركة دي",""))))))</f>
        <v/>
      </c>
    </row>
    <row r="80" customFormat="false" ht="15" hidden="false" customHeight="false" outlineLevel="0" collapsed="false">
      <c r="A80" s="20"/>
      <c r="B80" s="35" t="str">
        <f aca="false">IF($A80="","",IFERROR(INDEX(مخرج_البند,MATCH($A80,قائمة_المخرجات,0)),""))</f>
        <v/>
      </c>
      <c r="C80" s="30" t="str">
        <f aca="false">IF($A80="","",IFERROR(INDEX(مخرج_الوصف,MATCH($A80,قائمة_المخرجات,0)),""))</f>
        <v/>
      </c>
      <c r="D80" s="20"/>
      <c r="E80" s="31"/>
      <c r="F80" s="22"/>
      <c r="G80" s="36" t="str">
        <f aca="false">IF(OR($A80="",$D80&lt;&gt;"تسليم",NOT(ISNUMBER($E80))),"",COUNTIFS($A$5:$A$1504,$A80,$D$5:$D$1504,"تسليم",$E$5:$E$1504,"&lt;"&amp;$E80)+1)</f>
        <v/>
      </c>
      <c r="H80" s="33" t="str">
        <f aca="false">IF($G80="","",_xlfn.MINIFS($E$5:$E$1504,$A$5:$A$1504,$A80,$D$5:$D$1504,"&lt;&gt;تسليم",$E$5:$E$1504,"&gt;="&amp;$E80))</f>
        <v/>
      </c>
      <c r="I80" s="33" t="str">
        <f aca="false">IF($G80="","",_xlfn.MINIFS($E$5:$E$1504,$A$5:$A$1504,$A80,$D$5:$D$1504,"تسليم",$E$5:$E$1504,"&gt;"&amp;$E80))</f>
        <v/>
      </c>
      <c r="J80" s="33" t="str">
        <f aca="false">IF($G80="","",IF(H80&gt;0,IF(I80&gt;0,MIN(H80,I80),H80),IF(I80&gt;0,I80,تاريخ_الاحتساب)))</f>
        <v/>
      </c>
      <c r="K80" s="34" t="str">
        <f aca="false">IF($G80="","",IF(AND(H80=0,I80=0),"جارية","مغلقة"))</f>
        <v/>
      </c>
      <c r="L80" s="26" t="str">
        <f aca="false">IF($G80="","",MAX(0,NETWORKDAYS.INTL($E80,J80,رمز_العطلة,أيام_الأجازات)-1))</f>
        <v/>
      </c>
      <c r="M80" s="26" t="str">
        <f aca="false">IF($G80="","",MAX(0,L80-مهلة_المراجعة))</f>
        <v/>
      </c>
      <c r="N80" s="30" t="str">
        <f aca="false">IF($A80="",IF(OR($D80&lt;&gt;"",$E80&lt;&gt;""),"رقم المخرج ناقص",""),IF(ISNA(MATCH($A80,قائمة_المخرجات,0)),"رقم مخرج غير موجود",IF($D80="","نوع الحركة ناقص",IF(NOT(ISNUMBER($E80)),"التاريخ ناقص",IF($E80&gt;تاريخ_الاحتساب,"تاريخ بعد تاريخ الاحتساب",IF(AND($D80&lt;&gt;"تسليم",COUNTIFS($A$5:$A$1504,$A80,$D$5:$D$1504,"تسليم",$E$5:$E$1504,"&lt;="&amp;$E80)=0),"لا يوجد تسليم قبل الحركة دي",""))))))</f>
        <v/>
      </c>
    </row>
    <row r="81" customFormat="false" ht="15" hidden="false" customHeight="false" outlineLevel="0" collapsed="false">
      <c r="A81" s="20"/>
      <c r="B81" s="35" t="str">
        <f aca="false">IF($A81="","",IFERROR(INDEX(مخرج_البند,MATCH($A81,قائمة_المخرجات,0)),""))</f>
        <v/>
      </c>
      <c r="C81" s="30" t="str">
        <f aca="false">IF($A81="","",IFERROR(INDEX(مخرج_الوصف,MATCH($A81,قائمة_المخرجات,0)),""))</f>
        <v/>
      </c>
      <c r="D81" s="20"/>
      <c r="E81" s="31"/>
      <c r="F81" s="22"/>
      <c r="G81" s="36" t="str">
        <f aca="false">IF(OR($A81="",$D81&lt;&gt;"تسليم",NOT(ISNUMBER($E81))),"",COUNTIFS($A$5:$A$1504,$A81,$D$5:$D$1504,"تسليم",$E$5:$E$1504,"&lt;"&amp;$E81)+1)</f>
        <v/>
      </c>
      <c r="H81" s="33" t="str">
        <f aca="false">IF($G81="","",_xlfn.MINIFS($E$5:$E$1504,$A$5:$A$1504,$A81,$D$5:$D$1504,"&lt;&gt;تسليم",$E$5:$E$1504,"&gt;="&amp;$E81))</f>
        <v/>
      </c>
      <c r="I81" s="33" t="str">
        <f aca="false">IF($G81="","",_xlfn.MINIFS($E$5:$E$1504,$A$5:$A$1504,$A81,$D$5:$D$1504,"تسليم",$E$5:$E$1504,"&gt;"&amp;$E81))</f>
        <v/>
      </c>
      <c r="J81" s="33" t="str">
        <f aca="false">IF($G81="","",IF(H81&gt;0,IF(I81&gt;0,MIN(H81,I81),H81),IF(I81&gt;0,I81,تاريخ_الاحتساب)))</f>
        <v/>
      </c>
      <c r="K81" s="34" t="str">
        <f aca="false">IF($G81="","",IF(AND(H81=0,I81=0),"جارية","مغلقة"))</f>
        <v/>
      </c>
      <c r="L81" s="26" t="str">
        <f aca="false">IF($G81="","",MAX(0,NETWORKDAYS.INTL($E81,J81,رمز_العطلة,أيام_الأجازات)-1))</f>
        <v/>
      </c>
      <c r="M81" s="26" t="str">
        <f aca="false">IF($G81="","",MAX(0,L81-مهلة_المراجعة))</f>
        <v/>
      </c>
      <c r="N81" s="30" t="str">
        <f aca="false">IF($A81="",IF(OR($D81&lt;&gt;"",$E81&lt;&gt;""),"رقم المخرج ناقص",""),IF(ISNA(MATCH($A81,قائمة_المخرجات,0)),"رقم مخرج غير موجود",IF($D81="","نوع الحركة ناقص",IF(NOT(ISNUMBER($E81)),"التاريخ ناقص",IF($E81&gt;تاريخ_الاحتساب,"تاريخ بعد تاريخ الاحتساب",IF(AND($D81&lt;&gt;"تسليم",COUNTIFS($A$5:$A$1504,$A81,$D$5:$D$1504,"تسليم",$E$5:$E$1504,"&lt;="&amp;$E81)=0),"لا يوجد تسليم قبل الحركة دي",""))))))</f>
        <v/>
      </c>
    </row>
    <row r="82" customFormat="false" ht="15" hidden="false" customHeight="false" outlineLevel="0" collapsed="false">
      <c r="A82" s="20"/>
      <c r="B82" s="35" t="str">
        <f aca="false">IF($A82="","",IFERROR(INDEX(مخرج_البند,MATCH($A82,قائمة_المخرجات,0)),""))</f>
        <v/>
      </c>
      <c r="C82" s="30" t="str">
        <f aca="false">IF($A82="","",IFERROR(INDEX(مخرج_الوصف,MATCH($A82,قائمة_المخرجات,0)),""))</f>
        <v/>
      </c>
      <c r="D82" s="20"/>
      <c r="E82" s="31"/>
      <c r="F82" s="22"/>
      <c r="G82" s="36" t="str">
        <f aca="false">IF(OR($A82="",$D82&lt;&gt;"تسليم",NOT(ISNUMBER($E82))),"",COUNTIFS($A$5:$A$1504,$A82,$D$5:$D$1504,"تسليم",$E$5:$E$1504,"&lt;"&amp;$E82)+1)</f>
        <v/>
      </c>
      <c r="H82" s="33" t="str">
        <f aca="false">IF($G82="","",_xlfn.MINIFS($E$5:$E$1504,$A$5:$A$1504,$A82,$D$5:$D$1504,"&lt;&gt;تسليم",$E$5:$E$1504,"&gt;="&amp;$E82))</f>
        <v/>
      </c>
      <c r="I82" s="33" t="str">
        <f aca="false">IF($G82="","",_xlfn.MINIFS($E$5:$E$1504,$A$5:$A$1504,$A82,$D$5:$D$1504,"تسليم",$E$5:$E$1504,"&gt;"&amp;$E82))</f>
        <v/>
      </c>
      <c r="J82" s="33" t="str">
        <f aca="false">IF($G82="","",IF(H82&gt;0,IF(I82&gt;0,MIN(H82,I82),H82),IF(I82&gt;0,I82,تاريخ_الاحتساب)))</f>
        <v/>
      </c>
      <c r="K82" s="34" t="str">
        <f aca="false">IF($G82="","",IF(AND(H82=0,I82=0),"جارية","مغلقة"))</f>
        <v/>
      </c>
      <c r="L82" s="26" t="str">
        <f aca="false">IF($G82="","",MAX(0,NETWORKDAYS.INTL($E82,J82,رمز_العطلة,أيام_الأجازات)-1))</f>
        <v/>
      </c>
      <c r="M82" s="26" t="str">
        <f aca="false">IF($G82="","",MAX(0,L82-مهلة_المراجعة))</f>
        <v/>
      </c>
      <c r="N82" s="30" t="str">
        <f aca="false">IF($A82="",IF(OR($D82&lt;&gt;"",$E82&lt;&gt;""),"رقم المخرج ناقص",""),IF(ISNA(MATCH($A82,قائمة_المخرجات,0)),"رقم مخرج غير موجود",IF($D82="","نوع الحركة ناقص",IF(NOT(ISNUMBER($E82)),"التاريخ ناقص",IF($E82&gt;تاريخ_الاحتساب,"تاريخ بعد تاريخ الاحتساب",IF(AND($D82&lt;&gt;"تسليم",COUNTIFS($A$5:$A$1504,$A82,$D$5:$D$1504,"تسليم",$E$5:$E$1504,"&lt;="&amp;$E82)=0),"لا يوجد تسليم قبل الحركة دي",""))))))</f>
        <v/>
      </c>
    </row>
    <row r="83" customFormat="false" ht="15" hidden="false" customHeight="false" outlineLevel="0" collapsed="false">
      <c r="A83" s="20"/>
      <c r="B83" s="35" t="str">
        <f aca="false">IF($A83="","",IFERROR(INDEX(مخرج_البند,MATCH($A83,قائمة_المخرجات,0)),""))</f>
        <v/>
      </c>
      <c r="C83" s="30" t="str">
        <f aca="false">IF($A83="","",IFERROR(INDEX(مخرج_الوصف,MATCH($A83,قائمة_المخرجات,0)),""))</f>
        <v/>
      </c>
      <c r="D83" s="20"/>
      <c r="E83" s="31"/>
      <c r="F83" s="22"/>
      <c r="G83" s="36" t="str">
        <f aca="false">IF(OR($A83="",$D83&lt;&gt;"تسليم",NOT(ISNUMBER($E83))),"",COUNTIFS($A$5:$A$1504,$A83,$D$5:$D$1504,"تسليم",$E$5:$E$1504,"&lt;"&amp;$E83)+1)</f>
        <v/>
      </c>
      <c r="H83" s="33" t="str">
        <f aca="false">IF($G83="","",_xlfn.MINIFS($E$5:$E$1504,$A$5:$A$1504,$A83,$D$5:$D$1504,"&lt;&gt;تسليم",$E$5:$E$1504,"&gt;="&amp;$E83))</f>
        <v/>
      </c>
      <c r="I83" s="33" t="str">
        <f aca="false">IF($G83="","",_xlfn.MINIFS($E$5:$E$1504,$A$5:$A$1504,$A83,$D$5:$D$1504,"تسليم",$E$5:$E$1504,"&gt;"&amp;$E83))</f>
        <v/>
      </c>
      <c r="J83" s="33" t="str">
        <f aca="false">IF($G83="","",IF(H83&gt;0,IF(I83&gt;0,MIN(H83,I83),H83),IF(I83&gt;0,I83,تاريخ_الاحتساب)))</f>
        <v/>
      </c>
      <c r="K83" s="34" t="str">
        <f aca="false">IF($G83="","",IF(AND(H83=0,I83=0),"جارية","مغلقة"))</f>
        <v/>
      </c>
      <c r="L83" s="26" t="str">
        <f aca="false">IF($G83="","",MAX(0,NETWORKDAYS.INTL($E83,J83,رمز_العطلة,أيام_الأجازات)-1))</f>
        <v/>
      </c>
      <c r="M83" s="26" t="str">
        <f aca="false">IF($G83="","",MAX(0,L83-مهلة_المراجعة))</f>
        <v/>
      </c>
      <c r="N83" s="30" t="str">
        <f aca="false">IF($A83="",IF(OR($D83&lt;&gt;"",$E83&lt;&gt;""),"رقم المخرج ناقص",""),IF(ISNA(MATCH($A83,قائمة_المخرجات,0)),"رقم مخرج غير موجود",IF($D83="","نوع الحركة ناقص",IF(NOT(ISNUMBER($E83)),"التاريخ ناقص",IF($E83&gt;تاريخ_الاحتساب,"تاريخ بعد تاريخ الاحتساب",IF(AND($D83&lt;&gt;"تسليم",COUNTIFS($A$5:$A$1504,$A83,$D$5:$D$1504,"تسليم",$E$5:$E$1504,"&lt;="&amp;$E83)=0),"لا يوجد تسليم قبل الحركة دي",""))))))</f>
        <v/>
      </c>
    </row>
    <row r="84" customFormat="false" ht="15" hidden="false" customHeight="false" outlineLevel="0" collapsed="false">
      <c r="A84" s="20"/>
      <c r="B84" s="35" t="str">
        <f aca="false">IF($A84="","",IFERROR(INDEX(مخرج_البند,MATCH($A84,قائمة_المخرجات,0)),""))</f>
        <v/>
      </c>
      <c r="C84" s="30" t="str">
        <f aca="false">IF($A84="","",IFERROR(INDEX(مخرج_الوصف,MATCH($A84,قائمة_المخرجات,0)),""))</f>
        <v/>
      </c>
      <c r="D84" s="20"/>
      <c r="E84" s="31"/>
      <c r="F84" s="22"/>
      <c r="G84" s="36" t="str">
        <f aca="false">IF(OR($A84="",$D84&lt;&gt;"تسليم",NOT(ISNUMBER($E84))),"",COUNTIFS($A$5:$A$1504,$A84,$D$5:$D$1504,"تسليم",$E$5:$E$1504,"&lt;"&amp;$E84)+1)</f>
        <v/>
      </c>
      <c r="H84" s="33" t="str">
        <f aca="false">IF($G84="","",_xlfn.MINIFS($E$5:$E$1504,$A$5:$A$1504,$A84,$D$5:$D$1504,"&lt;&gt;تسليم",$E$5:$E$1504,"&gt;="&amp;$E84))</f>
        <v/>
      </c>
      <c r="I84" s="33" t="str">
        <f aca="false">IF($G84="","",_xlfn.MINIFS($E$5:$E$1504,$A$5:$A$1504,$A84,$D$5:$D$1504,"تسليم",$E$5:$E$1504,"&gt;"&amp;$E84))</f>
        <v/>
      </c>
      <c r="J84" s="33" t="str">
        <f aca="false">IF($G84="","",IF(H84&gt;0,IF(I84&gt;0,MIN(H84,I84),H84),IF(I84&gt;0,I84,تاريخ_الاحتساب)))</f>
        <v/>
      </c>
      <c r="K84" s="34" t="str">
        <f aca="false">IF($G84="","",IF(AND(H84=0,I84=0),"جارية","مغلقة"))</f>
        <v/>
      </c>
      <c r="L84" s="26" t="str">
        <f aca="false">IF($G84="","",MAX(0,NETWORKDAYS.INTL($E84,J84,رمز_العطلة,أيام_الأجازات)-1))</f>
        <v/>
      </c>
      <c r="M84" s="26" t="str">
        <f aca="false">IF($G84="","",MAX(0,L84-مهلة_المراجعة))</f>
        <v/>
      </c>
      <c r="N84" s="30" t="str">
        <f aca="false">IF($A84="",IF(OR($D84&lt;&gt;"",$E84&lt;&gt;""),"رقم المخرج ناقص",""),IF(ISNA(MATCH($A84,قائمة_المخرجات,0)),"رقم مخرج غير موجود",IF($D84="","نوع الحركة ناقص",IF(NOT(ISNUMBER($E84)),"التاريخ ناقص",IF($E84&gt;تاريخ_الاحتساب,"تاريخ بعد تاريخ الاحتساب",IF(AND($D84&lt;&gt;"تسليم",COUNTIFS($A$5:$A$1504,$A84,$D$5:$D$1504,"تسليم",$E$5:$E$1504,"&lt;="&amp;$E84)=0),"لا يوجد تسليم قبل الحركة دي",""))))))</f>
        <v/>
      </c>
    </row>
    <row r="85" customFormat="false" ht="15" hidden="false" customHeight="false" outlineLevel="0" collapsed="false">
      <c r="A85" s="20"/>
      <c r="B85" s="35" t="str">
        <f aca="false">IF($A85="","",IFERROR(INDEX(مخرج_البند,MATCH($A85,قائمة_المخرجات,0)),""))</f>
        <v/>
      </c>
      <c r="C85" s="30" t="str">
        <f aca="false">IF($A85="","",IFERROR(INDEX(مخرج_الوصف,MATCH($A85,قائمة_المخرجات,0)),""))</f>
        <v/>
      </c>
      <c r="D85" s="20"/>
      <c r="E85" s="31"/>
      <c r="F85" s="22"/>
      <c r="G85" s="36" t="str">
        <f aca="false">IF(OR($A85="",$D85&lt;&gt;"تسليم",NOT(ISNUMBER($E85))),"",COUNTIFS($A$5:$A$1504,$A85,$D$5:$D$1504,"تسليم",$E$5:$E$1504,"&lt;"&amp;$E85)+1)</f>
        <v/>
      </c>
      <c r="H85" s="33" t="str">
        <f aca="false">IF($G85="","",_xlfn.MINIFS($E$5:$E$1504,$A$5:$A$1504,$A85,$D$5:$D$1504,"&lt;&gt;تسليم",$E$5:$E$1504,"&gt;="&amp;$E85))</f>
        <v/>
      </c>
      <c r="I85" s="33" t="str">
        <f aca="false">IF($G85="","",_xlfn.MINIFS($E$5:$E$1504,$A$5:$A$1504,$A85,$D$5:$D$1504,"تسليم",$E$5:$E$1504,"&gt;"&amp;$E85))</f>
        <v/>
      </c>
      <c r="J85" s="33" t="str">
        <f aca="false">IF($G85="","",IF(H85&gt;0,IF(I85&gt;0,MIN(H85,I85),H85),IF(I85&gt;0,I85,تاريخ_الاحتساب)))</f>
        <v/>
      </c>
      <c r="K85" s="34" t="str">
        <f aca="false">IF($G85="","",IF(AND(H85=0,I85=0),"جارية","مغلقة"))</f>
        <v/>
      </c>
      <c r="L85" s="26" t="str">
        <f aca="false">IF($G85="","",MAX(0,NETWORKDAYS.INTL($E85,J85,رمز_العطلة,أيام_الأجازات)-1))</f>
        <v/>
      </c>
      <c r="M85" s="26" t="str">
        <f aca="false">IF($G85="","",MAX(0,L85-مهلة_المراجعة))</f>
        <v/>
      </c>
      <c r="N85" s="30" t="str">
        <f aca="false">IF($A85="",IF(OR($D85&lt;&gt;"",$E85&lt;&gt;""),"رقم المخرج ناقص",""),IF(ISNA(MATCH($A85,قائمة_المخرجات,0)),"رقم مخرج غير موجود",IF($D85="","نوع الحركة ناقص",IF(NOT(ISNUMBER($E85)),"التاريخ ناقص",IF($E85&gt;تاريخ_الاحتساب,"تاريخ بعد تاريخ الاحتساب",IF(AND($D85&lt;&gt;"تسليم",COUNTIFS($A$5:$A$1504,$A85,$D$5:$D$1504,"تسليم",$E$5:$E$1504,"&lt;="&amp;$E85)=0),"لا يوجد تسليم قبل الحركة دي",""))))))</f>
        <v/>
      </c>
    </row>
    <row r="86" customFormat="false" ht="15" hidden="false" customHeight="false" outlineLevel="0" collapsed="false">
      <c r="A86" s="20"/>
      <c r="B86" s="35" t="str">
        <f aca="false">IF($A86="","",IFERROR(INDEX(مخرج_البند,MATCH($A86,قائمة_المخرجات,0)),""))</f>
        <v/>
      </c>
      <c r="C86" s="30" t="str">
        <f aca="false">IF($A86="","",IFERROR(INDEX(مخرج_الوصف,MATCH($A86,قائمة_المخرجات,0)),""))</f>
        <v/>
      </c>
      <c r="D86" s="20"/>
      <c r="E86" s="31"/>
      <c r="F86" s="22"/>
      <c r="G86" s="36" t="str">
        <f aca="false">IF(OR($A86="",$D86&lt;&gt;"تسليم",NOT(ISNUMBER($E86))),"",COUNTIFS($A$5:$A$1504,$A86,$D$5:$D$1504,"تسليم",$E$5:$E$1504,"&lt;"&amp;$E86)+1)</f>
        <v/>
      </c>
      <c r="H86" s="33" t="str">
        <f aca="false">IF($G86="","",_xlfn.MINIFS($E$5:$E$1504,$A$5:$A$1504,$A86,$D$5:$D$1504,"&lt;&gt;تسليم",$E$5:$E$1504,"&gt;="&amp;$E86))</f>
        <v/>
      </c>
      <c r="I86" s="33" t="str">
        <f aca="false">IF($G86="","",_xlfn.MINIFS($E$5:$E$1504,$A$5:$A$1504,$A86,$D$5:$D$1504,"تسليم",$E$5:$E$1504,"&gt;"&amp;$E86))</f>
        <v/>
      </c>
      <c r="J86" s="33" t="str">
        <f aca="false">IF($G86="","",IF(H86&gt;0,IF(I86&gt;0,MIN(H86,I86),H86),IF(I86&gt;0,I86,تاريخ_الاحتساب)))</f>
        <v/>
      </c>
      <c r="K86" s="34" t="str">
        <f aca="false">IF($G86="","",IF(AND(H86=0,I86=0),"جارية","مغلقة"))</f>
        <v/>
      </c>
      <c r="L86" s="26" t="str">
        <f aca="false">IF($G86="","",MAX(0,NETWORKDAYS.INTL($E86,J86,رمز_العطلة,أيام_الأجازات)-1))</f>
        <v/>
      </c>
      <c r="M86" s="26" t="str">
        <f aca="false">IF($G86="","",MAX(0,L86-مهلة_المراجعة))</f>
        <v/>
      </c>
      <c r="N86" s="30" t="str">
        <f aca="false">IF($A86="",IF(OR($D86&lt;&gt;"",$E86&lt;&gt;""),"رقم المخرج ناقص",""),IF(ISNA(MATCH($A86,قائمة_المخرجات,0)),"رقم مخرج غير موجود",IF($D86="","نوع الحركة ناقص",IF(NOT(ISNUMBER($E86)),"التاريخ ناقص",IF($E86&gt;تاريخ_الاحتساب,"تاريخ بعد تاريخ الاحتساب",IF(AND($D86&lt;&gt;"تسليم",COUNTIFS($A$5:$A$1504,$A86,$D$5:$D$1504,"تسليم",$E$5:$E$1504,"&lt;="&amp;$E86)=0),"لا يوجد تسليم قبل الحركة دي",""))))))</f>
        <v/>
      </c>
    </row>
    <row r="87" customFormat="false" ht="15" hidden="false" customHeight="false" outlineLevel="0" collapsed="false">
      <c r="A87" s="20"/>
      <c r="B87" s="35" t="str">
        <f aca="false">IF($A87="","",IFERROR(INDEX(مخرج_البند,MATCH($A87,قائمة_المخرجات,0)),""))</f>
        <v/>
      </c>
      <c r="C87" s="30" t="str">
        <f aca="false">IF($A87="","",IFERROR(INDEX(مخرج_الوصف,MATCH($A87,قائمة_المخرجات,0)),""))</f>
        <v/>
      </c>
      <c r="D87" s="20"/>
      <c r="E87" s="31"/>
      <c r="F87" s="22"/>
      <c r="G87" s="36" t="str">
        <f aca="false">IF(OR($A87="",$D87&lt;&gt;"تسليم",NOT(ISNUMBER($E87))),"",COUNTIFS($A$5:$A$1504,$A87,$D$5:$D$1504,"تسليم",$E$5:$E$1504,"&lt;"&amp;$E87)+1)</f>
        <v/>
      </c>
      <c r="H87" s="33" t="str">
        <f aca="false">IF($G87="","",_xlfn.MINIFS($E$5:$E$1504,$A$5:$A$1504,$A87,$D$5:$D$1504,"&lt;&gt;تسليم",$E$5:$E$1504,"&gt;="&amp;$E87))</f>
        <v/>
      </c>
      <c r="I87" s="33" t="str">
        <f aca="false">IF($G87="","",_xlfn.MINIFS($E$5:$E$1504,$A$5:$A$1504,$A87,$D$5:$D$1504,"تسليم",$E$5:$E$1504,"&gt;"&amp;$E87))</f>
        <v/>
      </c>
      <c r="J87" s="33" t="str">
        <f aca="false">IF($G87="","",IF(H87&gt;0,IF(I87&gt;0,MIN(H87,I87),H87),IF(I87&gt;0,I87,تاريخ_الاحتساب)))</f>
        <v/>
      </c>
      <c r="K87" s="34" t="str">
        <f aca="false">IF($G87="","",IF(AND(H87=0,I87=0),"جارية","مغلقة"))</f>
        <v/>
      </c>
      <c r="L87" s="26" t="str">
        <f aca="false">IF($G87="","",MAX(0,NETWORKDAYS.INTL($E87,J87,رمز_العطلة,أيام_الأجازات)-1))</f>
        <v/>
      </c>
      <c r="M87" s="26" t="str">
        <f aca="false">IF($G87="","",MAX(0,L87-مهلة_المراجعة))</f>
        <v/>
      </c>
      <c r="N87" s="30" t="str">
        <f aca="false">IF($A87="",IF(OR($D87&lt;&gt;"",$E87&lt;&gt;""),"رقم المخرج ناقص",""),IF(ISNA(MATCH($A87,قائمة_المخرجات,0)),"رقم مخرج غير موجود",IF($D87="","نوع الحركة ناقص",IF(NOT(ISNUMBER($E87)),"التاريخ ناقص",IF($E87&gt;تاريخ_الاحتساب,"تاريخ بعد تاريخ الاحتساب",IF(AND($D87&lt;&gt;"تسليم",COUNTIFS($A$5:$A$1504,$A87,$D$5:$D$1504,"تسليم",$E$5:$E$1504,"&lt;="&amp;$E87)=0),"لا يوجد تسليم قبل الحركة دي",""))))))</f>
        <v/>
      </c>
    </row>
    <row r="88" customFormat="false" ht="15" hidden="false" customHeight="false" outlineLevel="0" collapsed="false">
      <c r="A88" s="20"/>
      <c r="B88" s="35" t="str">
        <f aca="false">IF($A88="","",IFERROR(INDEX(مخرج_البند,MATCH($A88,قائمة_المخرجات,0)),""))</f>
        <v/>
      </c>
      <c r="C88" s="30" t="str">
        <f aca="false">IF($A88="","",IFERROR(INDEX(مخرج_الوصف,MATCH($A88,قائمة_المخرجات,0)),""))</f>
        <v/>
      </c>
      <c r="D88" s="20"/>
      <c r="E88" s="31"/>
      <c r="F88" s="22"/>
      <c r="G88" s="36" t="str">
        <f aca="false">IF(OR($A88="",$D88&lt;&gt;"تسليم",NOT(ISNUMBER($E88))),"",COUNTIFS($A$5:$A$1504,$A88,$D$5:$D$1504,"تسليم",$E$5:$E$1504,"&lt;"&amp;$E88)+1)</f>
        <v/>
      </c>
      <c r="H88" s="33" t="str">
        <f aca="false">IF($G88="","",_xlfn.MINIFS($E$5:$E$1504,$A$5:$A$1504,$A88,$D$5:$D$1504,"&lt;&gt;تسليم",$E$5:$E$1504,"&gt;="&amp;$E88))</f>
        <v/>
      </c>
      <c r="I88" s="33" t="str">
        <f aca="false">IF($G88="","",_xlfn.MINIFS($E$5:$E$1504,$A$5:$A$1504,$A88,$D$5:$D$1504,"تسليم",$E$5:$E$1504,"&gt;"&amp;$E88))</f>
        <v/>
      </c>
      <c r="J88" s="33" t="str">
        <f aca="false">IF($G88="","",IF(H88&gt;0,IF(I88&gt;0,MIN(H88,I88),H88),IF(I88&gt;0,I88,تاريخ_الاحتساب)))</f>
        <v/>
      </c>
      <c r="K88" s="34" t="str">
        <f aca="false">IF($G88="","",IF(AND(H88=0,I88=0),"جارية","مغلقة"))</f>
        <v/>
      </c>
      <c r="L88" s="26" t="str">
        <f aca="false">IF($G88="","",MAX(0,NETWORKDAYS.INTL($E88,J88,رمز_العطلة,أيام_الأجازات)-1))</f>
        <v/>
      </c>
      <c r="M88" s="26" t="str">
        <f aca="false">IF($G88="","",MAX(0,L88-مهلة_المراجعة))</f>
        <v/>
      </c>
      <c r="N88" s="30" t="str">
        <f aca="false">IF($A88="",IF(OR($D88&lt;&gt;"",$E88&lt;&gt;""),"رقم المخرج ناقص",""),IF(ISNA(MATCH($A88,قائمة_المخرجات,0)),"رقم مخرج غير موجود",IF($D88="","نوع الحركة ناقص",IF(NOT(ISNUMBER($E88)),"التاريخ ناقص",IF($E88&gt;تاريخ_الاحتساب,"تاريخ بعد تاريخ الاحتساب",IF(AND($D88&lt;&gt;"تسليم",COUNTIFS($A$5:$A$1504,$A88,$D$5:$D$1504,"تسليم",$E$5:$E$1504,"&lt;="&amp;$E88)=0),"لا يوجد تسليم قبل الحركة دي",""))))))</f>
        <v/>
      </c>
    </row>
    <row r="89" customFormat="false" ht="15" hidden="false" customHeight="false" outlineLevel="0" collapsed="false">
      <c r="A89" s="20"/>
      <c r="B89" s="35" t="str">
        <f aca="false">IF($A89="","",IFERROR(INDEX(مخرج_البند,MATCH($A89,قائمة_المخرجات,0)),""))</f>
        <v/>
      </c>
      <c r="C89" s="30" t="str">
        <f aca="false">IF($A89="","",IFERROR(INDEX(مخرج_الوصف,MATCH($A89,قائمة_المخرجات,0)),""))</f>
        <v/>
      </c>
      <c r="D89" s="20"/>
      <c r="E89" s="31"/>
      <c r="F89" s="22"/>
      <c r="G89" s="36" t="str">
        <f aca="false">IF(OR($A89="",$D89&lt;&gt;"تسليم",NOT(ISNUMBER($E89))),"",COUNTIFS($A$5:$A$1504,$A89,$D$5:$D$1504,"تسليم",$E$5:$E$1504,"&lt;"&amp;$E89)+1)</f>
        <v/>
      </c>
      <c r="H89" s="33" t="str">
        <f aca="false">IF($G89="","",_xlfn.MINIFS($E$5:$E$1504,$A$5:$A$1504,$A89,$D$5:$D$1504,"&lt;&gt;تسليم",$E$5:$E$1504,"&gt;="&amp;$E89))</f>
        <v/>
      </c>
      <c r="I89" s="33" t="str">
        <f aca="false">IF($G89="","",_xlfn.MINIFS($E$5:$E$1504,$A$5:$A$1504,$A89,$D$5:$D$1504,"تسليم",$E$5:$E$1504,"&gt;"&amp;$E89))</f>
        <v/>
      </c>
      <c r="J89" s="33" t="str">
        <f aca="false">IF($G89="","",IF(H89&gt;0,IF(I89&gt;0,MIN(H89,I89),H89),IF(I89&gt;0,I89,تاريخ_الاحتساب)))</f>
        <v/>
      </c>
      <c r="K89" s="34" t="str">
        <f aca="false">IF($G89="","",IF(AND(H89=0,I89=0),"جارية","مغلقة"))</f>
        <v/>
      </c>
      <c r="L89" s="26" t="str">
        <f aca="false">IF($G89="","",MAX(0,NETWORKDAYS.INTL($E89,J89,رمز_العطلة,أيام_الأجازات)-1))</f>
        <v/>
      </c>
      <c r="M89" s="26" t="str">
        <f aca="false">IF($G89="","",MAX(0,L89-مهلة_المراجعة))</f>
        <v/>
      </c>
      <c r="N89" s="30" t="str">
        <f aca="false">IF($A89="",IF(OR($D89&lt;&gt;"",$E89&lt;&gt;""),"رقم المخرج ناقص",""),IF(ISNA(MATCH($A89,قائمة_المخرجات,0)),"رقم مخرج غير موجود",IF($D89="","نوع الحركة ناقص",IF(NOT(ISNUMBER($E89)),"التاريخ ناقص",IF($E89&gt;تاريخ_الاحتساب,"تاريخ بعد تاريخ الاحتساب",IF(AND($D89&lt;&gt;"تسليم",COUNTIFS($A$5:$A$1504,$A89,$D$5:$D$1504,"تسليم",$E$5:$E$1504,"&lt;="&amp;$E89)=0),"لا يوجد تسليم قبل الحركة دي",""))))))</f>
        <v/>
      </c>
    </row>
    <row r="90" customFormat="false" ht="15" hidden="false" customHeight="false" outlineLevel="0" collapsed="false">
      <c r="A90" s="20"/>
      <c r="B90" s="35" t="str">
        <f aca="false">IF($A90="","",IFERROR(INDEX(مخرج_البند,MATCH($A90,قائمة_المخرجات,0)),""))</f>
        <v/>
      </c>
      <c r="C90" s="30" t="str">
        <f aca="false">IF($A90="","",IFERROR(INDEX(مخرج_الوصف,MATCH($A90,قائمة_المخرجات,0)),""))</f>
        <v/>
      </c>
      <c r="D90" s="20"/>
      <c r="E90" s="31"/>
      <c r="F90" s="22"/>
      <c r="G90" s="36" t="str">
        <f aca="false">IF(OR($A90="",$D90&lt;&gt;"تسليم",NOT(ISNUMBER($E90))),"",COUNTIFS($A$5:$A$1504,$A90,$D$5:$D$1504,"تسليم",$E$5:$E$1504,"&lt;"&amp;$E90)+1)</f>
        <v/>
      </c>
      <c r="H90" s="33" t="str">
        <f aca="false">IF($G90="","",_xlfn.MINIFS($E$5:$E$1504,$A$5:$A$1504,$A90,$D$5:$D$1504,"&lt;&gt;تسليم",$E$5:$E$1504,"&gt;="&amp;$E90))</f>
        <v/>
      </c>
      <c r="I90" s="33" t="str">
        <f aca="false">IF($G90="","",_xlfn.MINIFS($E$5:$E$1504,$A$5:$A$1504,$A90,$D$5:$D$1504,"تسليم",$E$5:$E$1504,"&gt;"&amp;$E90))</f>
        <v/>
      </c>
      <c r="J90" s="33" t="str">
        <f aca="false">IF($G90="","",IF(H90&gt;0,IF(I90&gt;0,MIN(H90,I90),H90),IF(I90&gt;0,I90,تاريخ_الاحتساب)))</f>
        <v/>
      </c>
      <c r="K90" s="34" t="str">
        <f aca="false">IF($G90="","",IF(AND(H90=0,I90=0),"جارية","مغلقة"))</f>
        <v/>
      </c>
      <c r="L90" s="26" t="str">
        <f aca="false">IF($G90="","",MAX(0,NETWORKDAYS.INTL($E90,J90,رمز_العطلة,أيام_الأجازات)-1))</f>
        <v/>
      </c>
      <c r="M90" s="26" t="str">
        <f aca="false">IF($G90="","",MAX(0,L90-مهلة_المراجعة))</f>
        <v/>
      </c>
      <c r="N90" s="30" t="str">
        <f aca="false">IF($A90="",IF(OR($D90&lt;&gt;"",$E90&lt;&gt;""),"رقم المخرج ناقص",""),IF(ISNA(MATCH($A90,قائمة_المخرجات,0)),"رقم مخرج غير موجود",IF($D90="","نوع الحركة ناقص",IF(NOT(ISNUMBER($E90)),"التاريخ ناقص",IF($E90&gt;تاريخ_الاحتساب,"تاريخ بعد تاريخ الاحتساب",IF(AND($D90&lt;&gt;"تسليم",COUNTIFS($A$5:$A$1504,$A90,$D$5:$D$1504,"تسليم",$E$5:$E$1504,"&lt;="&amp;$E90)=0),"لا يوجد تسليم قبل الحركة دي",""))))))</f>
        <v/>
      </c>
    </row>
    <row r="91" customFormat="false" ht="15" hidden="false" customHeight="false" outlineLevel="0" collapsed="false">
      <c r="A91" s="20"/>
      <c r="B91" s="35" t="str">
        <f aca="false">IF($A91="","",IFERROR(INDEX(مخرج_البند,MATCH($A91,قائمة_المخرجات,0)),""))</f>
        <v/>
      </c>
      <c r="C91" s="30" t="str">
        <f aca="false">IF($A91="","",IFERROR(INDEX(مخرج_الوصف,MATCH($A91,قائمة_المخرجات,0)),""))</f>
        <v/>
      </c>
      <c r="D91" s="20"/>
      <c r="E91" s="31"/>
      <c r="F91" s="22"/>
      <c r="G91" s="36" t="str">
        <f aca="false">IF(OR($A91="",$D91&lt;&gt;"تسليم",NOT(ISNUMBER($E91))),"",COUNTIFS($A$5:$A$1504,$A91,$D$5:$D$1504,"تسليم",$E$5:$E$1504,"&lt;"&amp;$E91)+1)</f>
        <v/>
      </c>
      <c r="H91" s="33" t="str">
        <f aca="false">IF($G91="","",_xlfn.MINIFS($E$5:$E$1504,$A$5:$A$1504,$A91,$D$5:$D$1504,"&lt;&gt;تسليم",$E$5:$E$1504,"&gt;="&amp;$E91))</f>
        <v/>
      </c>
      <c r="I91" s="33" t="str">
        <f aca="false">IF($G91="","",_xlfn.MINIFS($E$5:$E$1504,$A$5:$A$1504,$A91,$D$5:$D$1504,"تسليم",$E$5:$E$1504,"&gt;"&amp;$E91))</f>
        <v/>
      </c>
      <c r="J91" s="33" t="str">
        <f aca="false">IF($G91="","",IF(H91&gt;0,IF(I91&gt;0,MIN(H91,I91),H91),IF(I91&gt;0,I91,تاريخ_الاحتساب)))</f>
        <v/>
      </c>
      <c r="K91" s="34" t="str">
        <f aca="false">IF($G91="","",IF(AND(H91=0,I91=0),"جارية","مغلقة"))</f>
        <v/>
      </c>
      <c r="L91" s="26" t="str">
        <f aca="false">IF($G91="","",MAX(0,NETWORKDAYS.INTL($E91,J91,رمز_العطلة,أيام_الأجازات)-1))</f>
        <v/>
      </c>
      <c r="M91" s="26" t="str">
        <f aca="false">IF($G91="","",MAX(0,L91-مهلة_المراجعة))</f>
        <v/>
      </c>
      <c r="N91" s="30" t="str">
        <f aca="false">IF($A91="",IF(OR($D91&lt;&gt;"",$E91&lt;&gt;""),"رقم المخرج ناقص",""),IF(ISNA(MATCH($A91,قائمة_المخرجات,0)),"رقم مخرج غير موجود",IF($D91="","نوع الحركة ناقص",IF(NOT(ISNUMBER($E91)),"التاريخ ناقص",IF($E91&gt;تاريخ_الاحتساب,"تاريخ بعد تاريخ الاحتساب",IF(AND($D91&lt;&gt;"تسليم",COUNTIFS($A$5:$A$1504,$A91,$D$5:$D$1504,"تسليم",$E$5:$E$1504,"&lt;="&amp;$E91)=0),"لا يوجد تسليم قبل الحركة دي",""))))))</f>
        <v/>
      </c>
    </row>
    <row r="92" customFormat="false" ht="15" hidden="false" customHeight="false" outlineLevel="0" collapsed="false">
      <c r="A92" s="20"/>
      <c r="B92" s="35" t="str">
        <f aca="false">IF($A92="","",IFERROR(INDEX(مخرج_البند,MATCH($A92,قائمة_المخرجات,0)),""))</f>
        <v/>
      </c>
      <c r="C92" s="30" t="str">
        <f aca="false">IF($A92="","",IFERROR(INDEX(مخرج_الوصف,MATCH($A92,قائمة_المخرجات,0)),""))</f>
        <v/>
      </c>
      <c r="D92" s="20"/>
      <c r="E92" s="31"/>
      <c r="F92" s="22"/>
      <c r="G92" s="36" t="str">
        <f aca="false">IF(OR($A92="",$D92&lt;&gt;"تسليم",NOT(ISNUMBER($E92))),"",COUNTIFS($A$5:$A$1504,$A92,$D$5:$D$1504,"تسليم",$E$5:$E$1504,"&lt;"&amp;$E92)+1)</f>
        <v/>
      </c>
      <c r="H92" s="33" t="str">
        <f aca="false">IF($G92="","",_xlfn.MINIFS($E$5:$E$1504,$A$5:$A$1504,$A92,$D$5:$D$1504,"&lt;&gt;تسليم",$E$5:$E$1504,"&gt;="&amp;$E92))</f>
        <v/>
      </c>
      <c r="I92" s="33" t="str">
        <f aca="false">IF($G92="","",_xlfn.MINIFS($E$5:$E$1504,$A$5:$A$1504,$A92,$D$5:$D$1504,"تسليم",$E$5:$E$1504,"&gt;"&amp;$E92))</f>
        <v/>
      </c>
      <c r="J92" s="33" t="str">
        <f aca="false">IF($G92="","",IF(H92&gt;0,IF(I92&gt;0,MIN(H92,I92),H92),IF(I92&gt;0,I92,تاريخ_الاحتساب)))</f>
        <v/>
      </c>
      <c r="K92" s="34" t="str">
        <f aca="false">IF($G92="","",IF(AND(H92=0,I92=0),"جارية","مغلقة"))</f>
        <v/>
      </c>
      <c r="L92" s="26" t="str">
        <f aca="false">IF($G92="","",MAX(0,NETWORKDAYS.INTL($E92,J92,رمز_العطلة,أيام_الأجازات)-1))</f>
        <v/>
      </c>
      <c r="M92" s="26" t="str">
        <f aca="false">IF($G92="","",MAX(0,L92-مهلة_المراجعة))</f>
        <v/>
      </c>
      <c r="N92" s="30" t="str">
        <f aca="false">IF($A92="",IF(OR($D92&lt;&gt;"",$E92&lt;&gt;""),"رقم المخرج ناقص",""),IF(ISNA(MATCH($A92,قائمة_المخرجات,0)),"رقم مخرج غير موجود",IF($D92="","نوع الحركة ناقص",IF(NOT(ISNUMBER($E92)),"التاريخ ناقص",IF($E92&gt;تاريخ_الاحتساب,"تاريخ بعد تاريخ الاحتساب",IF(AND($D92&lt;&gt;"تسليم",COUNTIFS($A$5:$A$1504,$A92,$D$5:$D$1504,"تسليم",$E$5:$E$1504,"&lt;="&amp;$E92)=0),"لا يوجد تسليم قبل الحركة دي",""))))))</f>
        <v/>
      </c>
    </row>
    <row r="93" customFormat="false" ht="15" hidden="false" customHeight="false" outlineLevel="0" collapsed="false">
      <c r="A93" s="20"/>
      <c r="B93" s="35" t="str">
        <f aca="false">IF($A93="","",IFERROR(INDEX(مخرج_البند,MATCH($A93,قائمة_المخرجات,0)),""))</f>
        <v/>
      </c>
      <c r="C93" s="30" t="str">
        <f aca="false">IF($A93="","",IFERROR(INDEX(مخرج_الوصف,MATCH($A93,قائمة_المخرجات,0)),""))</f>
        <v/>
      </c>
      <c r="D93" s="20"/>
      <c r="E93" s="31"/>
      <c r="F93" s="22"/>
      <c r="G93" s="36" t="str">
        <f aca="false">IF(OR($A93="",$D93&lt;&gt;"تسليم",NOT(ISNUMBER($E93))),"",COUNTIFS($A$5:$A$1504,$A93,$D$5:$D$1504,"تسليم",$E$5:$E$1504,"&lt;"&amp;$E93)+1)</f>
        <v/>
      </c>
      <c r="H93" s="33" t="str">
        <f aca="false">IF($G93="","",_xlfn.MINIFS($E$5:$E$1504,$A$5:$A$1504,$A93,$D$5:$D$1504,"&lt;&gt;تسليم",$E$5:$E$1504,"&gt;="&amp;$E93))</f>
        <v/>
      </c>
      <c r="I93" s="33" t="str">
        <f aca="false">IF($G93="","",_xlfn.MINIFS($E$5:$E$1504,$A$5:$A$1504,$A93,$D$5:$D$1504,"تسليم",$E$5:$E$1504,"&gt;"&amp;$E93))</f>
        <v/>
      </c>
      <c r="J93" s="33" t="str">
        <f aca="false">IF($G93="","",IF(H93&gt;0,IF(I93&gt;0,MIN(H93,I93),H93),IF(I93&gt;0,I93,تاريخ_الاحتساب)))</f>
        <v/>
      </c>
      <c r="K93" s="34" t="str">
        <f aca="false">IF($G93="","",IF(AND(H93=0,I93=0),"جارية","مغلقة"))</f>
        <v/>
      </c>
      <c r="L93" s="26" t="str">
        <f aca="false">IF($G93="","",MAX(0,NETWORKDAYS.INTL($E93,J93,رمز_العطلة,أيام_الأجازات)-1))</f>
        <v/>
      </c>
      <c r="M93" s="26" t="str">
        <f aca="false">IF($G93="","",MAX(0,L93-مهلة_المراجعة))</f>
        <v/>
      </c>
      <c r="N93" s="30" t="str">
        <f aca="false">IF($A93="",IF(OR($D93&lt;&gt;"",$E93&lt;&gt;""),"رقم المخرج ناقص",""),IF(ISNA(MATCH($A93,قائمة_المخرجات,0)),"رقم مخرج غير موجود",IF($D93="","نوع الحركة ناقص",IF(NOT(ISNUMBER($E93)),"التاريخ ناقص",IF($E93&gt;تاريخ_الاحتساب,"تاريخ بعد تاريخ الاحتساب",IF(AND($D93&lt;&gt;"تسليم",COUNTIFS($A$5:$A$1504,$A93,$D$5:$D$1504,"تسليم",$E$5:$E$1504,"&lt;="&amp;$E93)=0),"لا يوجد تسليم قبل الحركة دي",""))))))</f>
        <v/>
      </c>
    </row>
    <row r="94" customFormat="false" ht="15" hidden="false" customHeight="false" outlineLevel="0" collapsed="false">
      <c r="A94" s="20"/>
      <c r="B94" s="35" t="str">
        <f aca="false">IF($A94="","",IFERROR(INDEX(مخرج_البند,MATCH($A94,قائمة_المخرجات,0)),""))</f>
        <v/>
      </c>
      <c r="C94" s="30" t="str">
        <f aca="false">IF($A94="","",IFERROR(INDEX(مخرج_الوصف,MATCH($A94,قائمة_المخرجات,0)),""))</f>
        <v/>
      </c>
      <c r="D94" s="20"/>
      <c r="E94" s="31"/>
      <c r="F94" s="22"/>
      <c r="G94" s="36" t="str">
        <f aca="false">IF(OR($A94="",$D94&lt;&gt;"تسليم",NOT(ISNUMBER($E94))),"",COUNTIFS($A$5:$A$1504,$A94,$D$5:$D$1504,"تسليم",$E$5:$E$1504,"&lt;"&amp;$E94)+1)</f>
        <v/>
      </c>
      <c r="H94" s="33" t="str">
        <f aca="false">IF($G94="","",_xlfn.MINIFS($E$5:$E$1504,$A$5:$A$1504,$A94,$D$5:$D$1504,"&lt;&gt;تسليم",$E$5:$E$1504,"&gt;="&amp;$E94))</f>
        <v/>
      </c>
      <c r="I94" s="33" t="str">
        <f aca="false">IF($G94="","",_xlfn.MINIFS($E$5:$E$1504,$A$5:$A$1504,$A94,$D$5:$D$1504,"تسليم",$E$5:$E$1504,"&gt;"&amp;$E94))</f>
        <v/>
      </c>
      <c r="J94" s="33" t="str">
        <f aca="false">IF($G94="","",IF(H94&gt;0,IF(I94&gt;0,MIN(H94,I94),H94),IF(I94&gt;0,I94,تاريخ_الاحتساب)))</f>
        <v/>
      </c>
      <c r="K94" s="34" t="str">
        <f aca="false">IF($G94="","",IF(AND(H94=0,I94=0),"جارية","مغلقة"))</f>
        <v/>
      </c>
      <c r="L94" s="26" t="str">
        <f aca="false">IF($G94="","",MAX(0,NETWORKDAYS.INTL($E94,J94,رمز_العطلة,أيام_الأجازات)-1))</f>
        <v/>
      </c>
      <c r="M94" s="26" t="str">
        <f aca="false">IF($G94="","",MAX(0,L94-مهلة_المراجعة))</f>
        <v/>
      </c>
      <c r="N94" s="30" t="str">
        <f aca="false">IF($A94="",IF(OR($D94&lt;&gt;"",$E94&lt;&gt;""),"رقم المخرج ناقص",""),IF(ISNA(MATCH($A94,قائمة_المخرجات,0)),"رقم مخرج غير موجود",IF($D94="","نوع الحركة ناقص",IF(NOT(ISNUMBER($E94)),"التاريخ ناقص",IF($E94&gt;تاريخ_الاحتساب,"تاريخ بعد تاريخ الاحتساب",IF(AND($D94&lt;&gt;"تسليم",COUNTIFS($A$5:$A$1504,$A94,$D$5:$D$1504,"تسليم",$E$5:$E$1504,"&lt;="&amp;$E94)=0),"لا يوجد تسليم قبل الحركة دي",""))))))</f>
        <v/>
      </c>
    </row>
    <row r="95" customFormat="false" ht="15" hidden="false" customHeight="false" outlineLevel="0" collapsed="false">
      <c r="A95" s="20"/>
      <c r="B95" s="35" t="str">
        <f aca="false">IF($A95="","",IFERROR(INDEX(مخرج_البند,MATCH($A95,قائمة_المخرجات,0)),""))</f>
        <v/>
      </c>
      <c r="C95" s="30" t="str">
        <f aca="false">IF($A95="","",IFERROR(INDEX(مخرج_الوصف,MATCH($A95,قائمة_المخرجات,0)),""))</f>
        <v/>
      </c>
      <c r="D95" s="20"/>
      <c r="E95" s="31"/>
      <c r="F95" s="22"/>
      <c r="G95" s="36" t="str">
        <f aca="false">IF(OR($A95="",$D95&lt;&gt;"تسليم",NOT(ISNUMBER($E95))),"",COUNTIFS($A$5:$A$1504,$A95,$D$5:$D$1504,"تسليم",$E$5:$E$1504,"&lt;"&amp;$E95)+1)</f>
        <v/>
      </c>
      <c r="H95" s="33" t="str">
        <f aca="false">IF($G95="","",_xlfn.MINIFS($E$5:$E$1504,$A$5:$A$1504,$A95,$D$5:$D$1504,"&lt;&gt;تسليم",$E$5:$E$1504,"&gt;="&amp;$E95))</f>
        <v/>
      </c>
      <c r="I95" s="33" t="str">
        <f aca="false">IF($G95="","",_xlfn.MINIFS($E$5:$E$1504,$A$5:$A$1504,$A95,$D$5:$D$1504,"تسليم",$E$5:$E$1504,"&gt;"&amp;$E95))</f>
        <v/>
      </c>
      <c r="J95" s="33" t="str">
        <f aca="false">IF($G95="","",IF(H95&gt;0,IF(I95&gt;0,MIN(H95,I95),H95),IF(I95&gt;0,I95,تاريخ_الاحتساب)))</f>
        <v/>
      </c>
      <c r="K95" s="34" t="str">
        <f aca="false">IF($G95="","",IF(AND(H95=0,I95=0),"جارية","مغلقة"))</f>
        <v/>
      </c>
      <c r="L95" s="26" t="str">
        <f aca="false">IF($G95="","",MAX(0,NETWORKDAYS.INTL($E95,J95,رمز_العطلة,أيام_الأجازات)-1))</f>
        <v/>
      </c>
      <c r="M95" s="26" t="str">
        <f aca="false">IF($G95="","",MAX(0,L95-مهلة_المراجعة))</f>
        <v/>
      </c>
      <c r="N95" s="30" t="str">
        <f aca="false">IF($A95="",IF(OR($D95&lt;&gt;"",$E95&lt;&gt;""),"رقم المخرج ناقص",""),IF(ISNA(MATCH($A95,قائمة_المخرجات,0)),"رقم مخرج غير موجود",IF($D95="","نوع الحركة ناقص",IF(NOT(ISNUMBER($E95)),"التاريخ ناقص",IF($E95&gt;تاريخ_الاحتساب,"تاريخ بعد تاريخ الاحتساب",IF(AND($D95&lt;&gt;"تسليم",COUNTIFS($A$5:$A$1504,$A95,$D$5:$D$1504,"تسليم",$E$5:$E$1504,"&lt;="&amp;$E95)=0),"لا يوجد تسليم قبل الحركة دي",""))))))</f>
        <v/>
      </c>
    </row>
    <row r="96" customFormat="false" ht="15" hidden="false" customHeight="false" outlineLevel="0" collapsed="false">
      <c r="A96" s="20"/>
      <c r="B96" s="35" t="str">
        <f aca="false">IF($A96="","",IFERROR(INDEX(مخرج_البند,MATCH($A96,قائمة_المخرجات,0)),""))</f>
        <v/>
      </c>
      <c r="C96" s="30" t="str">
        <f aca="false">IF($A96="","",IFERROR(INDEX(مخرج_الوصف,MATCH($A96,قائمة_المخرجات,0)),""))</f>
        <v/>
      </c>
      <c r="D96" s="20"/>
      <c r="E96" s="31"/>
      <c r="F96" s="22"/>
      <c r="G96" s="36" t="str">
        <f aca="false">IF(OR($A96="",$D96&lt;&gt;"تسليم",NOT(ISNUMBER($E96))),"",COUNTIFS($A$5:$A$1504,$A96,$D$5:$D$1504,"تسليم",$E$5:$E$1504,"&lt;"&amp;$E96)+1)</f>
        <v/>
      </c>
      <c r="H96" s="33" t="str">
        <f aca="false">IF($G96="","",_xlfn.MINIFS($E$5:$E$1504,$A$5:$A$1504,$A96,$D$5:$D$1504,"&lt;&gt;تسليم",$E$5:$E$1504,"&gt;="&amp;$E96))</f>
        <v/>
      </c>
      <c r="I96" s="33" t="str">
        <f aca="false">IF($G96="","",_xlfn.MINIFS($E$5:$E$1504,$A$5:$A$1504,$A96,$D$5:$D$1504,"تسليم",$E$5:$E$1504,"&gt;"&amp;$E96))</f>
        <v/>
      </c>
      <c r="J96" s="33" t="str">
        <f aca="false">IF($G96="","",IF(H96&gt;0,IF(I96&gt;0,MIN(H96,I96),H96),IF(I96&gt;0,I96,تاريخ_الاحتساب)))</f>
        <v/>
      </c>
      <c r="K96" s="34" t="str">
        <f aca="false">IF($G96="","",IF(AND(H96=0,I96=0),"جارية","مغلقة"))</f>
        <v/>
      </c>
      <c r="L96" s="26" t="str">
        <f aca="false">IF($G96="","",MAX(0,NETWORKDAYS.INTL($E96,J96,رمز_العطلة,أيام_الأجازات)-1))</f>
        <v/>
      </c>
      <c r="M96" s="26" t="str">
        <f aca="false">IF($G96="","",MAX(0,L96-مهلة_المراجعة))</f>
        <v/>
      </c>
      <c r="N96" s="30" t="str">
        <f aca="false">IF($A96="",IF(OR($D96&lt;&gt;"",$E96&lt;&gt;""),"رقم المخرج ناقص",""),IF(ISNA(MATCH($A96,قائمة_المخرجات,0)),"رقم مخرج غير موجود",IF($D96="","نوع الحركة ناقص",IF(NOT(ISNUMBER($E96)),"التاريخ ناقص",IF($E96&gt;تاريخ_الاحتساب,"تاريخ بعد تاريخ الاحتساب",IF(AND($D96&lt;&gt;"تسليم",COUNTIFS($A$5:$A$1504,$A96,$D$5:$D$1504,"تسليم",$E$5:$E$1504,"&lt;="&amp;$E96)=0),"لا يوجد تسليم قبل الحركة دي",""))))))</f>
        <v/>
      </c>
    </row>
    <row r="97" customFormat="false" ht="15" hidden="false" customHeight="false" outlineLevel="0" collapsed="false">
      <c r="A97" s="20"/>
      <c r="B97" s="35" t="str">
        <f aca="false">IF($A97="","",IFERROR(INDEX(مخرج_البند,MATCH($A97,قائمة_المخرجات,0)),""))</f>
        <v/>
      </c>
      <c r="C97" s="30" t="str">
        <f aca="false">IF($A97="","",IFERROR(INDEX(مخرج_الوصف,MATCH($A97,قائمة_المخرجات,0)),""))</f>
        <v/>
      </c>
      <c r="D97" s="20"/>
      <c r="E97" s="31"/>
      <c r="F97" s="22"/>
      <c r="G97" s="36" t="str">
        <f aca="false">IF(OR($A97="",$D97&lt;&gt;"تسليم",NOT(ISNUMBER($E97))),"",COUNTIFS($A$5:$A$1504,$A97,$D$5:$D$1504,"تسليم",$E$5:$E$1504,"&lt;"&amp;$E97)+1)</f>
        <v/>
      </c>
      <c r="H97" s="33" t="str">
        <f aca="false">IF($G97="","",_xlfn.MINIFS($E$5:$E$1504,$A$5:$A$1504,$A97,$D$5:$D$1504,"&lt;&gt;تسليم",$E$5:$E$1504,"&gt;="&amp;$E97))</f>
        <v/>
      </c>
      <c r="I97" s="33" t="str">
        <f aca="false">IF($G97="","",_xlfn.MINIFS($E$5:$E$1504,$A$5:$A$1504,$A97,$D$5:$D$1504,"تسليم",$E$5:$E$1504,"&gt;"&amp;$E97))</f>
        <v/>
      </c>
      <c r="J97" s="33" t="str">
        <f aca="false">IF($G97="","",IF(H97&gt;0,IF(I97&gt;0,MIN(H97,I97),H97),IF(I97&gt;0,I97,تاريخ_الاحتساب)))</f>
        <v/>
      </c>
      <c r="K97" s="34" t="str">
        <f aca="false">IF($G97="","",IF(AND(H97=0,I97=0),"جارية","مغلقة"))</f>
        <v/>
      </c>
      <c r="L97" s="26" t="str">
        <f aca="false">IF($G97="","",MAX(0,NETWORKDAYS.INTL($E97,J97,رمز_العطلة,أيام_الأجازات)-1))</f>
        <v/>
      </c>
      <c r="M97" s="26" t="str">
        <f aca="false">IF($G97="","",MAX(0,L97-مهلة_المراجعة))</f>
        <v/>
      </c>
      <c r="N97" s="30" t="str">
        <f aca="false">IF($A97="",IF(OR($D97&lt;&gt;"",$E97&lt;&gt;""),"رقم المخرج ناقص",""),IF(ISNA(MATCH($A97,قائمة_المخرجات,0)),"رقم مخرج غير موجود",IF($D97="","نوع الحركة ناقص",IF(NOT(ISNUMBER($E97)),"التاريخ ناقص",IF($E97&gt;تاريخ_الاحتساب,"تاريخ بعد تاريخ الاحتساب",IF(AND($D97&lt;&gt;"تسليم",COUNTIFS($A$5:$A$1504,$A97,$D$5:$D$1504,"تسليم",$E$5:$E$1504,"&lt;="&amp;$E97)=0),"لا يوجد تسليم قبل الحركة دي",""))))))</f>
        <v/>
      </c>
    </row>
    <row r="98" customFormat="false" ht="15" hidden="false" customHeight="false" outlineLevel="0" collapsed="false">
      <c r="A98" s="20"/>
      <c r="B98" s="35" t="str">
        <f aca="false">IF($A98="","",IFERROR(INDEX(مخرج_البند,MATCH($A98,قائمة_المخرجات,0)),""))</f>
        <v/>
      </c>
      <c r="C98" s="30" t="str">
        <f aca="false">IF($A98="","",IFERROR(INDEX(مخرج_الوصف,MATCH($A98,قائمة_المخرجات,0)),""))</f>
        <v/>
      </c>
      <c r="D98" s="20"/>
      <c r="E98" s="31"/>
      <c r="F98" s="22"/>
      <c r="G98" s="36" t="str">
        <f aca="false">IF(OR($A98="",$D98&lt;&gt;"تسليم",NOT(ISNUMBER($E98))),"",COUNTIFS($A$5:$A$1504,$A98,$D$5:$D$1504,"تسليم",$E$5:$E$1504,"&lt;"&amp;$E98)+1)</f>
        <v/>
      </c>
      <c r="H98" s="33" t="str">
        <f aca="false">IF($G98="","",_xlfn.MINIFS($E$5:$E$1504,$A$5:$A$1504,$A98,$D$5:$D$1504,"&lt;&gt;تسليم",$E$5:$E$1504,"&gt;="&amp;$E98))</f>
        <v/>
      </c>
      <c r="I98" s="33" t="str">
        <f aca="false">IF($G98="","",_xlfn.MINIFS($E$5:$E$1504,$A$5:$A$1504,$A98,$D$5:$D$1504,"تسليم",$E$5:$E$1504,"&gt;"&amp;$E98))</f>
        <v/>
      </c>
      <c r="J98" s="33" t="str">
        <f aca="false">IF($G98="","",IF(H98&gt;0,IF(I98&gt;0,MIN(H98,I98),H98),IF(I98&gt;0,I98,تاريخ_الاحتساب)))</f>
        <v/>
      </c>
      <c r="K98" s="34" t="str">
        <f aca="false">IF($G98="","",IF(AND(H98=0,I98=0),"جارية","مغلقة"))</f>
        <v/>
      </c>
      <c r="L98" s="26" t="str">
        <f aca="false">IF($G98="","",MAX(0,NETWORKDAYS.INTL($E98,J98,رمز_العطلة,أيام_الأجازات)-1))</f>
        <v/>
      </c>
      <c r="M98" s="26" t="str">
        <f aca="false">IF($G98="","",MAX(0,L98-مهلة_المراجعة))</f>
        <v/>
      </c>
      <c r="N98" s="30" t="str">
        <f aca="false">IF($A98="",IF(OR($D98&lt;&gt;"",$E98&lt;&gt;""),"رقم المخرج ناقص",""),IF(ISNA(MATCH($A98,قائمة_المخرجات,0)),"رقم مخرج غير موجود",IF($D98="","نوع الحركة ناقص",IF(NOT(ISNUMBER($E98)),"التاريخ ناقص",IF($E98&gt;تاريخ_الاحتساب,"تاريخ بعد تاريخ الاحتساب",IF(AND($D98&lt;&gt;"تسليم",COUNTIFS($A$5:$A$1504,$A98,$D$5:$D$1504,"تسليم",$E$5:$E$1504,"&lt;="&amp;$E98)=0),"لا يوجد تسليم قبل الحركة دي",""))))))</f>
        <v/>
      </c>
    </row>
    <row r="99" customFormat="false" ht="15" hidden="false" customHeight="false" outlineLevel="0" collapsed="false">
      <c r="A99" s="20"/>
      <c r="B99" s="35" t="str">
        <f aca="false">IF($A99="","",IFERROR(INDEX(مخرج_البند,MATCH($A99,قائمة_المخرجات,0)),""))</f>
        <v/>
      </c>
      <c r="C99" s="30" t="str">
        <f aca="false">IF($A99="","",IFERROR(INDEX(مخرج_الوصف,MATCH($A99,قائمة_المخرجات,0)),""))</f>
        <v/>
      </c>
      <c r="D99" s="20"/>
      <c r="E99" s="31"/>
      <c r="F99" s="22"/>
      <c r="G99" s="36" t="str">
        <f aca="false">IF(OR($A99="",$D99&lt;&gt;"تسليم",NOT(ISNUMBER($E99))),"",COUNTIFS($A$5:$A$1504,$A99,$D$5:$D$1504,"تسليم",$E$5:$E$1504,"&lt;"&amp;$E99)+1)</f>
        <v/>
      </c>
      <c r="H99" s="33" t="str">
        <f aca="false">IF($G99="","",_xlfn.MINIFS($E$5:$E$1504,$A$5:$A$1504,$A99,$D$5:$D$1504,"&lt;&gt;تسليم",$E$5:$E$1504,"&gt;="&amp;$E99))</f>
        <v/>
      </c>
      <c r="I99" s="33" t="str">
        <f aca="false">IF($G99="","",_xlfn.MINIFS($E$5:$E$1504,$A$5:$A$1504,$A99,$D$5:$D$1504,"تسليم",$E$5:$E$1504,"&gt;"&amp;$E99))</f>
        <v/>
      </c>
      <c r="J99" s="33" t="str">
        <f aca="false">IF($G99="","",IF(H99&gt;0,IF(I99&gt;0,MIN(H99,I99),H99),IF(I99&gt;0,I99,تاريخ_الاحتساب)))</f>
        <v/>
      </c>
      <c r="K99" s="34" t="str">
        <f aca="false">IF($G99="","",IF(AND(H99=0,I99=0),"جارية","مغلقة"))</f>
        <v/>
      </c>
      <c r="L99" s="26" t="str">
        <f aca="false">IF($G99="","",MAX(0,NETWORKDAYS.INTL($E99,J99,رمز_العطلة,أيام_الأجازات)-1))</f>
        <v/>
      </c>
      <c r="M99" s="26" t="str">
        <f aca="false">IF($G99="","",MAX(0,L99-مهلة_المراجعة))</f>
        <v/>
      </c>
      <c r="N99" s="30" t="str">
        <f aca="false">IF($A99="",IF(OR($D99&lt;&gt;"",$E99&lt;&gt;""),"رقم المخرج ناقص",""),IF(ISNA(MATCH($A99,قائمة_المخرجات,0)),"رقم مخرج غير موجود",IF($D99="","نوع الحركة ناقص",IF(NOT(ISNUMBER($E99)),"التاريخ ناقص",IF($E99&gt;تاريخ_الاحتساب,"تاريخ بعد تاريخ الاحتساب",IF(AND($D99&lt;&gt;"تسليم",COUNTIFS($A$5:$A$1504,$A99,$D$5:$D$1504,"تسليم",$E$5:$E$1504,"&lt;="&amp;$E99)=0),"لا يوجد تسليم قبل الحركة دي",""))))))</f>
        <v/>
      </c>
    </row>
    <row r="100" customFormat="false" ht="15" hidden="false" customHeight="false" outlineLevel="0" collapsed="false">
      <c r="A100" s="20"/>
      <c r="B100" s="35" t="str">
        <f aca="false">IF($A100="","",IFERROR(INDEX(مخرج_البند,MATCH($A100,قائمة_المخرجات,0)),""))</f>
        <v/>
      </c>
      <c r="C100" s="30" t="str">
        <f aca="false">IF($A100="","",IFERROR(INDEX(مخرج_الوصف,MATCH($A100,قائمة_المخرجات,0)),""))</f>
        <v/>
      </c>
      <c r="D100" s="20"/>
      <c r="E100" s="31"/>
      <c r="F100" s="22"/>
      <c r="G100" s="36" t="str">
        <f aca="false">IF(OR($A100="",$D100&lt;&gt;"تسليم",NOT(ISNUMBER($E100))),"",COUNTIFS($A$5:$A$1504,$A100,$D$5:$D$1504,"تسليم",$E$5:$E$1504,"&lt;"&amp;$E100)+1)</f>
        <v/>
      </c>
      <c r="H100" s="33" t="str">
        <f aca="false">IF($G100="","",_xlfn.MINIFS($E$5:$E$1504,$A$5:$A$1504,$A100,$D$5:$D$1504,"&lt;&gt;تسليم",$E$5:$E$1504,"&gt;="&amp;$E100))</f>
        <v/>
      </c>
      <c r="I100" s="33" t="str">
        <f aca="false">IF($G100="","",_xlfn.MINIFS($E$5:$E$1504,$A$5:$A$1504,$A100,$D$5:$D$1504,"تسليم",$E$5:$E$1504,"&gt;"&amp;$E100))</f>
        <v/>
      </c>
      <c r="J100" s="33" t="str">
        <f aca="false">IF($G100="","",IF(H100&gt;0,IF(I100&gt;0,MIN(H100,I100),H100),IF(I100&gt;0,I100,تاريخ_الاحتساب)))</f>
        <v/>
      </c>
      <c r="K100" s="34" t="str">
        <f aca="false">IF($G100="","",IF(AND(H100=0,I100=0),"جارية","مغلقة"))</f>
        <v/>
      </c>
      <c r="L100" s="26" t="str">
        <f aca="false">IF($G100="","",MAX(0,NETWORKDAYS.INTL($E100,J100,رمز_العطلة,أيام_الأجازات)-1))</f>
        <v/>
      </c>
      <c r="M100" s="26" t="str">
        <f aca="false">IF($G100="","",MAX(0,L100-مهلة_المراجعة))</f>
        <v/>
      </c>
      <c r="N100" s="30" t="str">
        <f aca="false">IF($A100="",IF(OR($D100&lt;&gt;"",$E100&lt;&gt;""),"رقم المخرج ناقص",""),IF(ISNA(MATCH($A100,قائمة_المخرجات,0)),"رقم مخرج غير موجود",IF($D100="","نوع الحركة ناقص",IF(NOT(ISNUMBER($E100)),"التاريخ ناقص",IF($E100&gt;تاريخ_الاحتساب,"تاريخ بعد تاريخ الاحتساب",IF(AND($D100&lt;&gt;"تسليم",COUNTIFS($A$5:$A$1504,$A100,$D$5:$D$1504,"تسليم",$E$5:$E$1504,"&lt;="&amp;$E100)=0),"لا يوجد تسليم قبل الحركة دي",""))))))</f>
        <v/>
      </c>
    </row>
    <row r="101" customFormat="false" ht="15" hidden="false" customHeight="false" outlineLevel="0" collapsed="false">
      <c r="A101" s="20"/>
      <c r="B101" s="35" t="str">
        <f aca="false">IF($A101="","",IFERROR(INDEX(مخرج_البند,MATCH($A101,قائمة_المخرجات,0)),""))</f>
        <v/>
      </c>
      <c r="C101" s="30" t="str">
        <f aca="false">IF($A101="","",IFERROR(INDEX(مخرج_الوصف,MATCH($A101,قائمة_المخرجات,0)),""))</f>
        <v/>
      </c>
      <c r="D101" s="20"/>
      <c r="E101" s="31"/>
      <c r="F101" s="22"/>
      <c r="G101" s="36" t="str">
        <f aca="false">IF(OR($A101="",$D101&lt;&gt;"تسليم",NOT(ISNUMBER($E101))),"",COUNTIFS($A$5:$A$1504,$A101,$D$5:$D$1504,"تسليم",$E$5:$E$1504,"&lt;"&amp;$E101)+1)</f>
        <v/>
      </c>
      <c r="H101" s="33" t="str">
        <f aca="false">IF($G101="","",_xlfn.MINIFS($E$5:$E$1504,$A$5:$A$1504,$A101,$D$5:$D$1504,"&lt;&gt;تسليم",$E$5:$E$1504,"&gt;="&amp;$E101))</f>
        <v/>
      </c>
      <c r="I101" s="33" t="str">
        <f aca="false">IF($G101="","",_xlfn.MINIFS($E$5:$E$1504,$A$5:$A$1504,$A101,$D$5:$D$1504,"تسليم",$E$5:$E$1504,"&gt;"&amp;$E101))</f>
        <v/>
      </c>
      <c r="J101" s="33" t="str">
        <f aca="false">IF($G101="","",IF(H101&gt;0,IF(I101&gt;0,MIN(H101,I101),H101),IF(I101&gt;0,I101,تاريخ_الاحتساب)))</f>
        <v/>
      </c>
      <c r="K101" s="34" t="str">
        <f aca="false">IF($G101="","",IF(AND(H101=0,I101=0),"جارية","مغلقة"))</f>
        <v/>
      </c>
      <c r="L101" s="26" t="str">
        <f aca="false">IF($G101="","",MAX(0,NETWORKDAYS.INTL($E101,J101,رمز_العطلة,أيام_الأجازات)-1))</f>
        <v/>
      </c>
      <c r="M101" s="26" t="str">
        <f aca="false">IF($G101="","",MAX(0,L101-مهلة_المراجعة))</f>
        <v/>
      </c>
      <c r="N101" s="30" t="str">
        <f aca="false">IF($A101="",IF(OR($D101&lt;&gt;"",$E101&lt;&gt;""),"رقم المخرج ناقص",""),IF(ISNA(MATCH($A101,قائمة_المخرجات,0)),"رقم مخرج غير موجود",IF($D101="","نوع الحركة ناقص",IF(NOT(ISNUMBER($E101)),"التاريخ ناقص",IF($E101&gt;تاريخ_الاحتساب,"تاريخ بعد تاريخ الاحتساب",IF(AND($D101&lt;&gt;"تسليم",COUNTIFS($A$5:$A$1504,$A101,$D$5:$D$1504,"تسليم",$E$5:$E$1504,"&lt;="&amp;$E101)=0),"لا يوجد تسليم قبل الحركة دي",""))))))</f>
        <v/>
      </c>
    </row>
    <row r="102" customFormat="false" ht="15" hidden="false" customHeight="false" outlineLevel="0" collapsed="false">
      <c r="A102" s="20"/>
      <c r="B102" s="35" t="str">
        <f aca="false">IF($A102="","",IFERROR(INDEX(مخرج_البند,MATCH($A102,قائمة_المخرجات,0)),""))</f>
        <v/>
      </c>
      <c r="C102" s="30" t="str">
        <f aca="false">IF($A102="","",IFERROR(INDEX(مخرج_الوصف,MATCH($A102,قائمة_المخرجات,0)),""))</f>
        <v/>
      </c>
      <c r="D102" s="20"/>
      <c r="E102" s="31"/>
      <c r="F102" s="22"/>
      <c r="G102" s="36" t="str">
        <f aca="false">IF(OR($A102="",$D102&lt;&gt;"تسليم",NOT(ISNUMBER($E102))),"",COUNTIFS($A$5:$A$1504,$A102,$D$5:$D$1504,"تسليم",$E$5:$E$1504,"&lt;"&amp;$E102)+1)</f>
        <v/>
      </c>
      <c r="H102" s="33" t="str">
        <f aca="false">IF($G102="","",_xlfn.MINIFS($E$5:$E$1504,$A$5:$A$1504,$A102,$D$5:$D$1504,"&lt;&gt;تسليم",$E$5:$E$1504,"&gt;="&amp;$E102))</f>
        <v/>
      </c>
      <c r="I102" s="33" t="str">
        <f aca="false">IF($G102="","",_xlfn.MINIFS($E$5:$E$1504,$A$5:$A$1504,$A102,$D$5:$D$1504,"تسليم",$E$5:$E$1504,"&gt;"&amp;$E102))</f>
        <v/>
      </c>
      <c r="J102" s="33" t="str">
        <f aca="false">IF($G102="","",IF(H102&gt;0,IF(I102&gt;0,MIN(H102,I102),H102),IF(I102&gt;0,I102,تاريخ_الاحتساب)))</f>
        <v/>
      </c>
      <c r="K102" s="34" t="str">
        <f aca="false">IF($G102="","",IF(AND(H102=0,I102=0),"جارية","مغلقة"))</f>
        <v/>
      </c>
      <c r="L102" s="26" t="str">
        <f aca="false">IF($G102="","",MAX(0,NETWORKDAYS.INTL($E102,J102,رمز_العطلة,أيام_الأجازات)-1))</f>
        <v/>
      </c>
      <c r="M102" s="26" t="str">
        <f aca="false">IF($G102="","",MAX(0,L102-مهلة_المراجعة))</f>
        <v/>
      </c>
      <c r="N102" s="30" t="str">
        <f aca="false">IF($A102="",IF(OR($D102&lt;&gt;"",$E102&lt;&gt;""),"رقم المخرج ناقص",""),IF(ISNA(MATCH($A102,قائمة_المخرجات,0)),"رقم مخرج غير موجود",IF($D102="","نوع الحركة ناقص",IF(NOT(ISNUMBER($E102)),"التاريخ ناقص",IF($E102&gt;تاريخ_الاحتساب,"تاريخ بعد تاريخ الاحتساب",IF(AND($D102&lt;&gt;"تسليم",COUNTIFS($A$5:$A$1504,$A102,$D$5:$D$1504,"تسليم",$E$5:$E$1504,"&lt;="&amp;$E102)=0),"لا يوجد تسليم قبل الحركة دي",""))))))</f>
        <v/>
      </c>
    </row>
    <row r="103" customFormat="false" ht="15" hidden="false" customHeight="false" outlineLevel="0" collapsed="false">
      <c r="A103" s="20"/>
      <c r="B103" s="35" t="str">
        <f aca="false">IF($A103="","",IFERROR(INDEX(مخرج_البند,MATCH($A103,قائمة_المخرجات,0)),""))</f>
        <v/>
      </c>
      <c r="C103" s="30" t="str">
        <f aca="false">IF($A103="","",IFERROR(INDEX(مخرج_الوصف,MATCH($A103,قائمة_المخرجات,0)),""))</f>
        <v/>
      </c>
      <c r="D103" s="20"/>
      <c r="E103" s="31"/>
      <c r="F103" s="22"/>
      <c r="G103" s="36" t="str">
        <f aca="false">IF(OR($A103="",$D103&lt;&gt;"تسليم",NOT(ISNUMBER($E103))),"",COUNTIFS($A$5:$A$1504,$A103,$D$5:$D$1504,"تسليم",$E$5:$E$1504,"&lt;"&amp;$E103)+1)</f>
        <v/>
      </c>
      <c r="H103" s="33" t="str">
        <f aca="false">IF($G103="","",_xlfn.MINIFS($E$5:$E$1504,$A$5:$A$1504,$A103,$D$5:$D$1504,"&lt;&gt;تسليم",$E$5:$E$1504,"&gt;="&amp;$E103))</f>
        <v/>
      </c>
      <c r="I103" s="33" t="str">
        <f aca="false">IF($G103="","",_xlfn.MINIFS($E$5:$E$1504,$A$5:$A$1504,$A103,$D$5:$D$1504,"تسليم",$E$5:$E$1504,"&gt;"&amp;$E103))</f>
        <v/>
      </c>
      <c r="J103" s="33" t="str">
        <f aca="false">IF($G103="","",IF(H103&gt;0,IF(I103&gt;0,MIN(H103,I103),H103),IF(I103&gt;0,I103,تاريخ_الاحتساب)))</f>
        <v/>
      </c>
      <c r="K103" s="34" t="str">
        <f aca="false">IF($G103="","",IF(AND(H103=0,I103=0),"جارية","مغلقة"))</f>
        <v/>
      </c>
      <c r="L103" s="26" t="str">
        <f aca="false">IF($G103="","",MAX(0,NETWORKDAYS.INTL($E103,J103,رمز_العطلة,أيام_الأجازات)-1))</f>
        <v/>
      </c>
      <c r="M103" s="26" t="str">
        <f aca="false">IF($G103="","",MAX(0,L103-مهلة_المراجعة))</f>
        <v/>
      </c>
      <c r="N103" s="30" t="str">
        <f aca="false">IF($A103="",IF(OR($D103&lt;&gt;"",$E103&lt;&gt;""),"رقم المخرج ناقص",""),IF(ISNA(MATCH($A103,قائمة_المخرجات,0)),"رقم مخرج غير موجود",IF($D103="","نوع الحركة ناقص",IF(NOT(ISNUMBER($E103)),"التاريخ ناقص",IF($E103&gt;تاريخ_الاحتساب,"تاريخ بعد تاريخ الاحتساب",IF(AND($D103&lt;&gt;"تسليم",COUNTIFS($A$5:$A$1504,$A103,$D$5:$D$1504,"تسليم",$E$5:$E$1504,"&lt;="&amp;$E103)=0),"لا يوجد تسليم قبل الحركة دي",""))))))</f>
        <v/>
      </c>
    </row>
    <row r="104" customFormat="false" ht="15" hidden="false" customHeight="false" outlineLevel="0" collapsed="false">
      <c r="A104" s="20"/>
      <c r="B104" s="35" t="str">
        <f aca="false">IF($A104="","",IFERROR(INDEX(مخرج_البند,MATCH($A104,قائمة_المخرجات,0)),""))</f>
        <v/>
      </c>
      <c r="C104" s="30" t="str">
        <f aca="false">IF($A104="","",IFERROR(INDEX(مخرج_الوصف,MATCH($A104,قائمة_المخرجات,0)),""))</f>
        <v/>
      </c>
      <c r="D104" s="20"/>
      <c r="E104" s="31"/>
      <c r="F104" s="22"/>
      <c r="G104" s="36" t="str">
        <f aca="false">IF(OR($A104="",$D104&lt;&gt;"تسليم",NOT(ISNUMBER($E104))),"",COUNTIFS($A$5:$A$1504,$A104,$D$5:$D$1504,"تسليم",$E$5:$E$1504,"&lt;"&amp;$E104)+1)</f>
        <v/>
      </c>
      <c r="H104" s="33" t="str">
        <f aca="false">IF($G104="","",_xlfn.MINIFS($E$5:$E$1504,$A$5:$A$1504,$A104,$D$5:$D$1504,"&lt;&gt;تسليم",$E$5:$E$1504,"&gt;="&amp;$E104))</f>
        <v/>
      </c>
      <c r="I104" s="33" t="str">
        <f aca="false">IF($G104="","",_xlfn.MINIFS($E$5:$E$1504,$A$5:$A$1504,$A104,$D$5:$D$1504,"تسليم",$E$5:$E$1504,"&gt;"&amp;$E104))</f>
        <v/>
      </c>
      <c r="J104" s="33" t="str">
        <f aca="false">IF($G104="","",IF(H104&gt;0,IF(I104&gt;0,MIN(H104,I104),H104),IF(I104&gt;0,I104,تاريخ_الاحتساب)))</f>
        <v/>
      </c>
      <c r="K104" s="34" t="str">
        <f aca="false">IF($G104="","",IF(AND(H104=0,I104=0),"جارية","مغلقة"))</f>
        <v/>
      </c>
      <c r="L104" s="26" t="str">
        <f aca="false">IF($G104="","",MAX(0,NETWORKDAYS.INTL($E104,J104,رمز_العطلة,أيام_الأجازات)-1))</f>
        <v/>
      </c>
      <c r="M104" s="26" t="str">
        <f aca="false">IF($G104="","",MAX(0,L104-مهلة_المراجعة))</f>
        <v/>
      </c>
      <c r="N104" s="30" t="str">
        <f aca="false">IF($A104="",IF(OR($D104&lt;&gt;"",$E104&lt;&gt;""),"رقم المخرج ناقص",""),IF(ISNA(MATCH($A104,قائمة_المخرجات,0)),"رقم مخرج غير موجود",IF($D104="","نوع الحركة ناقص",IF(NOT(ISNUMBER($E104)),"التاريخ ناقص",IF($E104&gt;تاريخ_الاحتساب,"تاريخ بعد تاريخ الاحتساب",IF(AND($D104&lt;&gt;"تسليم",COUNTIFS($A$5:$A$1504,$A104,$D$5:$D$1504,"تسليم",$E$5:$E$1504,"&lt;="&amp;$E104)=0),"لا يوجد تسليم قبل الحركة دي",""))))))</f>
        <v/>
      </c>
    </row>
    <row r="105" customFormat="false" ht="15" hidden="false" customHeight="false" outlineLevel="0" collapsed="false">
      <c r="A105" s="20"/>
      <c r="B105" s="35" t="str">
        <f aca="false">IF($A105="","",IFERROR(INDEX(مخرج_البند,MATCH($A105,قائمة_المخرجات,0)),""))</f>
        <v/>
      </c>
      <c r="C105" s="30" t="str">
        <f aca="false">IF($A105="","",IFERROR(INDEX(مخرج_الوصف,MATCH($A105,قائمة_المخرجات,0)),""))</f>
        <v/>
      </c>
      <c r="D105" s="20"/>
      <c r="E105" s="31"/>
      <c r="F105" s="22"/>
      <c r="G105" s="36" t="str">
        <f aca="false">IF(OR($A105="",$D105&lt;&gt;"تسليم",NOT(ISNUMBER($E105))),"",COUNTIFS($A$5:$A$1504,$A105,$D$5:$D$1504,"تسليم",$E$5:$E$1504,"&lt;"&amp;$E105)+1)</f>
        <v/>
      </c>
      <c r="H105" s="33" t="str">
        <f aca="false">IF($G105="","",_xlfn.MINIFS($E$5:$E$1504,$A$5:$A$1504,$A105,$D$5:$D$1504,"&lt;&gt;تسليم",$E$5:$E$1504,"&gt;="&amp;$E105))</f>
        <v/>
      </c>
      <c r="I105" s="33" t="str">
        <f aca="false">IF($G105="","",_xlfn.MINIFS($E$5:$E$1504,$A$5:$A$1504,$A105,$D$5:$D$1504,"تسليم",$E$5:$E$1504,"&gt;"&amp;$E105))</f>
        <v/>
      </c>
      <c r="J105" s="33" t="str">
        <f aca="false">IF($G105="","",IF(H105&gt;0,IF(I105&gt;0,MIN(H105,I105),H105),IF(I105&gt;0,I105,تاريخ_الاحتساب)))</f>
        <v/>
      </c>
      <c r="K105" s="34" t="str">
        <f aca="false">IF($G105="","",IF(AND(H105=0,I105=0),"جارية","مغلقة"))</f>
        <v/>
      </c>
      <c r="L105" s="26" t="str">
        <f aca="false">IF($G105="","",MAX(0,NETWORKDAYS.INTL($E105,J105,رمز_العطلة,أيام_الأجازات)-1))</f>
        <v/>
      </c>
      <c r="M105" s="26" t="str">
        <f aca="false">IF($G105="","",MAX(0,L105-مهلة_المراجعة))</f>
        <v/>
      </c>
      <c r="N105" s="30" t="str">
        <f aca="false">IF($A105="",IF(OR($D105&lt;&gt;"",$E105&lt;&gt;""),"رقم المخرج ناقص",""),IF(ISNA(MATCH($A105,قائمة_المخرجات,0)),"رقم مخرج غير موجود",IF($D105="","نوع الحركة ناقص",IF(NOT(ISNUMBER($E105)),"التاريخ ناقص",IF($E105&gt;تاريخ_الاحتساب,"تاريخ بعد تاريخ الاحتساب",IF(AND($D105&lt;&gt;"تسليم",COUNTIFS($A$5:$A$1504,$A105,$D$5:$D$1504,"تسليم",$E$5:$E$1504,"&lt;="&amp;$E105)=0),"لا يوجد تسليم قبل الحركة دي",""))))))</f>
        <v/>
      </c>
    </row>
    <row r="106" customFormat="false" ht="15" hidden="false" customHeight="false" outlineLevel="0" collapsed="false">
      <c r="A106" s="20"/>
      <c r="B106" s="35" t="str">
        <f aca="false">IF($A106="","",IFERROR(INDEX(مخرج_البند,MATCH($A106,قائمة_المخرجات,0)),""))</f>
        <v/>
      </c>
      <c r="C106" s="30" t="str">
        <f aca="false">IF($A106="","",IFERROR(INDEX(مخرج_الوصف,MATCH($A106,قائمة_المخرجات,0)),""))</f>
        <v/>
      </c>
      <c r="D106" s="20"/>
      <c r="E106" s="31"/>
      <c r="F106" s="22"/>
      <c r="G106" s="36" t="str">
        <f aca="false">IF(OR($A106="",$D106&lt;&gt;"تسليم",NOT(ISNUMBER($E106))),"",COUNTIFS($A$5:$A$1504,$A106,$D$5:$D$1504,"تسليم",$E$5:$E$1504,"&lt;"&amp;$E106)+1)</f>
        <v/>
      </c>
      <c r="H106" s="33" t="str">
        <f aca="false">IF($G106="","",_xlfn.MINIFS($E$5:$E$1504,$A$5:$A$1504,$A106,$D$5:$D$1504,"&lt;&gt;تسليم",$E$5:$E$1504,"&gt;="&amp;$E106))</f>
        <v/>
      </c>
      <c r="I106" s="33" t="str">
        <f aca="false">IF($G106="","",_xlfn.MINIFS($E$5:$E$1504,$A$5:$A$1504,$A106,$D$5:$D$1504,"تسليم",$E$5:$E$1504,"&gt;"&amp;$E106))</f>
        <v/>
      </c>
      <c r="J106" s="33" t="str">
        <f aca="false">IF($G106="","",IF(H106&gt;0,IF(I106&gt;0,MIN(H106,I106),H106),IF(I106&gt;0,I106,تاريخ_الاحتساب)))</f>
        <v/>
      </c>
      <c r="K106" s="34" t="str">
        <f aca="false">IF($G106="","",IF(AND(H106=0,I106=0),"جارية","مغلقة"))</f>
        <v/>
      </c>
      <c r="L106" s="26" t="str">
        <f aca="false">IF($G106="","",MAX(0,NETWORKDAYS.INTL($E106,J106,رمز_العطلة,أيام_الأجازات)-1))</f>
        <v/>
      </c>
      <c r="M106" s="26" t="str">
        <f aca="false">IF($G106="","",MAX(0,L106-مهلة_المراجعة))</f>
        <v/>
      </c>
      <c r="N106" s="30" t="str">
        <f aca="false">IF($A106="",IF(OR($D106&lt;&gt;"",$E106&lt;&gt;""),"رقم المخرج ناقص",""),IF(ISNA(MATCH($A106,قائمة_المخرجات,0)),"رقم مخرج غير موجود",IF($D106="","نوع الحركة ناقص",IF(NOT(ISNUMBER($E106)),"التاريخ ناقص",IF($E106&gt;تاريخ_الاحتساب,"تاريخ بعد تاريخ الاحتساب",IF(AND($D106&lt;&gt;"تسليم",COUNTIFS($A$5:$A$1504,$A106,$D$5:$D$1504,"تسليم",$E$5:$E$1504,"&lt;="&amp;$E106)=0),"لا يوجد تسليم قبل الحركة دي",""))))))</f>
        <v/>
      </c>
    </row>
    <row r="107" customFormat="false" ht="15" hidden="false" customHeight="false" outlineLevel="0" collapsed="false">
      <c r="A107" s="20"/>
      <c r="B107" s="35" t="str">
        <f aca="false">IF($A107="","",IFERROR(INDEX(مخرج_البند,MATCH($A107,قائمة_المخرجات,0)),""))</f>
        <v/>
      </c>
      <c r="C107" s="30" t="str">
        <f aca="false">IF($A107="","",IFERROR(INDEX(مخرج_الوصف,MATCH($A107,قائمة_المخرجات,0)),""))</f>
        <v/>
      </c>
      <c r="D107" s="20"/>
      <c r="E107" s="31"/>
      <c r="F107" s="22"/>
      <c r="G107" s="36" t="str">
        <f aca="false">IF(OR($A107="",$D107&lt;&gt;"تسليم",NOT(ISNUMBER($E107))),"",COUNTIFS($A$5:$A$1504,$A107,$D$5:$D$1504,"تسليم",$E$5:$E$1504,"&lt;"&amp;$E107)+1)</f>
        <v/>
      </c>
      <c r="H107" s="33" t="str">
        <f aca="false">IF($G107="","",_xlfn.MINIFS($E$5:$E$1504,$A$5:$A$1504,$A107,$D$5:$D$1504,"&lt;&gt;تسليم",$E$5:$E$1504,"&gt;="&amp;$E107))</f>
        <v/>
      </c>
      <c r="I107" s="33" t="str">
        <f aca="false">IF($G107="","",_xlfn.MINIFS($E$5:$E$1504,$A$5:$A$1504,$A107,$D$5:$D$1504,"تسليم",$E$5:$E$1504,"&gt;"&amp;$E107))</f>
        <v/>
      </c>
      <c r="J107" s="33" t="str">
        <f aca="false">IF($G107="","",IF(H107&gt;0,IF(I107&gt;0,MIN(H107,I107),H107),IF(I107&gt;0,I107,تاريخ_الاحتساب)))</f>
        <v/>
      </c>
      <c r="K107" s="34" t="str">
        <f aca="false">IF($G107="","",IF(AND(H107=0,I107=0),"جارية","مغلقة"))</f>
        <v/>
      </c>
      <c r="L107" s="26" t="str">
        <f aca="false">IF($G107="","",MAX(0,NETWORKDAYS.INTL($E107,J107,رمز_العطلة,أيام_الأجازات)-1))</f>
        <v/>
      </c>
      <c r="M107" s="26" t="str">
        <f aca="false">IF($G107="","",MAX(0,L107-مهلة_المراجعة))</f>
        <v/>
      </c>
      <c r="N107" s="30" t="str">
        <f aca="false">IF($A107="",IF(OR($D107&lt;&gt;"",$E107&lt;&gt;""),"رقم المخرج ناقص",""),IF(ISNA(MATCH($A107,قائمة_المخرجات,0)),"رقم مخرج غير موجود",IF($D107="","نوع الحركة ناقص",IF(NOT(ISNUMBER($E107)),"التاريخ ناقص",IF($E107&gt;تاريخ_الاحتساب,"تاريخ بعد تاريخ الاحتساب",IF(AND($D107&lt;&gt;"تسليم",COUNTIFS($A$5:$A$1504,$A107,$D$5:$D$1504,"تسليم",$E$5:$E$1504,"&lt;="&amp;$E107)=0),"لا يوجد تسليم قبل الحركة دي",""))))))</f>
        <v/>
      </c>
    </row>
    <row r="108" customFormat="false" ht="15" hidden="false" customHeight="false" outlineLevel="0" collapsed="false">
      <c r="A108" s="20"/>
      <c r="B108" s="35" t="str">
        <f aca="false">IF($A108="","",IFERROR(INDEX(مخرج_البند,MATCH($A108,قائمة_المخرجات,0)),""))</f>
        <v/>
      </c>
      <c r="C108" s="30" t="str">
        <f aca="false">IF($A108="","",IFERROR(INDEX(مخرج_الوصف,MATCH($A108,قائمة_المخرجات,0)),""))</f>
        <v/>
      </c>
      <c r="D108" s="20"/>
      <c r="E108" s="31"/>
      <c r="F108" s="22"/>
      <c r="G108" s="36" t="str">
        <f aca="false">IF(OR($A108="",$D108&lt;&gt;"تسليم",NOT(ISNUMBER($E108))),"",COUNTIFS($A$5:$A$1504,$A108,$D$5:$D$1504,"تسليم",$E$5:$E$1504,"&lt;"&amp;$E108)+1)</f>
        <v/>
      </c>
      <c r="H108" s="33" t="str">
        <f aca="false">IF($G108="","",_xlfn.MINIFS($E$5:$E$1504,$A$5:$A$1504,$A108,$D$5:$D$1504,"&lt;&gt;تسليم",$E$5:$E$1504,"&gt;="&amp;$E108))</f>
        <v/>
      </c>
      <c r="I108" s="33" t="str">
        <f aca="false">IF($G108="","",_xlfn.MINIFS($E$5:$E$1504,$A$5:$A$1504,$A108,$D$5:$D$1504,"تسليم",$E$5:$E$1504,"&gt;"&amp;$E108))</f>
        <v/>
      </c>
      <c r="J108" s="33" t="str">
        <f aca="false">IF($G108="","",IF(H108&gt;0,IF(I108&gt;0,MIN(H108,I108),H108),IF(I108&gt;0,I108,تاريخ_الاحتساب)))</f>
        <v/>
      </c>
      <c r="K108" s="34" t="str">
        <f aca="false">IF($G108="","",IF(AND(H108=0,I108=0),"جارية","مغلقة"))</f>
        <v/>
      </c>
      <c r="L108" s="26" t="str">
        <f aca="false">IF($G108="","",MAX(0,NETWORKDAYS.INTL($E108,J108,رمز_العطلة,أيام_الأجازات)-1))</f>
        <v/>
      </c>
      <c r="M108" s="26" t="str">
        <f aca="false">IF($G108="","",MAX(0,L108-مهلة_المراجعة))</f>
        <v/>
      </c>
      <c r="N108" s="30" t="str">
        <f aca="false">IF($A108="",IF(OR($D108&lt;&gt;"",$E108&lt;&gt;""),"رقم المخرج ناقص",""),IF(ISNA(MATCH($A108,قائمة_المخرجات,0)),"رقم مخرج غير موجود",IF($D108="","نوع الحركة ناقص",IF(NOT(ISNUMBER($E108)),"التاريخ ناقص",IF($E108&gt;تاريخ_الاحتساب,"تاريخ بعد تاريخ الاحتساب",IF(AND($D108&lt;&gt;"تسليم",COUNTIFS($A$5:$A$1504,$A108,$D$5:$D$1504,"تسليم",$E$5:$E$1504,"&lt;="&amp;$E108)=0),"لا يوجد تسليم قبل الحركة دي",""))))))</f>
        <v/>
      </c>
    </row>
    <row r="109" customFormat="false" ht="15" hidden="false" customHeight="false" outlineLevel="0" collapsed="false">
      <c r="A109" s="20"/>
      <c r="B109" s="35" t="str">
        <f aca="false">IF($A109="","",IFERROR(INDEX(مخرج_البند,MATCH($A109,قائمة_المخرجات,0)),""))</f>
        <v/>
      </c>
      <c r="C109" s="30" t="str">
        <f aca="false">IF($A109="","",IFERROR(INDEX(مخرج_الوصف,MATCH($A109,قائمة_المخرجات,0)),""))</f>
        <v/>
      </c>
      <c r="D109" s="20"/>
      <c r="E109" s="31"/>
      <c r="F109" s="22"/>
      <c r="G109" s="36" t="str">
        <f aca="false">IF(OR($A109="",$D109&lt;&gt;"تسليم",NOT(ISNUMBER($E109))),"",COUNTIFS($A$5:$A$1504,$A109,$D$5:$D$1504,"تسليم",$E$5:$E$1504,"&lt;"&amp;$E109)+1)</f>
        <v/>
      </c>
      <c r="H109" s="33" t="str">
        <f aca="false">IF($G109="","",_xlfn.MINIFS($E$5:$E$1504,$A$5:$A$1504,$A109,$D$5:$D$1504,"&lt;&gt;تسليم",$E$5:$E$1504,"&gt;="&amp;$E109))</f>
        <v/>
      </c>
      <c r="I109" s="33" t="str">
        <f aca="false">IF($G109="","",_xlfn.MINIFS($E$5:$E$1504,$A$5:$A$1504,$A109,$D$5:$D$1504,"تسليم",$E$5:$E$1504,"&gt;"&amp;$E109))</f>
        <v/>
      </c>
      <c r="J109" s="33" t="str">
        <f aca="false">IF($G109="","",IF(H109&gt;0,IF(I109&gt;0,MIN(H109,I109),H109),IF(I109&gt;0,I109,تاريخ_الاحتساب)))</f>
        <v/>
      </c>
      <c r="K109" s="34" t="str">
        <f aca="false">IF($G109="","",IF(AND(H109=0,I109=0),"جارية","مغلقة"))</f>
        <v/>
      </c>
      <c r="L109" s="26" t="str">
        <f aca="false">IF($G109="","",MAX(0,NETWORKDAYS.INTL($E109,J109,رمز_العطلة,أيام_الأجازات)-1))</f>
        <v/>
      </c>
      <c r="M109" s="26" t="str">
        <f aca="false">IF($G109="","",MAX(0,L109-مهلة_المراجعة))</f>
        <v/>
      </c>
      <c r="N109" s="30" t="str">
        <f aca="false">IF($A109="",IF(OR($D109&lt;&gt;"",$E109&lt;&gt;""),"رقم المخرج ناقص",""),IF(ISNA(MATCH($A109,قائمة_المخرجات,0)),"رقم مخرج غير موجود",IF($D109="","نوع الحركة ناقص",IF(NOT(ISNUMBER($E109)),"التاريخ ناقص",IF($E109&gt;تاريخ_الاحتساب,"تاريخ بعد تاريخ الاحتساب",IF(AND($D109&lt;&gt;"تسليم",COUNTIFS($A$5:$A$1504,$A109,$D$5:$D$1504,"تسليم",$E$5:$E$1504,"&lt;="&amp;$E109)=0),"لا يوجد تسليم قبل الحركة دي",""))))))</f>
        <v/>
      </c>
    </row>
    <row r="110" customFormat="false" ht="15" hidden="false" customHeight="false" outlineLevel="0" collapsed="false">
      <c r="A110" s="20"/>
      <c r="B110" s="35" t="str">
        <f aca="false">IF($A110="","",IFERROR(INDEX(مخرج_البند,MATCH($A110,قائمة_المخرجات,0)),""))</f>
        <v/>
      </c>
      <c r="C110" s="30" t="str">
        <f aca="false">IF($A110="","",IFERROR(INDEX(مخرج_الوصف,MATCH($A110,قائمة_المخرجات,0)),""))</f>
        <v/>
      </c>
      <c r="D110" s="20"/>
      <c r="E110" s="31"/>
      <c r="F110" s="22"/>
      <c r="G110" s="36" t="str">
        <f aca="false">IF(OR($A110="",$D110&lt;&gt;"تسليم",NOT(ISNUMBER($E110))),"",COUNTIFS($A$5:$A$1504,$A110,$D$5:$D$1504,"تسليم",$E$5:$E$1504,"&lt;"&amp;$E110)+1)</f>
        <v/>
      </c>
      <c r="H110" s="33" t="str">
        <f aca="false">IF($G110="","",_xlfn.MINIFS($E$5:$E$1504,$A$5:$A$1504,$A110,$D$5:$D$1504,"&lt;&gt;تسليم",$E$5:$E$1504,"&gt;="&amp;$E110))</f>
        <v/>
      </c>
      <c r="I110" s="33" t="str">
        <f aca="false">IF($G110="","",_xlfn.MINIFS($E$5:$E$1504,$A$5:$A$1504,$A110,$D$5:$D$1504,"تسليم",$E$5:$E$1504,"&gt;"&amp;$E110))</f>
        <v/>
      </c>
      <c r="J110" s="33" t="str">
        <f aca="false">IF($G110="","",IF(H110&gt;0,IF(I110&gt;0,MIN(H110,I110),H110),IF(I110&gt;0,I110,تاريخ_الاحتساب)))</f>
        <v/>
      </c>
      <c r="K110" s="34" t="str">
        <f aca="false">IF($G110="","",IF(AND(H110=0,I110=0),"جارية","مغلقة"))</f>
        <v/>
      </c>
      <c r="L110" s="26" t="str">
        <f aca="false">IF($G110="","",MAX(0,NETWORKDAYS.INTL($E110,J110,رمز_العطلة,أيام_الأجازات)-1))</f>
        <v/>
      </c>
      <c r="M110" s="26" t="str">
        <f aca="false">IF($G110="","",MAX(0,L110-مهلة_المراجعة))</f>
        <v/>
      </c>
      <c r="N110" s="30" t="str">
        <f aca="false">IF($A110="",IF(OR($D110&lt;&gt;"",$E110&lt;&gt;""),"رقم المخرج ناقص",""),IF(ISNA(MATCH($A110,قائمة_المخرجات,0)),"رقم مخرج غير موجود",IF($D110="","نوع الحركة ناقص",IF(NOT(ISNUMBER($E110)),"التاريخ ناقص",IF($E110&gt;تاريخ_الاحتساب,"تاريخ بعد تاريخ الاحتساب",IF(AND($D110&lt;&gt;"تسليم",COUNTIFS($A$5:$A$1504,$A110,$D$5:$D$1504,"تسليم",$E$5:$E$1504,"&lt;="&amp;$E110)=0),"لا يوجد تسليم قبل الحركة دي",""))))))</f>
        <v/>
      </c>
    </row>
    <row r="111" customFormat="false" ht="15" hidden="false" customHeight="false" outlineLevel="0" collapsed="false">
      <c r="A111" s="20"/>
      <c r="B111" s="35" t="str">
        <f aca="false">IF($A111="","",IFERROR(INDEX(مخرج_البند,MATCH($A111,قائمة_المخرجات,0)),""))</f>
        <v/>
      </c>
      <c r="C111" s="30" t="str">
        <f aca="false">IF($A111="","",IFERROR(INDEX(مخرج_الوصف,MATCH($A111,قائمة_المخرجات,0)),""))</f>
        <v/>
      </c>
      <c r="D111" s="20"/>
      <c r="E111" s="31"/>
      <c r="F111" s="22"/>
      <c r="G111" s="36" t="str">
        <f aca="false">IF(OR($A111="",$D111&lt;&gt;"تسليم",NOT(ISNUMBER($E111))),"",COUNTIFS($A$5:$A$1504,$A111,$D$5:$D$1504,"تسليم",$E$5:$E$1504,"&lt;"&amp;$E111)+1)</f>
        <v/>
      </c>
      <c r="H111" s="33" t="str">
        <f aca="false">IF($G111="","",_xlfn.MINIFS($E$5:$E$1504,$A$5:$A$1504,$A111,$D$5:$D$1504,"&lt;&gt;تسليم",$E$5:$E$1504,"&gt;="&amp;$E111))</f>
        <v/>
      </c>
      <c r="I111" s="33" t="str">
        <f aca="false">IF($G111="","",_xlfn.MINIFS($E$5:$E$1504,$A$5:$A$1504,$A111,$D$5:$D$1504,"تسليم",$E$5:$E$1504,"&gt;"&amp;$E111))</f>
        <v/>
      </c>
      <c r="J111" s="33" t="str">
        <f aca="false">IF($G111="","",IF(H111&gt;0,IF(I111&gt;0,MIN(H111,I111),H111),IF(I111&gt;0,I111,تاريخ_الاحتساب)))</f>
        <v/>
      </c>
      <c r="K111" s="34" t="str">
        <f aca="false">IF($G111="","",IF(AND(H111=0,I111=0),"جارية","مغلقة"))</f>
        <v/>
      </c>
      <c r="L111" s="26" t="str">
        <f aca="false">IF($G111="","",MAX(0,NETWORKDAYS.INTL($E111,J111,رمز_العطلة,أيام_الأجازات)-1))</f>
        <v/>
      </c>
      <c r="M111" s="26" t="str">
        <f aca="false">IF($G111="","",MAX(0,L111-مهلة_المراجعة))</f>
        <v/>
      </c>
      <c r="N111" s="30" t="str">
        <f aca="false">IF($A111="",IF(OR($D111&lt;&gt;"",$E111&lt;&gt;""),"رقم المخرج ناقص",""),IF(ISNA(MATCH($A111,قائمة_المخرجات,0)),"رقم مخرج غير موجود",IF($D111="","نوع الحركة ناقص",IF(NOT(ISNUMBER($E111)),"التاريخ ناقص",IF($E111&gt;تاريخ_الاحتساب,"تاريخ بعد تاريخ الاحتساب",IF(AND($D111&lt;&gt;"تسليم",COUNTIFS($A$5:$A$1504,$A111,$D$5:$D$1504,"تسليم",$E$5:$E$1504,"&lt;="&amp;$E111)=0),"لا يوجد تسليم قبل الحركة دي",""))))))</f>
        <v/>
      </c>
    </row>
    <row r="112" customFormat="false" ht="15" hidden="false" customHeight="false" outlineLevel="0" collapsed="false">
      <c r="A112" s="20"/>
      <c r="B112" s="35" t="str">
        <f aca="false">IF($A112="","",IFERROR(INDEX(مخرج_البند,MATCH($A112,قائمة_المخرجات,0)),""))</f>
        <v/>
      </c>
      <c r="C112" s="30" t="str">
        <f aca="false">IF($A112="","",IFERROR(INDEX(مخرج_الوصف,MATCH($A112,قائمة_المخرجات,0)),""))</f>
        <v/>
      </c>
      <c r="D112" s="20"/>
      <c r="E112" s="31"/>
      <c r="F112" s="22"/>
      <c r="G112" s="36" t="str">
        <f aca="false">IF(OR($A112="",$D112&lt;&gt;"تسليم",NOT(ISNUMBER($E112))),"",COUNTIFS($A$5:$A$1504,$A112,$D$5:$D$1504,"تسليم",$E$5:$E$1504,"&lt;"&amp;$E112)+1)</f>
        <v/>
      </c>
      <c r="H112" s="33" t="str">
        <f aca="false">IF($G112="","",_xlfn.MINIFS($E$5:$E$1504,$A$5:$A$1504,$A112,$D$5:$D$1504,"&lt;&gt;تسليم",$E$5:$E$1504,"&gt;="&amp;$E112))</f>
        <v/>
      </c>
      <c r="I112" s="33" t="str">
        <f aca="false">IF($G112="","",_xlfn.MINIFS($E$5:$E$1504,$A$5:$A$1504,$A112,$D$5:$D$1504,"تسليم",$E$5:$E$1504,"&gt;"&amp;$E112))</f>
        <v/>
      </c>
      <c r="J112" s="33" t="str">
        <f aca="false">IF($G112="","",IF(H112&gt;0,IF(I112&gt;0,MIN(H112,I112),H112),IF(I112&gt;0,I112,تاريخ_الاحتساب)))</f>
        <v/>
      </c>
      <c r="K112" s="34" t="str">
        <f aca="false">IF($G112="","",IF(AND(H112=0,I112=0),"جارية","مغلقة"))</f>
        <v/>
      </c>
      <c r="L112" s="26" t="str">
        <f aca="false">IF($G112="","",MAX(0,NETWORKDAYS.INTL($E112,J112,رمز_العطلة,أيام_الأجازات)-1))</f>
        <v/>
      </c>
      <c r="M112" s="26" t="str">
        <f aca="false">IF($G112="","",MAX(0,L112-مهلة_المراجعة))</f>
        <v/>
      </c>
      <c r="N112" s="30" t="str">
        <f aca="false">IF($A112="",IF(OR($D112&lt;&gt;"",$E112&lt;&gt;""),"رقم المخرج ناقص",""),IF(ISNA(MATCH($A112,قائمة_المخرجات,0)),"رقم مخرج غير موجود",IF($D112="","نوع الحركة ناقص",IF(NOT(ISNUMBER($E112)),"التاريخ ناقص",IF($E112&gt;تاريخ_الاحتساب,"تاريخ بعد تاريخ الاحتساب",IF(AND($D112&lt;&gt;"تسليم",COUNTIFS($A$5:$A$1504,$A112,$D$5:$D$1504,"تسليم",$E$5:$E$1504,"&lt;="&amp;$E112)=0),"لا يوجد تسليم قبل الحركة دي",""))))))</f>
        <v/>
      </c>
    </row>
    <row r="113" customFormat="false" ht="15" hidden="false" customHeight="false" outlineLevel="0" collapsed="false">
      <c r="A113" s="20"/>
      <c r="B113" s="35" t="str">
        <f aca="false">IF($A113="","",IFERROR(INDEX(مخرج_البند,MATCH($A113,قائمة_المخرجات,0)),""))</f>
        <v/>
      </c>
      <c r="C113" s="30" t="str">
        <f aca="false">IF($A113="","",IFERROR(INDEX(مخرج_الوصف,MATCH($A113,قائمة_المخرجات,0)),""))</f>
        <v/>
      </c>
      <c r="D113" s="20"/>
      <c r="E113" s="31"/>
      <c r="F113" s="22"/>
      <c r="G113" s="36" t="str">
        <f aca="false">IF(OR($A113="",$D113&lt;&gt;"تسليم",NOT(ISNUMBER($E113))),"",COUNTIFS($A$5:$A$1504,$A113,$D$5:$D$1504,"تسليم",$E$5:$E$1504,"&lt;"&amp;$E113)+1)</f>
        <v/>
      </c>
      <c r="H113" s="33" t="str">
        <f aca="false">IF($G113="","",_xlfn.MINIFS($E$5:$E$1504,$A$5:$A$1504,$A113,$D$5:$D$1504,"&lt;&gt;تسليم",$E$5:$E$1504,"&gt;="&amp;$E113))</f>
        <v/>
      </c>
      <c r="I113" s="33" t="str">
        <f aca="false">IF($G113="","",_xlfn.MINIFS($E$5:$E$1504,$A$5:$A$1504,$A113,$D$5:$D$1504,"تسليم",$E$5:$E$1504,"&gt;"&amp;$E113))</f>
        <v/>
      </c>
      <c r="J113" s="33" t="str">
        <f aca="false">IF($G113="","",IF(H113&gt;0,IF(I113&gt;0,MIN(H113,I113),H113),IF(I113&gt;0,I113,تاريخ_الاحتساب)))</f>
        <v/>
      </c>
      <c r="K113" s="34" t="str">
        <f aca="false">IF($G113="","",IF(AND(H113=0,I113=0),"جارية","مغلقة"))</f>
        <v/>
      </c>
      <c r="L113" s="26" t="str">
        <f aca="false">IF($G113="","",MAX(0,NETWORKDAYS.INTL($E113,J113,رمز_العطلة,أيام_الأجازات)-1))</f>
        <v/>
      </c>
      <c r="M113" s="26" t="str">
        <f aca="false">IF($G113="","",MAX(0,L113-مهلة_المراجعة))</f>
        <v/>
      </c>
      <c r="N113" s="30" t="str">
        <f aca="false">IF($A113="",IF(OR($D113&lt;&gt;"",$E113&lt;&gt;""),"رقم المخرج ناقص",""),IF(ISNA(MATCH($A113,قائمة_المخرجات,0)),"رقم مخرج غير موجود",IF($D113="","نوع الحركة ناقص",IF(NOT(ISNUMBER($E113)),"التاريخ ناقص",IF($E113&gt;تاريخ_الاحتساب,"تاريخ بعد تاريخ الاحتساب",IF(AND($D113&lt;&gt;"تسليم",COUNTIFS($A$5:$A$1504,$A113,$D$5:$D$1504,"تسليم",$E$5:$E$1504,"&lt;="&amp;$E113)=0),"لا يوجد تسليم قبل الحركة دي",""))))))</f>
        <v/>
      </c>
    </row>
    <row r="114" customFormat="false" ht="15" hidden="false" customHeight="false" outlineLevel="0" collapsed="false">
      <c r="A114" s="20"/>
      <c r="B114" s="35" t="str">
        <f aca="false">IF($A114="","",IFERROR(INDEX(مخرج_البند,MATCH($A114,قائمة_المخرجات,0)),""))</f>
        <v/>
      </c>
      <c r="C114" s="30" t="str">
        <f aca="false">IF($A114="","",IFERROR(INDEX(مخرج_الوصف,MATCH($A114,قائمة_المخرجات,0)),""))</f>
        <v/>
      </c>
      <c r="D114" s="20"/>
      <c r="E114" s="31"/>
      <c r="F114" s="22"/>
      <c r="G114" s="36" t="str">
        <f aca="false">IF(OR($A114="",$D114&lt;&gt;"تسليم",NOT(ISNUMBER($E114))),"",COUNTIFS($A$5:$A$1504,$A114,$D$5:$D$1504,"تسليم",$E$5:$E$1504,"&lt;"&amp;$E114)+1)</f>
        <v/>
      </c>
      <c r="H114" s="33" t="str">
        <f aca="false">IF($G114="","",_xlfn.MINIFS($E$5:$E$1504,$A$5:$A$1504,$A114,$D$5:$D$1504,"&lt;&gt;تسليم",$E$5:$E$1504,"&gt;="&amp;$E114))</f>
        <v/>
      </c>
      <c r="I114" s="33" t="str">
        <f aca="false">IF($G114="","",_xlfn.MINIFS($E$5:$E$1504,$A$5:$A$1504,$A114,$D$5:$D$1504,"تسليم",$E$5:$E$1504,"&gt;"&amp;$E114))</f>
        <v/>
      </c>
      <c r="J114" s="33" t="str">
        <f aca="false">IF($G114="","",IF(H114&gt;0,IF(I114&gt;0,MIN(H114,I114),H114),IF(I114&gt;0,I114,تاريخ_الاحتساب)))</f>
        <v/>
      </c>
      <c r="K114" s="34" t="str">
        <f aca="false">IF($G114="","",IF(AND(H114=0,I114=0),"جارية","مغلقة"))</f>
        <v/>
      </c>
      <c r="L114" s="26" t="str">
        <f aca="false">IF($G114="","",MAX(0,NETWORKDAYS.INTL($E114,J114,رمز_العطلة,أيام_الأجازات)-1))</f>
        <v/>
      </c>
      <c r="M114" s="26" t="str">
        <f aca="false">IF($G114="","",MAX(0,L114-مهلة_المراجعة))</f>
        <v/>
      </c>
      <c r="N114" s="30" t="str">
        <f aca="false">IF($A114="",IF(OR($D114&lt;&gt;"",$E114&lt;&gt;""),"رقم المخرج ناقص",""),IF(ISNA(MATCH($A114,قائمة_المخرجات,0)),"رقم مخرج غير موجود",IF($D114="","نوع الحركة ناقص",IF(NOT(ISNUMBER($E114)),"التاريخ ناقص",IF($E114&gt;تاريخ_الاحتساب,"تاريخ بعد تاريخ الاحتساب",IF(AND($D114&lt;&gt;"تسليم",COUNTIFS($A$5:$A$1504,$A114,$D$5:$D$1504,"تسليم",$E$5:$E$1504,"&lt;="&amp;$E114)=0),"لا يوجد تسليم قبل الحركة دي",""))))))</f>
        <v/>
      </c>
    </row>
    <row r="115" customFormat="false" ht="15" hidden="false" customHeight="false" outlineLevel="0" collapsed="false">
      <c r="A115" s="20"/>
      <c r="B115" s="35" t="str">
        <f aca="false">IF($A115="","",IFERROR(INDEX(مخرج_البند,MATCH($A115,قائمة_المخرجات,0)),""))</f>
        <v/>
      </c>
      <c r="C115" s="30" t="str">
        <f aca="false">IF($A115="","",IFERROR(INDEX(مخرج_الوصف,MATCH($A115,قائمة_المخرجات,0)),""))</f>
        <v/>
      </c>
      <c r="D115" s="20"/>
      <c r="E115" s="31"/>
      <c r="F115" s="22"/>
      <c r="G115" s="36" t="str">
        <f aca="false">IF(OR($A115="",$D115&lt;&gt;"تسليم",NOT(ISNUMBER($E115))),"",COUNTIFS($A$5:$A$1504,$A115,$D$5:$D$1504,"تسليم",$E$5:$E$1504,"&lt;"&amp;$E115)+1)</f>
        <v/>
      </c>
      <c r="H115" s="33" t="str">
        <f aca="false">IF($G115="","",_xlfn.MINIFS($E$5:$E$1504,$A$5:$A$1504,$A115,$D$5:$D$1504,"&lt;&gt;تسليم",$E$5:$E$1504,"&gt;="&amp;$E115))</f>
        <v/>
      </c>
      <c r="I115" s="33" t="str">
        <f aca="false">IF($G115="","",_xlfn.MINIFS($E$5:$E$1504,$A$5:$A$1504,$A115,$D$5:$D$1504,"تسليم",$E$5:$E$1504,"&gt;"&amp;$E115))</f>
        <v/>
      </c>
      <c r="J115" s="33" t="str">
        <f aca="false">IF($G115="","",IF(H115&gt;0,IF(I115&gt;0,MIN(H115,I115),H115),IF(I115&gt;0,I115,تاريخ_الاحتساب)))</f>
        <v/>
      </c>
      <c r="K115" s="34" t="str">
        <f aca="false">IF($G115="","",IF(AND(H115=0,I115=0),"جارية","مغلقة"))</f>
        <v/>
      </c>
      <c r="L115" s="26" t="str">
        <f aca="false">IF($G115="","",MAX(0,NETWORKDAYS.INTL($E115,J115,رمز_العطلة,أيام_الأجازات)-1))</f>
        <v/>
      </c>
      <c r="M115" s="26" t="str">
        <f aca="false">IF($G115="","",MAX(0,L115-مهلة_المراجعة))</f>
        <v/>
      </c>
      <c r="N115" s="30" t="str">
        <f aca="false">IF($A115="",IF(OR($D115&lt;&gt;"",$E115&lt;&gt;""),"رقم المخرج ناقص",""),IF(ISNA(MATCH($A115,قائمة_المخرجات,0)),"رقم مخرج غير موجود",IF($D115="","نوع الحركة ناقص",IF(NOT(ISNUMBER($E115)),"التاريخ ناقص",IF($E115&gt;تاريخ_الاحتساب,"تاريخ بعد تاريخ الاحتساب",IF(AND($D115&lt;&gt;"تسليم",COUNTIFS($A$5:$A$1504,$A115,$D$5:$D$1504,"تسليم",$E$5:$E$1504,"&lt;="&amp;$E115)=0),"لا يوجد تسليم قبل الحركة دي",""))))))</f>
        <v/>
      </c>
    </row>
    <row r="116" customFormat="false" ht="15" hidden="false" customHeight="false" outlineLevel="0" collapsed="false">
      <c r="A116" s="20"/>
      <c r="B116" s="35" t="str">
        <f aca="false">IF($A116="","",IFERROR(INDEX(مخرج_البند,MATCH($A116,قائمة_المخرجات,0)),""))</f>
        <v/>
      </c>
      <c r="C116" s="30" t="str">
        <f aca="false">IF($A116="","",IFERROR(INDEX(مخرج_الوصف,MATCH($A116,قائمة_المخرجات,0)),""))</f>
        <v/>
      </c>
      <c r="D116" s="20"/>
      <c r="E116" s="31"/>
      <c r="F116" s="22"/>
      <c r="G116" s="36" t="str">
        <f aca="false">IF(OR($A116="",$D116&lt;&gt;"تسليم",NOT(ISNUMBER($E116))),"",COUNTIFS($A$5:$A$1504,$A116,$D$5:$D$1504,"تسليم",$E$5:$E$1504,"&lt;"&amp;$E116)+1)</f>
        <v/>
      </c>
      <c r="H116" s="33" t="str">
        <f aca="false">IF($G116="","",_xlfn.MINIFS($E$5:$E$1504,$A$5:$A$1504,$A116,$D$5:$D$1504,"&lt;&gt;تسليم",$E$5:$E$1504,"&gt;="&amp;$E116))</f>
        <v/>
      </c>
      <c r="I116" s="33" t="str">
        <f aca="false">IF($G116="","",_xlfn.MINIFS($E$5:$E$1504,$A$5:$A$1504,$A116,$D$5:$D$1504,"تسليم",$E$5:$E$1504,"&gt;"&amp;$E116))</f>
        <v/>
      </c>
      <c r="J116" s="33" t="str">
        <f aca="false">IF($G116="","",IF(H116&gt;0,IF(I116&gt;0,MIN(H116,I116),H116),IF(I116&gt;0,I116,تاريخ_الاحتساب)))</f>
        <v/>
      </c>
      <c r="K116" s="34" t="str">
        <f aca="false">IF($G116="","",IF(AND(H116=0,I116=0),"جارية","مغلقة"))</f>
        <v/>
      </c>
      <c r="L116" s="26" t="str">
        <f aca="false">IF($G116="","",MAX(0,NETWORKDAYS.INTL($E116,J116,رمز_العطلة,أيام_الأجازات)-1))</f>
        <v/>
      </c>
      <c r="M116" s="26" t="str">
        <f aca="false">IF($G116="","",MAX(0,L116-مهلة_المراجعة))</f>
        <v/>
      </c>
      <c r="N116" s="30" t="str">
        <f aca="false">IF($A116="",IF(OR($D116&lt;&gt;"",$E116&lt;&gt;""),"رقم المخرج ناقص",""),IF(ISNA(MATCH($A116,قائمة_المخرجات,0)),"رقم مخرج غير موجود",IF($D116="","نوع الحركة ناقص",IF(NOT(ISNUMBER($E116)),"التاريخ ناقص",IF($E116&gt;تاريخ_الاحتساب,"تاريخ بعد تاريخ الاحتساب",IF(AND($D116&lt;&gt;"تسليم",COUNTIFS($A$5:$A$1504,$A116,$D$5:$D$1504,"تسليم",$E$5:$E$1504,"&lt;="&amp;$E116)=0),"لا يوجد تسليم قبل الحركة دي",""))))))</f>
        <v/>
      </c>
    </row>
    <row r="117" customFormat="false" ht="15" hidden="false" customHeight="false" outlineLevel="0" collapsed="false">
      <c r="A117" s="20"/>
      <c r="B117" s="35" t="str">
        <f aca="false">IF($A117="","",IFERROR(INDEX(مخرج_البند,MATCH($A117,قائمة_المخرجات,0)),""))</f>
        <v/>
      </c>
      <c r="C117" s="30" t="str">
        <f aca="false">IF($A117="","",IFERROR(INDEX(مخرج_الوصف,MATCH($A117,قائمة_المخرجات,0)),""))</f>
        <v/>
      </c>
      <c r="D117" s="20"/>
      <c r="E117" s="31"/>
      <c r="F117" s="22"/>
      <c r="G117" s="36" t="str">
        <f aca="false">IF(OR($A117="",$D117&lt;&gt;"تسليم",NOT(ISNUMBER($E117))),"",COUNTIFS($A$5:$A$1504,$A117,$D$5:$D$1504,"تسليم",$E$5:$E$1504,"&lt;"&amp;$E117)+1)</f>
        <v/>
      </c>
      <c r="H117" s="33" t="str">
        <f aca="false">IF($G117="","",_xlfn.MINIFS($E$5:$E$1504,$A$5:$A$1504,$A117,$D$5:$D$1504,"&lt;&gt;تسليم",$E$5:$E$1504,"&gt;="&amp;$E117))</f>
        <v/>
      </c>
      <c r="I117" s="33" t="str">
        <f aca="false">IF($G117="","",_xlfn.MINIFS($E$5:$E$1504,$A$5:$A$1504,$A117,$D$5:$D$1504,"تسليم",$E$5:$E$1504,"&gt;"&amp;$E117))</f>
        <v/>
      </c>
      <c r="J117" s="33" t="str">
        <f aca="false">IF($G117="","",IF(H117&gt;0,IF(I117&gt;0,MIN(H117,I117),H117),IF(I117&gt;0,I117,تاريخ_الاحتساب)))</f>
        <v/>
      </c>
      <c r="K117" s="34" t="str">
        <f aca="false">IF($G117="","",IF(AND(H117=0,I117=0),"جارية","مغلقة"))</f>
        <v/>
      </c>
      <c r="L117" s="26" t="str">
        <f aca="false">IF($G117="","",MAX(0,NETWORKDAYS.INTL($E117,J117,رمز_العطلة,أيام_الأجازات)-1))</f>
        <v/>
      </c>
      <c r="M117" s="26" t="str">
        <f aca="false">IF($G117="","",MAX(0,L117-مهلة_المراجعة))</f>
        <v/>
      </c>
      <c r="N117" s="30" t="str">
        <f aca="false">IF($A117="",IF(OR($D117&lt;&gt;"",$E117&lt;&gt;""),"رقم المخرج ناقص",""),IF(ISNA(MATCH($A117,قائمة_المخرجات,0)),"رقم مخرج غير موجود",IF($D117="","نوع الحركة ناقص",IF(NOT(ISNUMBER($E117)),"التاريخ ناقص",IF($E117&gt;تاريخ_الاحتساب,"تاريخ بعد تاريخ الاحتساب",IF(AND($D117&lt;&gt;"تسليم",COUNTIFS($A$5:$A$1504,$A117,$D$5:$D$1504,"تسليم",$E$5:$E$1504,"&lt;="&amp;$E117)=0),"لا يوجد تسليم قبل الحركة دي",""))))))</f>
        <v/>
      </c>
    </row>
    <row r="118" customFormat="false" ht="15" hidden="false" customHeight="false" outlineLevel="0" collapsed="false">
      <c r="A118" s="20"/>
      <c r="B118" s="35" t="str">
        <f aca="false">IF($A118="","",IFERROR(INDEX(مخرج_البند,MATCH($A118,قائمة_المخرجات,0)),""))</f>
        <v/>
      </c>
      <c r="C118" s="30" t="str">
        <f aca="false">IF($A118="","",IFERROR(INDEX(مخرج_الوصف,MATCH($A118,قائمة_المخرجات,0)),""))</f>
        <v/>
      </c>
      <c r="D118" s="20"/>
      <c r="E118" s="31"/>
      <c r="F118" s="22"/>
      <c r="G118" s="36" t="str">
        <f aca="false">IF(OR($A118="",$D118&lt;&gt;"تسليم",NOT(ISNUMBER($E118))),"",COUNTIFS($A$5:$A$1504,$A118,$D$5:$D$1504,"تسليم",$E$5:$E$1504,"&lt;"&amp;$E118)+1)</f>
        <v/>
      </c>
      <c r="H118" s="33" t="str">
        <f aca="false">IF($G118="","",_xlfn.MINIFS($E$5:$E$1504,$A$5:$A$1504,$A118,$D$5:$D$1504,"&lt;&gt;تسليم",$E$5:$E$1504,"&gt;="&amp;$E118))</f>
        <v/>
      </c>
      <c r="I118" s="33" t="str">
        <f aca="false">IF($G118="","",_xlfn.MINIFS($E$5:$E$1504,$A$5:$A$1504,$A118,$D$5:$D$1504,"تسليم",$E$5:$E$1504,"&gt;"&amp;$E118))</f>
        <v/>
      </c>
      <c r="J118" s="33" t="str">
        <f aca="false">IF($G118="","",IF(H118&gt;0,IF(I118&gt;0,MIN(H118,I118),H118),IF(I118&gt;0,I118,تاريخ_الاحتساب)))</f>
        <v/>
      </c>
      <c r="K118" s="34" t="str">
        <f aca="false">IF($G118="","",IF(AND(H118=0,I118=0),"جارية","مغلقة"))</f>
        <v/>
      </c>
      <c r="L118" s="26" t="str">
        <f aca="false">IF($G118="","",MAX(0,NETWORKDAYS.INTL($E118,J118,رمز_العطلة,أيام_الأجازات)-1))</f>
        <v/>
      </c>
      <c r="M118" s="26" t="str">
        <f aca="false">IF($G118="","",MAX(0,L118-مهلة_المراجعة))</f>
        <v/>
      </c>
      <c r="N118" s="30" t="str">
        <f aca="false">IF($A118="",IF(OR($D118&lt;&gt;"",$E118&lt;&gt;""),"رقم المخرج ناقص",""),IF(ISNA(MATCH($A118,قائمة_المخرجات,0)),"رقم مخرج غير موجود",IF($D118="","نوع الحركة ناقص",IF(NOT(ISNUMBER($E118)),"التاريخ ناقص",IF($E118&gt;تاريخ_الاحتساب,"تاريخ بعد تاريخ الاحتساب",IF(AND($D118&lt;&gt;"تسليم",COUNTIFS($A$5:$A$1504,$A118,$D$5:$D$1504,"تسليم",$E$5:$E$1504,"&lt;="&amp;$E118)=0),"لا يوجد تسليم قبل الحركة دي",""))))))</f>
        <v/>
      </c>
    </row>
    <row r="119" customFormat="false" ht="15" hidden="false" customHeight="false" outlineLevel="0" collapsed="false">
      <c r="A119" s="20"/>
      <c r="B119" s="35" t="str">
        <f aca="false">IF($A119="","",IFERROR(INDEX(مخرج_البند,MATCH($A119,قائمة_المخرجات,0)),""))</f>
        <v/>
      </c>
      <c r="C119" s="30" t="str">
        <f aca="false">IF($A119="","",IFERROR(INDEX(مخرج_الوصف,MATCH($A119,قائمة_المخرجات,0)),""))</f>
        <v/>
      </c>
      <c r="D119" s="20"/>
      <c r="E119" s="31"/>
      <c r="F119" s="22"/>
      <c r="G119" s="36" t="str">
        <f aca="false">IF(OR($A119="",$D119&lt;&gt;"تسليم",NOT(ISNUMBER($E119))),"",COUNTIFS($A$5:$A$1504,$A119,$D$5:$D$1504,"تسليم",$E$5:$E$1504,"&lt;"&amp;$E119)+1)</f>
        <v/>
      </c>
      <c r="H119" s="33" t="str">
        <f aca="false">IF($G119="","",_xlfn.MINIFS($E$5:$E$1504,$A$5:$A$1504,$A119,$D$5:$D$1504,"&lt;&gt;تسليم",$E$5:$E$1504,"&gt;="&amp;$E119))</f>
        <v/>
      </c>
      <c r="I119" s="33" t="str">
        <f aca="false">IF($G119="","",_xlfn.MINIFS($E$5:$E$1504,$A$5:$A$1504,$A119,$D$5:$D$1504,"تسليم",$E$5:$E$1504,"&gt;"&amp;$E119))</f>
        <v/>
      </c>
      <c r="J119" s="33" t="str">
        <f aca="false">IF($G119="","",IF(H119&gt;0,IF(I119&gt;0,MIN(H119,I119),H119),IF(I119&gt;0,I119,تاريخ_الاحتساب)))</f>
        <v/>
      </c>
      <c r="K119" s="34" t="str">
        <f aca="false">IF($G119="","",IF(AND(H119=0,I119=0),"جارية","مغلقة"))</f>
        <v/>
      </c>
      <c r="L119" s="26" t="str">
        <f aca="false">IF($G119="","",MAX(0,NETWORKDAYS.INTL($E119,J119,رمز_العطلة,أيام_الأجازات)-1))</f>
        <v/>
      </c>
      <c r="M119" s="26" t="str">
        <f aca="false">IF($G119="","",MAX(0,L119-مهلة_المراجعة))</f>
        <v/>
      </c>
      <c r="N119" s="30" t="str">
        <f aca="false">IF($A119="",IF(OR($D119&lt;&gt;"",$E119&lt;&gt;""),"رقم المخرج ناقص",""),IF(ISNA(MATCH($A119,قائمة_المخرجات,0)),"رقم مخرج غير موجود",IF($D119="","نوع الحركة ناقص",IF(NOT(ISNUMBER($E119)),"التاريخ ناقص",IF($E119&gt;تاريخ_الاحتساب,"تاريخ بعد تاريخ الاحتساب",IF(AND($D119&lt;&gt;"تسليم",COUNTIFS($A$5:$A$1504,$A119,$D$5:$D$1504,"تسليم",$E$5:$E$1504,"&lt;="&amp;$E119)=0),"لا يوجد تسليم قبل الحركة دي",""))))))</f>
        <v/>
      </c>
    </row>
    <row r="120" customFormat="false" ht="15" hidden="false" customHeight="false" outlineLevel="0" collapsed="false">
      <c r="A120" s="20"/>
      <c r="B120" s="35" t="str">
        <f aca="false">IF($A120="","",IFERROR(INDEX(مخرج_البند,MATCH($A120,قائمة_المخرجات,0)),""))</f>
        <v/>
      </c>
      <c r="C120" s="30" t="str">
        <f aca="false">IF($A120="","",IFERROR(INDEX(مخرج_الوصف,MATCH($A120,قائمة_المخرجات,0)),""))</f>
        <v/>
      </c>
      <c r="D120" s="20"/>
      <c r="E120" s="31"/>
      <c r="F120" s="22"/>
      <c r="G120" s="36" t="str">
        <f aca="false">IF(OR($A120="",$D120&lt;&gt;"تسليم",NOT(ISNUMBER($E120))),"",COUNTIFS($A$5:$A$1504,$A120,$D$5:$D$1504,"تسليم",$E$5:$E$1504,"&lt;"&amp;$E120)+1)</f>
        <v/>
      </c>
      <c r="H120" s="33" t="str">
        <f aca="false">IF($G120="","",_xlfn.MINIFS($E$5:$E$1504,$A$5:$A$1504,$A120,$D$5:$D$1504,"&lt;&gt;تسليم",$E$5:$E$1504,"&gt;="&amp;$E120))</f>
        <v/>
      </c>
      <c r="I120" s="33" t="str">
        <f aca="false">IF($G120="","",_xlfn.MINIFS($E$5:$E$1504,$A$5:$A$1504,$A120,$D$5:$D$1504,"تسليم",$E$5:$E$1504,"&gt;"&amp;$E120))</f>
        <v/>
      </c>
      <c r="J120" s="33" t="str">
        <f aca="false">IF($G120="","",IF(H120&gt;0,IF(I120&gt;0,MIN(H120,I120),H120),IF(I120&gt;0,I120,تاريخ_الاحتساب)))</f>
        <v/>
      </c>
      <c r="K120" s="34" t="str">
        <f aca="false">IF($G120="","",IF(AND(H120=0,I120=0),"جارية","مغلقة"))</f>
        <v/>
      </c>
      <c r="L120" s="26" t="str">
        <f aca="false">IF($G120="","",MAX(0,NETWORKDAYS.INTL($E120,J120,رمز_العطلة,أيام_الأجازات)-1))</f>
        <v/>
      </c>
      <c r="M120" s="26" t="str">
        <f aca="false">IF($G120="","",MAX(0,L120-مهلة_المراجعة))</f>
        <v/>
      </c>
      <c r="N120" s="30" t="str">
        <f aca="false">IF($A120="",IF(OR($D120&lt;&gt;"",$E120&lt;&gt;""),"رقم المخرج ناقص",""),IF(ISNA(MATCH($A120,قائمة_المخرجات,0)),"رقم مخرج غير موجود",IF($D120="","نوع الحركة ناقص",IF(NOT(ISNUMBER($E120)),"التاريخ ناقص",IF($E120&gt;تاريخ_الاحتساب,"تاريخ بعد تاريخ الاحتساب",IF(AND($D120&lt;&gt;"تسليم",COUNTIFS($A$5:$A$1504,$A120,$D$5:$D$1504,"تسليم",$E$5:$E$1504,"&lt;="&amp;$E120)=0),"لا يوجد تسليم قبل الحركة دي",""))))))</f>
        <v/>
      </c>
    </row>
    <row r="121" customFormat="false" ht="15" hidden="false" customHeight="false" outlineLevel="0" collapsed="false">
      <c r="A121" s="20"/>
      <c r="B121" s="35" t="str">
        <f aca="false">IF($A121="","",IFERROR(INDEX(مخرج_البند,MATCH($A121,قائمة_المخرجات,0)),""))</f>
        <v/>
      </c>
      <c r="C121" s="30" t="str">
        <f aca="false">IF($A121="","",IFERROR(INDEX(مخرج_الوصف,MATCH($A121,قائمة_المخرجات,0)),""))</f>
        <v/>
      </c>
      <c r="D121" s="20"/>
      <c r="E121" s="31"/>
      <c r="F121" s="22"/>
      <c r="G121" s="36" t="str">
        <f aca="false">IF(OR($A121="",$D121&lt;&gt;"تسليم",NOT(ISNUMBER($E121))),"",COUNTIFS($A$5:$A$1504,$A121,$D$5:$D$1504,"تسليم",$E$5:$E$1504,"&lt;"&amp;$E121)+1)</f>
        <v/>
      </c>
      <c r="H121" s="33" t="str">
        <f aca="false">IF($G121="","",_xlfn.MINIFS($E$5:$E$1504,$A$5:$A$1504,$A121,$D$5:$D$1504,"&lt;&gt;تسليم",$E$5:$E$1504,"&gt;="&amp;$E121))</f>
        <v/>
      </c>
      <c r="I121" s="33" t="str">
        <f aca="false">IF($G121="","",_xlfn.MINIFS($E$5:$E$1504,$A$5:$A$1504,$A121,$D$5:$D$1504,"تسليم",$E$5:$E$1504,"&gt;"&amp;$E121))</f>
        <v/>
      </c>
      <c r="J121" s="33" t="str">
        <f aca="false">IF($G121="","",IF(H121&gt;0,IF(I121&gt;0,MIN(H121,I121),H121),IF(I121&gt;0,I121,تاريخ_الاحتساب)))</f>
        <v/>
      </c>
      <c r="K121" s="34" t="str">
        <f aca="false">IF($G121="","",IF(AND(H121=0,I121=0),"جارية","مغلقة"))</f>
        <v/>
      </c>
      <c r="L121" s="26" t="str">
        <f aca="false">IF($G121="","",MAX(0,NETWORKDAYS.INTL($E121,J121,رمز_العطلة,أيام_الأجازات)-1))</f>
        <v/>
      </c>
      <c r="M121" s="26" t="str">
        <f aca="false">IF($G121="","",MAX(0,L121-مهلة_المراجعة))</f>
        <v/>
      </c>
      <c r="N121" s="30" t="str">
        <f aca="false">IF($A121="",IF(OR($D121&lt;&gt;"",$E121&lt;&gt;""),"رقم المخرج ناقص",""),IF(ISNA(MATCH($A121,قائمة_المخرجات,0)),"رقم مخرج غير موجود",IF($D121="","نوع الحركة ناقص",IF(NOT(ISNUMBER($E121)),"التاريخ ناقص",IF($E121&gt;تاريخ_الاحتساب,"تاريخ بعد تاريخ الاحتساب",IF(AND($D121&lt;&gt;"تسليم",COUNTIFS($A$5:$A$1504,$A121,$D$5:$D$1504,"تسليم",$E$5:$E$1504,"&lt;="&amp;$E121)=0),"لا يوجد تسليم قبل الحركة دي",""))))))</f>
        <v/>
      </c>
    </row>
    <row r="122" customFormat="false" ht="15" hidden="false" customHeight="false" outlineLevel="0" collapsed="false">
      <c r="A122" s="20"/>
      <c r="B122" s="35" t="str">
        <f aca="false">IF($A122="","",IFERROR(INDEX(مخرج_البند,MATCH($A122,قائمة_المخرجات,0)),""))</f>
        <v/>
      </c>
      <c r="C122" s="30" t="str">
        <f aca="false">IF($A122="","",IFERROR(INDEX(مخرج_الوصف,MATCH($A122,قائمة_المخرجات,0)),""))</f>
        <v/>
      </c>
      <c r="D122" s="20"/>
      <c r="E122" s="31"/>
      <c r="F122" s="22"/>
      <c r="G122" s="36" t="str">
        <f aca="false">IF(OR($A122="",$D122&lt;&gt;"تسليم",NOT(ISNUMBER($E122))),"",COUNTIFS($A$5:$A$1504,$A122,$D$5:$D$1504,"تسليم",$E$5:$E$1504,"&lt;"&amp;$E122)+1)</f>
        <v/>
      </c>
      <c r="H122" s="33" t="str">
        <f aca="false">IF($G122="","",_xlfn.MINIFS($E$5:$E$1504,$A$5:$A$1504,$A122,$D$5:$D$1504,"&lt;&gt;تسليم",$E$5:$E$1504,"&gt;="&amp;$E122))</f>
        <v/>
      </c>
      <c r="I122" s="33" t="str">
        <f aca="false">IF($G122="","",_xlfn.MINIFS($E$5:$E$1504,$A$5:$A$1504,$A122,$D$5:$D$1504,"تسليم",$E$5:$E$1504,"&gt;"&amp;$E122))</f>
        <v/>
      </c>
      <c r="J122" s="33" t="str">
        <f aca="false">IF($G122="","",IF(H122&gt;0,IF(I122&gt;0,MIN(H122,I122),H122),IF(I122&gt;0,I122,تاريخ_الاحتساب)))</f>
        <v/>
      </c>
      <c r="K122" s="34" t="str">
        <f aca="false">IF($G122="","",IF(AND(H122=0,I122=0),"جارية","مغلقة"))</f>
        <v/>
      </c>
      <c r="L122" s="26" t="str">
        <f aca="false">IF($G122="","",MAX(0,NETWORKDAYS.INTL($E122,J122,رمز_العطلة,أيام_الأجازات)-1))</f>
        <v/>
      </c>
      <c r="M122" s="26" t="str">
        <f aca="false">IF($G122="","",MAX(0,L122-مهلة_المراجعة))</f>
        <v/>
      </c>
      <c r="N122" s="30" t="str">
        <f aca="false">IF($A122="",IF(OR($D122&lt;&gt;"",$E122&lt;&gt;""),"رقم المخرج ناقص",""),IF(ISNA(MATCH($A122,قائمة_المخرجات,0)),"رقم مخرج غير موجود",IF($D122="","نوع الحركة ناقص",IF(NOT(ISNUMBER($E122)),"التاريخ ناقص",IF($E122&gt;تاريخ_الاحتساب,"تاريخ بعد تاريخ الاحتساب",IF(AND($D122&lt;&gt;"تسليم",COUNTIFS($A$5:$A$1504,$A122,$D$5:$D$1504,"تسليم",$E$5:$E$1504,"&lt;="&amp;$E122)=0),"لا يوجد تسليم قبل الحركة دي",""))))))</f>
        <v/>
      </c>
    </row>
    <row r="123" customFormat="false" ht="15" hidden="false" customHeight="false" outlineLevel="0" collapsed="false">
      <c r="A123" s="20"/>
      <c r="B123" s="35" t="str">
        <f aca="false">IF($A123="","",IFERROR(INDEX(مخرج_البند,MATCH($A123,قائمة_المخرجات,0)),""))</f>
        <v/>
      </c>
      <c r="C123" s="30" t="str">
        <f aca="false">IF($A123="","",IFERROR(INDEX(مخرج_الوصف,MATCH($A123,قائمة_المخرجات,0)),""))</f>
        <v/>
      </c>
      <c r="D123" s="20"/>
      <c r="E123" s="31"/>
      <c r="F123" s="22"/>
      <c r="G123" s="36" t="str">
        <f aca="false">IF(OR($A123="",$D123&lt;&gt;"تسليم",NOT(ISNUMBER($E123))),"",COUNTIFS($A$5:$A$1504,$A123,$D$5:$D$1504,"تسليم",$E$5:$E$1504,"&lt;"&amp;$E123)+1)</f>
        <v/>
      </c>
      <c r="H123" s="33" t="str">
        <f aca="false">IF($G123="","",_xlfn.MINIFS($E$5:$E$1504,$A$5:$A$1504,$A123,$D$5:$D$1504,"&lt;&gt;تسليم",$E$5:$E$1504,"&gt;="&amp;$E123))</f>
        <v/>
      </c>
      <c r="I123" s="33" t="str">
        <f aca="false">IF($G123="","",_xlfn.MINIFS($E$5:$E$1504,$A$5:$A$1504,$A123,$D$5:$D$1504,"تسليم",$E$5:$E$1504,"&gt;"&amp;$E123))</f>
        <v/>
      </c>
      <c r="J123" s="33" t="str">
        <f aca="false">IF($G123="","",IF(H123&gt;0,IF(I123&gt;0,MIN(H123,I123),H123),IF(I123&gt;0,I123,تاريخ_الاحتساب)))</f>
        <v/>
      </c>
      <c r="K123" s="34" t="str">
        <f aca="false">IF($G123="","",IF(AND(H123=0,I123=0),"جارية","مغلقة"))</f>
        <v/>
      </c>
      <c r="L123" s="26" t="str">
        <f aca="false">IF($G123="","",MAX(0,NETWORKDAYS.INTL($E123,J123,رمز_العطلة,أيام_الأجازات)-1))</f>
        <v/>
      </c>
      <c r="M123" s="26" t="str">
        <f aca="false">IF($G123="","",MAX(0,L123-مهلة_المراجعة))</f>
        <v/>
      </c>
      <c r="N123" s="30" t="str">
        <f aca="false">IF($A123="",IF(OR($D123&lt;&gt;"",$E123&lt;&gt;""),"رقم المخرج ناقص",""),IF(ISNA(MATCH($A123,قائمة_المخرجات,0)),"رقم مخرج غير موجود",IF($D123="","نوع الحركة ناقص",IF(NOT(ISNUMBER($E123)),"التاريخ ناقص",IF($E123&gt;تاريخ_الاحتساب,"تاريخ بعد تاريخ الاحتساب",IF(AND($D123&lt;&gt;"تسليم",COUNTIFS($A$5:$A$1504,$A123,$D$5:$D$1504,"تسليم",$E$5:$E$1504,"&lt;="&amp;$E123)=0),"لا يوجد تسليم قبل الحركة دي",""))))))</f>
        <v/>
      </c>
    </row>
    <row r="124" customFormat="false" ht="15" hidden="false" customHeight="false" outlineLevel="0" collapsed="false">
      <c r="A124" s="20"/>
      <c r="B124" s="35" t="str">
        <f aca="false">IF($A124="","",IFERROR(INDEX(مخرج_البند,MATCH($A124,قائمة_المخرجات,0)),""))</f>
        <v/>
      </c>
      <c r="C124" s="30" t="str">
        <f aca="false">IF($A124="","",IFERROR(INDEX(مخرج_الوصف,MATCH($A124,قائمة_المخرجات,0)),""))</f>
        <v/>
      </c>
      <c r="D124" s="20"/>
      <c r="E124" s="31"/>
      <c r="F124" s="22"/>
      <c r="G124" s="36" t="str">
        <f aca="false">IF(OR($A124="",$D124&lt;&gt;"تسليم",NOT(ISNUMBER($E124))),"",COUNTIFS($A$5:$A$1504,$A124,$D$5:$D$1504,"تسليم",$E$5:$E$1504,"&lt;"&amp;$E124)+1)</f>
        <v/>
      </c>
      <c r="H124" s="33" t="str">
        <f aca="false">IF($G124="","",_xlfn.MINIFS($E$5:$E$1504,$A$5:$A$1504,$A124,$D$5:$D$1504,"&lt;&gt;تسليم",$E$5:$E$1504,"&gt;="&amp;$E124))</f>
        <v/>
      </c>
      <c r="I124" s="33" t="str">
        <f aca="false">IF($G124="","",_xlfn.MINIFS($E$5:$E$1504,$A$5:$A$1504,$A124,$D$5:$D$1504,"تسليم",$E$5:$E$1504,"&gt;"&amp;$E124))</f>
        <v/>
      </c>
      <c r="J124" s="33" t="str">
        <f aca="false">IF($G124="","",IF(H124&gt;0,IF(I124&gt;0,MIN(H124,I124),H124),IF(I124&gt;0,I124,تاريخ_الاحتساب)))</f>
        <v/>
      </c>
      <c r="K124" s="34" t="str">
        <f aca="false">IF($G124="","",IF(AND(H124=0,I124=0),"جارية","مغلقة"))</f>
        <v/>
      </c>
      <c r="L124" s="26" t="str">
        <f aca="false">IF($G124="","",MAX(0,NETWORKDAYS.INTL($E124,J124,رمز_العطلة,أيام_الأجازات)-1))</f>
        <v/>
      </c>
      <c r="M124" s="26" t="str">
        <f aca="false">IF($G124="","",MAX(0,L124-مهلة_المراجعة))</f>
        <v/>
      </c>
      <c r="N124" s="30" t="str">
        <f aca="false">IF($A124="",IF(OR($D124&lt;&gt;"",$E124&lt;&gt;""),"رقم المخرج ناقص",""),IF(ISNA(MATCH($A124,قائمة_المخرجات,0)),"رقم مخرج غير موجود",IF($D124="","نوع الحركة ناقص",IF(NOT(ISNUMBER($E124)),"التاريخ ناقص",IF($E124&gt;تاريخ_الاحتساب,"تاريخ بعد تاريخ الاحتساب",IF(AND($D124&lt;&gt;"تسليم",COUNTIFS($A$5:$A$1504,$A124,$D$5:$D$1504,"تسليم",$E$5:$E$1504,"&lt;="&amp;$E124)=0),"لا يوجد تسليم قبل الحركة دي",""))))))</f>
        <v/>
      </c>
    </row>
    <row r="125" customFormat="false" ht="15" hidden="false" customHeight="false" outlineLevel="0" collapsed="false">
      <c r="A125" s="20"/>
      <c r="B125" s="35" t="str">
        <f aca="false">IF($A125="","",IFERROR(INDEX(مخرج_البند,MATCH($A125,قائمة_المخرجات,0)),""))</f>
        <v/>
      </c>
      <c r="C125" s="30" t="str">
        <f aca="false">IF($A125="","",IFERROR(INDEX(مخرج_الوصف,MATCH($A125,قائمة_المخرجات,0)),""))</f>
        <v/>
      </c>
      <c r="D125" s="20"/>
      <c r="E125" s="31"/>
      <c r="F125" s="22"/>
      <c r="G125" s="36" t="str">
        <f aca="false">IF(OR($A125="",$D125&lt;&gt;"تسليم",NOT(ISNUMBER($E125))),"",COUNTIFS($A$5:$A$1504,$A125,$D$5:$D$1504,"تسليم",$E$5:$E$1504,"&lt;"&amp;$E125)+1)</f>
        <v/>
      </c>
      <c r="H125" s="33" t="str">
        <f aca="false">IF($G125="","",_xlfn.MINIFS($E$5:$E$1504,$A$5:$A$1504,$A125,$D$5:$D$1504,"&lt;&gt;تسليم",$E$5:$E$1504,"&gt;="&amp;$E125))</f>
        <v/>
      </c>
      <c r="I125" s="33" t="str">
        <f aca="false">IF($G125="","",_xlfn.MINIFS($E$5:$E$1504,$A$5:$A$1504,$A125,$D$5:$D$1504,"تسليم",$E$5:$E$1504,"&gt;"&amp;$E125))</f>
        <v/>
      </c>
      <c r="J125" s="33" t="str">
        <f aca="false">IF($G125="","",IF(H125&gt;0,IF(I125&gt;0,MIN(H125,I125),H125),IF(I125&gt;0,I125,تاريخ_الاحتساب)))</f>
        <v/>
      </c>
      <c r="K125" s="34" t="str">
        <f aca="false">IF($G125="","",IF(AND(H125=0,I125=0),"جارية","مغلقة"))</f>
        <v/>
      </c>
      <c r="L125" s="26" t="str">
        <f aca="false">IF($G125="","",MAX(0,NETWORKDAYS.INTL($E125,J125,رمز_العطلة,أيام_الأجازات)-1))</f>
        <v/>
      </c>
      <c r="M125" s="26" t="str">
        <f aca="false">IF($G125="","",MAX(0,L125-مهلة_المراجعة))</f>
        <v/>
      </c>
      <c r="N125" s="30" t="str">
        <f aca="false">IF($A125="",IF(OR($D125&lt;&gt;"",$E125&lt;&gt;""),"رقم المخرج ناقص",""),IF(ISNA(MATCH($A125,قائمة_المخرجات,0)),"رقم مخرج غير موجود",IF($D125="","نوع الحركة ناقص",IF(NOT(ISNUMBER($E125)),"التاريخ ناقص",IF($E125&gt;تاريخ_الاحتساب,"تاريخ بعد تاريخ الاحتساب",IF(AND($D125&lt;&gt;"تسليم",COUNTIFS($A$5:$A$1504,$A125,$D$5:$D$1504,"تسليم",$E$5:$E$1504,"&lt;="&amp;$E125)=0),"لا يوجد تسليم قبل الحركة دي",""))))))</f>
        <v/>
      </c>
    </row>
    <row r="126" customFormat="false" ht="15" hidden="false" customHeight="false" outlineLevel="0" collapsed="false">
      <c r="A126" s="20"/>
      <c r="B126" s="35" t="str">
        <f aca="false">IF($A126="","",IFERROR(INDEX(مخرج_البند,MATCH($A126,قائمة_المخرجات,0)),""))</f>
        <v/>
      </c>
      <c r="C126" s="30" t="str">
        <f aca="false">IF($A126="","",IFERROR(INDEX(مخرج_الوصف,MATCH($A126,قائمة_المخرجات,0)),""))</f>
        <v/>
      </c>
      <c r="D126" s="20"/>
      <c r="E126" s="31"/>
      <c r="F126" s="22"/>
      <c r="G126" s="36" t="str">
        <f aca="false">IF(OR($A126="",$D126&lt;&gt;"تسليم",NOT(ISNUMBER($E126))),"",COUNTIFS($A$5:$A$1504,$A126,$D$5:$D$1504,"تسليم",$E$5:$E$1504,"&lt;"&amp;$E126)+1)</f>
        <v/>
      </c>
      <c r="H126" s="33" t="str">
        <f aca="false">IF($G126="","",_xlfn.MINIFS($E$5:$E$1504,$A$5:$A$1504,$A126,$D$5:$D$1504,"&lt;&gt;تسليم",$E$5:$E$1504,"&gt;="&amp;$E126))</f>
        <v/>
      </c>
      <c r="I126" s="33" t="str">
        <f aca="false">IF($G126="","",_xlfn.MINIFS($E$5:$E$1504,$A$5:$A$1504,$A126,$D$5:$D$1504,"تسليم",$E$5:$E$1504,"&gt;"&amp;$E126))</f>
        <v/>
      </c>
      <c r="J126" s="33" t="str">
        <f aca="false">IF($G126="","",IF(H126&gt;0,IF(I126&gt;0,MIN(H126,I126),H126),IF(I126&gt;0,I126,تاريخ_الاحتساب)))</f>
        <v/>
      </c>
      <c r="K126" s="34" t="str">
        <f aca="false">IF($G126="","",IF(AND(H126=0,I126=0),"جارية","مغلقة"))</f>
        <v/>
      </c>
      <c r="L126" s="26" t="str">
        <f aca="false">IF($G126="","",MAX(0,NETWORKDAYS.INTL($E126,J126,رمز_العطلة,أيام_الأجازات)-1))</f>
        <v/>
      </c>
      <c r="M126" s="26" t="str">
        <f aca="false">IF($G126="","",MAX(0,L126-مهلة_المراجعة))</f>
        <v/>
      </c>
      <c r="N126" s="30" t="str">
        <f aca="false">IF($A126="",IF(OR($D126&lt;&gt;"",$E126&lt;&gt;""),"رقم المخرج ناقص",""),IF(ISNA(MATCH($A126,قائمة_المخرجات,0)),"رقم مخرج غير موجود",IF($D126="","نوع الحركة ناقص",IF(NOT(ISNUMBER($E126)),"التاريخ ناقص",IF($E126&gt;تاريخ_الاحتساب,"تاريخ بعد تاريخ الاحتساب",IF(AND($D126&lt;&gt;"تسليم",COUNTIFS($A$5:$A$1504,$A126,$D$5:$D$1504,"تسليم",$E$5:$E$1504,"&lt;="&amp;$E126)=0),"لا يوجد تسليم قبل الحركة دي",""))))))</f>
        <v/>
      </c>
    </row>
    <row r="127" customFormat="false" ht="15" hidden="false" customHeight="false" outlineLevel="0" collapsed="false">
      <c r="A127" s="20"/>
      <c r="B127" s="35" t="str">
        <f aca="false">IF($A127="","",IFERROR(INDEX(مخرج_البند,MATCH($A127,قائمة_المخرجات,0)),""))</f>
        <v/>
      </c>
      <c r="C127" s="30" t="str">
        <f aca="false">IF($A127="","",IFERROR(INDEX(مخرج_الوصف,MATCH($A127,قائمة_المخرجات,0)),""))</f>
        <v/>
      </c>
      <c r="D127" s="20"/>
      <c r="E127" s="31"/>
      <c r="F127" s="22"/>
      <c r="G127" s="36" t="str">
        <f aca="false">IF(OR($A127="",$D127&lt;&gt;"تسليم",NOT(ISNUMBER($E127))),"",COUNTIFS($A$5:$A$1504,$A127,$D$5:$D$1504,"تسليم",$E$5:$E$1504,"&lt;"&amp;$E127)+1)</f>
        <v/>
      </c>
      <c r="H127" s="33" t="str">
        <f aca="false">IF($G127="","",_xlfn.MINIFS($E$5:$E$1504,$A$5:$A$1504,$A127,$D$5:$D$1504,"&lt;&gt;تسليم",$E$5:$E$1504,"&gt;="&amp;$E127))</f>
        <v/>
      </c>
      <c r="I127" s="33" t="str">
        <f aca="false">IF($G127="","",_xlfn.MINIFS($E$5:$E$1504,$A$5:$A$1504,$A127,$D$5:$D$1504,"تسليم",$E$5:$E$1504,"&gt;"&amp;$E127))</f>
        <v/>
      </c>
      <c r="J127" s="33" t="str">
        <f aca="false">IF($G127="","",IF(H127&gt;0,IF(I127&gt;0,MIN(H127,I127),H127),IF(I127&gt;0,I127,تاريخ_الاحتساب)))</f>
        <v/>
      </c>
      <c r="K127" s="34" t="str">
        <f aca="false">IF($G127="","",IF(AND(H127=0,I127=0),"جارية","مغلقة"))</f>
        <v/>
      </c>
      <c r="L127" s="26" t="str">
        <f aca="false">IF($G127="","",MAX(0,NETWORKDAYS.INTL($E127,J127,رمز_العطلة,أيام_الأجازات)-1))</f>
        <v/>
      </c>
      <c r="M127" s="26" t="str">
        <f aca="false">IF($G127="","",MAX(0,L127-مهلة_المراجعة))</f>
        <v/>
      </c>
      <c r="N127" s="30" t="str">
        <f aca="false">IF($A127="",IF(OR($D127&lt;&gt;"",$E127&lt;&gt;""),"رقم المخرج ناقص",""),IF(ISNA(MATCH($A127,قائمة_المخرجات,0)),"رقم مخرج غير موجود",IF($D127="","نوع الحركة ناقص",IF(NOT(ISNUMBER($E127)),"التاريخ ناقص",IF($E127&gt;تاريخ_الاحتساب,"تاريخ بعد تاريخ الاحتساب",IF(AND($D127&lt;&gt;"تسليم",COUNTIFS($A$5:$A$1504,$A127,$D$5:$D$1504,"تسليم",$E$5:$E$1504,"&lt;="&amp;$E127)=0),"لا يوجد تسليم قبل الحركة دي",""))))))</f>
        <v/>
      </c>
    </row>
    <row r="128" customFormat="false" ht="15" hidden="false" customHeight="false" outlineLevel="0" collapsed="false">
      <c r="A128" s="20"/>
      <c r="B128" s="35" t="str">
        <f aca="false">IF($A128="","",IFERROR(INDEX(مخرج_البند,MATCH($A128,قائمة_المخرجات,0)),""))</f>
        <v/>
      </c>
      <c r="C128" s="30" t="str">
        <f aca="false">IF($A128="","",IFERROR(INDEX(مخرج_الوصف,MATCH($A128,قائمة_المخرجات,0)),""))</f>
        <v/>
      </c>
      <c r="D128" s="20"/>
      <c r="E128" s="31"/>
      <c r="F128" s="22"/>
      <c r="G128" s="36" t="str">
        <f aca="false">IF(OR($A128="",$D128&lt;&gt;"تسليم",NOT(ISNUMBER($E128))),"",COUNTIFS($A$5:$A$1504,$A128,$D$5:$D$1504,"تسليم",$E$5:$E$1504,"&lt;"&amp;$E128)+1)</f>
        <v/>
      </c>
      <c r="H128" s="33" t="str">
        <f aca="false">IF($G128="","",_xlfn.MINIFS($E$5:$E$1504,$A$5:$A$1504,$A128,$D$5:$D$1504,"&lt;&gt;تسليم",$E$5:$E$1504,"&gt;="&amp;$E128))</f>
        <v/>
      </c>
      <c r="I128" s="33" t="str">
        <f aca="false">IF($G128="","",_xlfn.MINIFS($E$5:$E$1504,$A$5:$A$1504,$A128,$D$5:$D$1504,"تسليم",$E$5:$E$1504,"&gt;"&amp;$E128))</f>
        <v/>
      </c>
      <c r="J128" s="33" t="str">
        <f aca="false">IF($G128="","",IF(H128&gt;0,IF(I128&gt;0,MIN(H128,I128),H128),IF(I128&gt;0,I128,تاريخ_الاحتساب)))</f>
        <v/>
      </c>
      <c r="K128" s="34" t="str">
        <f aca="false">IF($G128="","",IF(AND(H128=0,I128=0),"جارية","مغلقة"))</f>
        <v/>
      </c>
      <c r="L128" s="26" t="str">
        <f aca="false">IF($G128="","",MAX(0,NETWORKDAYS.INTL($E128,J128,رمز_العطلة,أيام_الأجازات)-1))</f>
        <v/>
      </c>
      <c r="M128" s="26" t="str">
        <f aca="false">IF($G128="","",MAX(0,L128-مهلة_المراجعة))</f>
        <v/>
      </c>
      <c r="N128" s="30" t="str">
        <f aca="false">IF($A128="",IF(OR($D128&lt;&gt;"",$E128&lt;&gt;""),"رقم المخرج ناقص",""),IF(ISNA(MATCH($A128,قائمة_المخرجات,0)),"رقم مخرج غير موجود",IF($D128="","نوع الحركة ناقص",IF(NOT(ISNUMBER($E128)),"التاريخ ناقص",IF($E128&gt;تاريخ_الاحتساب,"تاريخ بعد تاريخ الاحتساب",IF(AND($D128&lt;&gt;"تسليم",COUNTIFS($A$5:$A$1504,$A128,$D$5:$D$1504,"تسليم",$E$5:$E$1504,"&lt;="&amp;$E128)=0),"لا يوجد تسليم قبل الحركة دي",""))))))</f>
        <v/>
      </c>
    </row>
    <row r="129" customFormat="false" ht="15" hidden="false" customHeight="false" outlineLevel="0" collapsed="false">
      <c r="A129" s="20"/>
      <c r="B129" s="35" t="str">
        <f aca="false">IF($A129="","",IFERROR(INDEX(مخرج_البند,MATCH($A129,قائمة_المخرجات,0)),""))</f>
        <v/>
      </c>
      <c r="C129" s="30" t="str">
        <f aca="false">IF($A129="","",IFERROR(INDEX(مخرج_الوصف,MATCH($A129,قائمة_المخرجات,0)),""))</f>
        <v/>
      </c>
      <c r="D129" s="20"/>
      <c r="E129" s="31"/>
      <c r="F129" s="22"/>
      <c r="G129" s="36" t="str">
        <f aca="false">IF(OR($A129="",$D129&lt;&gt;"تسليم",NOT(ISNUMBER($E129))),"",COUNTIFS($A$5:$A$1504,$A129,$D$5:$D$1504,"تسليم",$E$5:$E$1504,"&lt;"&amp;$E129)+1)</f>
        <v/>
      </c>
      <c r="H129" s="33" t="str">
        <f aca="false">IF($G129="","",_xlfn.MINIFS($E$5:$E$1504,$A$5:$A$1504,$A129,$D$5:$D$1504,"&lt;&gt;تسليم",$E$5:$E$1504,"&gt;="&amp;$E129))</f>
        <v/>
      </c>
      <c r="I129" s="33" t="str">
        <f aca="false">IF($G129="","",_xlfn.MINIFS($E$5:$E$1504,$A$5:$A$1504,$A129,$D$5:$D$1504,"تسليم",$E$5:$E$1504,"&gt;"&amp;$E129))</f>
        <v/>
      </c>
      <c r="J129" s="33" t="str">
        <f aca="false">IF($G129="","",IF(H129&gt;0,IF(I129&gt;0,MIN(H129,I129),H129),IF(I129&gt;0,I129,تاريخ_الاحتساب)))</f>
        <v/>
      </c>
      <c r="K129" s="34" t="str">
        <f aca="false">IF($G129="","",IF(AND(H129=0,I129=0),"جارية","مغلقة"))</f>
        <v/>
      </c>
      <c r="L129" s="26" t="str">
        <f aca="false">IF($G129="","",MAX(0,NETWORKDAYS.INTL($E129,J129,رمز_العطلة,أيام_الأجازات)-1))</f>
        <v/>
      </c>
      <c r="M129" s="26" t="str">
        <f aca="false">IF($G129="","",MAX(0,L129-مهلة_المراجعة))</f>
        <v/>
      </c>
      <c r="N129" s="30" t="str">
        <f aca="false">IF($A129="",IF(OR($D129&lt;&gt;"",$E129&lt;&gt;""),"رقم المخرج ناقص",""),IF(ISNA(MATCH($A129,قائمة_المخرجات,0)),"رقم مخرج غير موجود",IF($D129="","نوع الحركة ناقص",IF(NOT(ISNUMBER($E129)),"التاريخ ناقص",IF($E129&gt;تاريخ_الاحتساب,"تاريخ بعد تاريخ الاحتساب",IF(AND($D129&lt;&gt;"تسليم",COUNTIFS($A$5:$A$1504,$A129,$D$5:$D$1504,"تسليم",$E$5:$E$1504,"&lt;="&amp;$E129)=0),"لا يوجد تسليم قبل الحركة دي",""))))))</f>
        <v/>
      </c>
    </row>
    <row r="130" customFormat="false" ht="15" hidden="false" customHeight="false" outlineLevel="0" collapsed="false">
      <c r="A130" s="20"/>
      <c r="B130" s="35" t="str">
        <f aca="false">IF($A130="","",IFERROR(INDEX(مخرج_البند,MATCH($A130,قائمة_المخرجات,0)),""))</f>
        <v/>
      </c>
      <c r="C130" s="30" t="str">
        <f aca="false">IF($A130="","",IFERROR(INDEX(مخرج_الوصف,MATCH($A130,قائمة_المخرجات,0)),""))</f>
        <v/>
      </c>
      <c r="D130" s="20"/>
      <c r="E130" s="31"/>
      <c r="F130" s="22"/>
      <c r="G130" s="36" t="str">
        <f aca="false">IF(OR($A130="",$D130&lt;&gt;"تسليم",NOT(ISNUMBER($E130))),"",COUNTIFS($A$5:$A$1504,$A130,$D$5:$D$1504,"تسليم",$E$5:$E$1504,"&lt;"&amp;$E130)+1)</f>
        <v/>
      </c>
      <c r="H130" s="33" t="str">
        <f aca="false">IF($G130="","",_xlfn.MINIFS($E$5:$E$1504,$A$5:$A$1504,$A130,$D$5:$D$1504,"&lt;&gt;تسليم",$E$5:$E$1504,"&gt;="&amp;$E130))</f>
        <v/>
      </c>
      <c r="I130" s="33" t="str">
        <f aca="false">IF($G130="","",_xlfn.MINIFS($E$5:$E$1504,$A$5:$A$1504,$A130,$D$5:$D$1504,"تسليم",$E$5:$E$1504,"&gt;"&amp;$E130))</f>
        <v/>
      </c>
      <c r="J130" s="33" t="str">
        <f aca="false">IF($G130="","",IF(H130&gt;0,IF(I130&gt;0,MIN(H130,I130),H130),IF(I130&gt;0,I130,تاريخ_الاحتساب)))</f>
        <v/>
      </c>
      <c r="K130" s="34" t="str">
        <f aca="false">IF($G130="","",IF(AND(H130=0,I130=0),"جارية","مغلقة"))</f>
        <v/>
      </c>
      <c r="L130" s="26" t="str">
        <f aca="false">IF($G130="","",MAX(0,NETWORKDAYS.INTL($E130,J130,رمز_العطلة,أيام_الأجازات)-1))</f>
        <v/>
      </c>
      <c r="M130" s="26" t="str">
        <f aca="false">IF($G130="","",MAX(0,L130-مهلة_المراجعة))</f>
        <v/>
      </c>
      <c r="N130" s="30" t="str">
        <f aca="false">IF($A130="",IF(OR($D130&lt;&gt;"",$E130&lt;&gt;""),"رقم المخرج ناقص",""),IF(ISNA(MATCH($A130,قائمة_المخرجات,0)),"رقم مخرج غير موجود",IF($D130="","نوع الحركة ناقص",IF(NOT(ISNUMBER($E130)),"التاريخ ناقص",IF($E130&gt;تاريخ_الاحتساب,"تاريخ بعد تاريخ الاحتساب",IF(AND($D130&lt;&gt;"تسليم",COUNTIFS($A$5:$A$1504,$A130,$D$5:$D$1504,"تسليم",$E$5:$E$1504,"&lt;="&amp;$E130)=0),"لا يوجد تسليم قبل الحركة دي",""))))))</f>
        <v/>
      </c>
    </row>
    <row r="131" customFormat="false" ht="15" hidden="false" customHeight="false" outlineLevel="0" collapsed="false">
      <c r="A131" s="20"/>
      <c r="B131" s="35" t="str">
        <f aca="false">IF($A131="","",IFERROR(INDEX(مخرج_البند,MATCH($A131,قائمة_المخرجات,0)),""))</f>
        <v/>
      </c>
      <c r="C131" s="30" t="str">
        <f aca="false">IF($A131="","",IFERROR(INDEX(مخرج_الوصف,MATCH($A131,قائمة_المخرجات,0)),""))</f>
        <v/>
      </c>
      <c r="D131" s="20"/>
      <c r="E131" s="31"/>
      <c r="F131" s="22"/>
      <c r="G131" s="36" t="str">
        <f aca="false">IF(OR($A131="",$D131&lt;&gt;"تسليم",NOT(ISNUMBER($E131))),"",COUNTIFS($A$5:$A$1504,$A131,$D$5:$D$1504,"تسليم",$E$5:$E$1504,"&lt;"&amp;$E131)+1)</f>
        <v/>
      </c>
      <c r="H131" s="33" t="str">
        <f aca="false">IF($G131="","",_xlfn.MINIFS($E$5:$E$1504,$A$5:$A$1504,$A131,$D$5:$D$1504,"&lt;&gt;تسليم",$E$5:$E$1504,"&gt;="&amp;$E131))</f>
        <v/>
      </c>
      <c r="I131" s="33" t="str">
        <f aca="false">IF($G131="","",_xlfn.MINIFS($E$5:$E$1504,$A$5:$A$1504,$A131,$D$5:$D$1504,"تسليم",$E$5:$E$1504,"&gt;"&amp;$E131))</f>
        <v/>
      </c>
      <c r="J131" s="33" t="str">
        <f aca="false">IF($G131="","",IF(H131&gt;0,IF(I131&gt;0,MIN(H131,I131),H131),IF(I131&gt;0,I131,تاريخ_الاحتساب)))</f>
        <v/>
      </c>
      <c r="K131" s="34" t="str">
        <f aca="false">IF($G131="","",IF(AND(H131=0,I131=0),"جارية","مغلقة"))</f>
        <v/>
      </c>
      <c r="L131" s="26" t="str">
        <f aca="false">IF($G131="","",MAX(0,NETWORKDAYS.INTL($E131,J131,رمز_العطلة,أيام_الأجازات)-1))</f>
        <v/>
      </c>
      <c r="M131" s="26" t="str">
        <f aca="false">IF($G131="","",MAX(0,L131-مهلة_المراجعة))</f>
        <v/>
      </c>
      <c r="N131" s="30" t="str">
        <f aca="false">IF($A131="",IF(OR($D131&lt;&gt;"",$E131&lt;&gt;""),"رقم المخرج ناقص",""),IF(ISNA(MATCH($A131,قائمة_المخرجات,0)),"رقم مخرج غير موجود",IF($D131="","نوع الحركة ناقص",IF(NOT(ISNUMBER($E131)),"التاريخ ناقص",IF($E131&gt;تاريخ_الاحتساب,"تاريخ بعد تاريخ الاحتساب",IF(AND($D131&lt;&gt;"تسليم",COUNTIFS($A$5:$A$1504,$A131,$D$5:$D$1504,"تسليم",$E$5:$E$1504,"&lt;="&amp;$E131)=0),"لا يوجد تسليم قبل الحركة دي",""))))))</f>
        <v/>
      </c>
    </row>
    <row r="132" customFormat="false" ht="15" hidden="false" customHeight="false" outlineLevel="0" collapsed="false">
      <c r="A132" s="20"/>
      <c r="B132" s="35" t="str">
        <f aca="false">IF($A132="","",IFERROR(INDEX(مخرج_البند,MATCH($A132,قائمة_المخرجات,0)),""))</f>
        <v/>
      </c>
      <c r="C132" s="30" t="str">
        <f aca="false">IF($A132="","",IFERROR(INDEX(مخرج_الوصف,MATCH($A132,قائمة_المخرجات,0)),""))</f>
        <v/>
      </c>
      <c r="D132" s="20"/>
      <c r="E132" s="31"/>
      <c r="F132" s="22"/>
      <c r="G132" s="36" t="str">
        <f aca="false">IF(OR($A132="",$D132&lt;&gt;"تسليم",NOT(ISNUMBER($E132))),"",COUNTIFS($A$5:$A$1504,$A132,$D$5:$D$1504,"تسليم",$E$5:$E$1504,"&lt;"&amp;$E132)+1)</f>
        <v/>
      </c>
      <c r="H132" s="33" t="str">
        <f aca="false">IF($G132="","",_xlfn.MINIFS($E$5:$E$1504,$A$5:$A$1504,$A132,$D$5:$D$1504,"&lt;&gt;تسليم",$E$5:$E$1504,"&gt;="&amp;$E132))</f>
        <v/>
      </c>
      <c r="I132" s="33" t="str">
        <f aca="false">IF($G132="","",_xlfn.MINIFS($E$5:$E$1504,$A$5:$A$1504,$A132,$D$5:$D$1504,"تسليم",$E$5:$E$1504,"&gt;"&amp;$E132))</f>
        <v/>
      </c>
      <c r="J132" s="33" t="str">
        <f aca="false">IF($G132="","",IF(H132&gt;0,IF(I132&gt;0,MIN(H132,I132),H132),IF(I132&gt;0,I132,تاريخ_الاحتساب)))</f>
        <v/>
      </c>
      <c r="K132" s="34" t="str">
        <f aca="false">IF($G132="","",IF(AND(H132=0,I132=0),"جارية","مغلقة"))</f>
        <v/>
      </c>
      <c r="L132" s="26" t="str">
        <f aca="false">IF($G132="","",MAX(0,NETWORKDAYS.INTL($E132,J132,رمز_العطلة,أيام_الأجازات)-1))</f>
        <v/>
      </c>
      <c r="M132" s="26" t="str">
        <f aca="false">IF($G132="","",MAX(0,L132-مهلة_المراجعة))</f>
        <v/>
      </c>
      <c r="N132" s="30" t="str">
        <f aca="false">IF($A132="",IF(OR($D132&lt;&gt;"",$E132&lt;&gt;""),"رقم المخرج ناقص",""),IF(ISNA(MATCH($A132,قائمة_المخرجات,0)),"رقم مخرج غير موجود",IF($D132="","نوع الحركة ناقص",IF(NOT(ISNUMBER($E132)),"التاريخ ناقص",IF($E132&gt;تاريخ_الاحتساب,"تاريخ بعد تاريخ الاحتساب",IF(AND($D132&lt;&gt;"تسليم",COUNTIFS($A$5:$A$1504,$A132,$D$5:$D$1504,"تسليم",$E$5:$E$1504,"&lt;="&amp;$E132)=0),"لا يوجد تسليم قبل الحركة دي",""))))))</f>
        <v/>
      </c>
    </row>
    <row r="133" customFormat="false" ht="15" hidden="false" customHeight="false" outlineLevel="0" collapsed="false">
      <c r="A133" s="20"/>
      <c r="B133" s="35" t="str">
        <f aca="false">IF($A133="","",IFERROR(INDEX(مخرج_البند,MATCH($A133,قائمة_المخرجات,0)),""))</f>
        <v/>
      </c>
      <c r="C133" s="30" t="str">
        <f aca="false">IF($A133="","",IFERROR(INDEX(مخرج_الوصف,MATCH($A133,قائمة_المخرجات,0)),""))</f>
        <v/>
      </c>
      <c r="D133" s="20"/>
      <c r="E133" s="31"/>
      <c r="F133" s="22"/>
      <c r="G133" s="36" t="str">
        <f aca="false">IF(OR($A133="",$D133&lt;&gt;"تسليم",NOT(ISNUMBER($E133))),"",COUNTIFS($A$5:$A$1504,$A133,$D$5:$D$1504,"تسليم",$E$5:$E$1504,"&lt;"&amp;$E133)+1)</f>
        <v/>
      </c>
      <c r="H133" s="33" t="str">
        <f aca="false">IF($G133="","",_xlfn.MINIFS($E$5:$E$1504,$A$5:$A$1504,$A133,$D$5:$D$1504,"&lt;&gt;تسليم",$E$5:$E$1504,"&gt;="&amp;$E133))</f>
        <v/>
      </c>
      <c r="I133" s="33" t="str">
        <f aca="false">IF($G133="","",_xlfn.MINIFS($E$5:$E$1504,$A$5:$A$1504,$A133,$D$5:$D$1504,"تسليم",$E$5:$E$1504,"&gt;"&amp;$E133))</f>
        <v/>
      </c>
      <c r="J133" s="33" t="str">
        <f aca="false">IF($G133="","",IF(H133&gt;0,IF(I133&gt;0,MIN(H133,I133),H133),IF(I133&gt;0,I133,تاريخ_الاحتساب)))</f>
        <v/>
      </c>
      <c r="K133" s="34" t="str">
        <f aca="false">IF($G133="","",IF(AND(H133=0,I133=0),"جارية","مغلقة"))</f>
        <v/>
      </c>
      <c r="L133" s="26" t="str">
        <f aca="false">IF($G133="","",MAX(0,NETWORKDAYS.INTL($E133,J133,رمز_العطلة,أيام_الأجازات)-1))</f>
        <v/>
      </c>
      <c r="M133" s="26" t="str">
        <f aca="false">IF($G133="","",MAX(0,L133-مهلة_المراجعة))</f>
        <v/>
      </c>
      <c r="N133" s="30" t="str">
        <f aca="false">IF($A133="",IF(OR($D133&lt;&gt;"",$E133&lt;&gt;""),"رقم المخرج ناقص",""),IF(ISNA(MATCH($A133,قائمة_المخرجات,0)),"رقم مخرج غير موجود",IF($D133="","نوع الحركة ناقص",IF(NOT(ISNUMBER($E133)),"التاريخ ناقص",IF($E133&gt;تاريخ_الاحتساب,"تاريخ بعد تاريخ الاحتساب",IF(AND($D133&lt;&gt;"تسليم",COUNTIFS($A$5:$A$1504,$A133,$D$5:$D$1504,"تسليم",$E$5:$E$1504,"&lt;="&amp;$E133)=0),"لا يوجد تسليم قبل الحركة دي",""))))))</f>
        <v/>
      </c>
    </row>
    <row r="134" customFormat="false" ht="15" hidden="false" customHeight="false" outlineLevel="0" collapsed="false">
      <c r="A134" s="20"/>
      <c r="B134" s="35" t="str">
        <f aca="false">IF($A134="","",IFERROR(INDEX(مخرج_البند,MATCH($A134,قائمة_المخرجات,0)),""))</f>
        <v/>
      </c>
      <c r="C134" s="30" t="str">
        <f aca="false">IF($A134="","",IFERROR(INDEX(مخرج_الوصف,MATCH($A134,قائمة_المخرجات,0)),""))</f>
        <v/>
      </c>
      <c r="D134" s="20"/>
      <c r="E134" s="31"/>
      <c r="F134" s="22"/>
      <c r="G134" s="36" t="str">
        <f aca="false">IF(OR($A134="",$D134&lt;&gt;"تسليم",NOT(ISNUMBER($E134))),"",COUNTIFS($A$5:$A$1504,$A134,$D$5:$D$1504,"تسليم",$E$5:$E$1504,"&lt;"&amp;$E134)+1)</f>
        <v/>
      </c>
      <c r="H134" s="33" t="str">
        <f aca="false">IF($G134="","",_xlfn.MINIFS($E$5:$E$1504,$A$5:$A$1504,$A134,$D$5:$D$1504,"&lt;&gt;تسليم",$E$5:$E$1504,"&gt;="&amp;$E134))</f>
        <v/>
      </c>
      <c r="I134" s="33" t="str">
        <f aca="false">IF($G134="","",_xlfn.MINIFS($E$5:$E$1504,$A$5:$A$1504,$A134,$D$5:$D$1504,"تسليم",$E$5:$E$1504,"&gt;"&amp;$E134))</f>
        <v/>
      </c>
      <c r="J134" s="33" t="str">
        <f aca="false">IF($G134="","",IF(H134&gt;0,IF(I134&gt;0,MIN(H134,I134),H134),IF(I134&gt;0,I134,تاريخ_الاحتساب)))</f>
        <v/>
      </c>
      <c r="K134" s="34" t="str">
        <f aca="false">IF($G134="","",IF(AND(H134=0,I134=0),"جارية","مغلقة"))</f>
        <v/>
      </c>
      <c r="L134" s="26" t="str">
        <f aca="false">IF($G134="","",MAX(0,NETWORKDAYS.INTL($E134,J134,رمز_العطلة,أيام_الأجازات)-1))</f>
        <v/>
      </c>
      <c r="M134" s="26" t="str">
        <f aca="false">IF($G134="","",MAX(0,L134-مهلة_المراجعة))</f>
        <v/>
      </c>
      <c r="N134" s="30" t="str">
        <f aca="false">IF($A134="",IF(OR($D134&lt;&gt;"",$E134&lt;&gt;""),"رقم المخرج ناقص",""),IF(ISNA(MATCH($A134,قائمة_المخرجات,0)),"رقم مخرج غير موجود",IF($D134="","نوع الحركة ناقص",IF(NOT(ISNUMBER($E134)),"التاريخ ناقص",IF($E134&gt;تاريخ_الاحتساب,"تاريخ بعد تاريخ الاحتساب",IF(AND($D134&lt;&gt;"تسليم",COUNTIFS($A$5:$A$1504,$A134,$D$5:$D$1504,"تسليم",$E$5:$E$1504,"&lt;="&amp;$E134)=0),"لا يوجد تسليم قبل الحركة دي",""))))))</f>
        <v/>
      </c>
    </row>
    <row r="135" customFormat="false" ht="15" hidden="false" customHeight="false" outlineLevel="0" collapsed="false">
      <c r="A135" s="20"/>
      <c r="B135" s="35" t="str">
        <f aca="false">IF($A135="","",IFERROR(INDEX(مخرج_البند,MATCH($A135,قائمة_المخرجات,0)),""))</f>
        <v/>
      </c>
      <c r="C135" s="30" t="str">
        <f aca="false">IF($A135="","",IFERROR(INDEX(مخرج_الوصف,MATCH($A135,قائمة_المخرجات,0)),""))</f>
        <v/>
      </c>
      <c r="D135" s="20"/>
      <c r="E135" s="31"/>
      <c r="F135" s="22"/>
      <c r="G135" s="36" t="str">
        <f aca="false">IF(OR($A135="",$D135&lt;&gt;"تسليم",NOT(ISNUMBER($E135))),"",COUNTIFS($A$5:$A$1504,$A135,$D$5:$D$1504,"تسليم",$E$5:$E$1504,"&lt;"&amp;$E135)+1)</f>
        <v/>
      </c>
      <c r="H135" s="33" t="str">
        <f aca="false">IF($G135="","",_xlfn.MINIFS($E$5:$E$1504,$A$5:$A$1504,$A135,$D$5:$D$1504,"&lt;&gt;تسليم",$E$5:$E$1504,"&gt;="&amp;$E135))</f>
        <v/>
      </c>
      <c r="I135" s="33" t="str">
        <f aca="false">IF($G135="","",_xlfn.MINIFS($E$5:$E$1504,$A$5:$A$1504,$A135,$D$5:$D$1504,"تسليم",$E$5:$E$1504,"&gt;"&amp;$E135))</f>
        <v/>
      </c>
      <c r="J135" s="33" t="str">
        <f aca="false">IF($G135="","",IF(H135&gt;0,IF(I135&gt;0,MIN(H135,I135),H135),IF(I135&gt;0,I135,تاريخ_الاحتساب)))</f>
        <v/>
      </c>
      <c r="K135" s="34" t="str">
        <f aca="false">IF($G135="","",IF(AND(H135=0,I135=0),"جارية","مغلقة"))</f>
        <v/>
      </c>
      <c r="L135" s="26" t="str">
        <f aca="false">IF($G135="","",MAX(0,NETWORKDAYS.INTL($E135,J135,رمز_العطلة,أيام_الأجازات)-1))</f>
        <v/>
      </c>
      <c r="M135" s="26" t="str">
        <f aca="false">IF($G135="","",MAX(0,L135-مهلة_المراجعة))</f>
        <v/>
      </c>
      <c r="N135" s="30" t="str">
        <f aca="false">IF($A135="",IF(OR($D135&lt;&gt;"",$E135&lt;&gt;""),"رقم المخرج ناقص",""),IF(ISNA(MATCH($A135,قائمة_المخرجات,0)),"رقم مخرج غير موجود",IF($D135="","نوع الحركة ناقص",IF(NOT(ISNUMBER($E135)),"التاريخ ناقص",IF($E135&gt;تاريخ_الاحتساب,"تاريخ بعد تاريخ الاحتساب",IF(AND($D135&lt;&gt;"تسليم",COUNTIFS($A$5:$A$1504,$A135,$D$5:$D$1504,"تسليم",$E$5:$E$1504,"&lt;="&amp;$E135)=0),"لا يوجد تسليم قبل الحركة دي",""))))))</f>
        <v/>
      </c>
    </row>
    <row r="136" customFormat="false" ht="15" hidden="false" customHeight="false" outlineLevel="0" collapsed="false">
      <c r="A136" s="20"/>
      <c r="B136" s="35" t="str">
        <f aca="false">IF($A136="","",IFERROR(INDEX(مخرج_البند,MATCH($A136,قائمة_المخرجات,0)),""))</f>
        <v/>
      </c>
      <c r="C136" s="30" t="str">
        <f aca="false">IF($A136="","",IFERROR(INDEX(مخرج_الوصف,MATCH($A136,قائمة_المخرجات,0)),""))</f>
        <v/>
      </c>
      <c r="D136" s="20"/>
      <c r="E136" s="31"/>
      <c r="F136" s="22"/>
      <c r="G136" s="36" t="str">
        <f aca="false">IF(OR($A136="",$D136&lt;&gt;"تسليم",NOT(ISNUMBER($E136))),"",COUNTIFS($A$5:$A$1504,$A136,$D$5:$D$1504,"تسليم",$E$5:$E$1504,"&lt;"&amp;$E136)+1)</f>
        <v/>
      </c>
      <c r="H136" s="33" t="str">
        <f aca="false">IF($G136="","",_xlfn.MINIFS($E$5:$E$1504,$A$5:$A$1504,$A136,$D$5:$D$1504,"&lt;&gt;تسليم",$E$5:$E$1504,"&gt;="&amp;$E136))</f>
        <v/>
      </c>
      <c r="I136" s="33" t="str">
        <f aca="false">IF($G136="","",_xlfn.MINIFS($E$5:$E$1504,$A$5:$A$1504,$A136,$D$5:$D$1504,"تسليم",$E$5:$E$1504,"&gt;"&amp;$E136))</f>
        <v/>
      </c>
      <c r="J136" s="33" t="str">
        <f aca="false">IF($G136="","",IF(H136&gt;0,IF(I136&gt;0,MIN(H136,I136),H136),IF(I136&gt;0,I136,تاريخ_الاحتساب)))</f>
        <v/>
      </c>
      <c r="K136" s="34" t="str">
        <f aca="false">IF($G136="","",IF(AND(H136=0,I136=0),"جارية","مغلقة"))</f>
        <v/>
      </c>
      <c r="L136" s="26" t="str">
        <f aca="false">IF($G136="","",MAX(0,NETWORKDAYS.INTL($E136,J136,رمز_العطلة,أيام_الأجازات)-1))</f>
        <v/>
      </c>
      <c r="M136" s="26" t="str">
        <f aca="false">IF($G136="","",MAX(0,L136-مهلة_المراجعة))</f>
        <v/>
      </c>
      <c r="N136" s="30" t="str">
        <f aca="false">IF($A136="",IF(OR($D136&lt;&gt;"",$E136&lt;&gt;""),"رقم المخرج ناقص",""),IF(ISNA(MATCH($A136,قائمة_المخرجات,0)),"رقم مخرج غير موجود",IF($D136="","نوع الحركة ناقص",IF(NOT(ISNUMBER($E136)),"التاريخ ناقص",IF($E136&gt;تاريخ_الاحتساب,"تاريخ بعد تاريخ الاحتساب",IF(AND($D136&lt;&gt;"تسليم",COUNTIFS($A$5:$A$1504,$A136,$D$5:$D$1504,"تسليم",$E$5:$E$1504,"&lt;="&amp;$E136)=0),"لا يوجد تسليم قبل الحركة دي",""))))))</f>
        <v/>
      </c>
    </row>
    <row r="137" customFormat="false" ht="15" hidden="false" customHeight="false" outlineLevel="0" collapsed="false">
      <c r="A137" s="20"/>
      <c r="B137" s="35" t="str">
        <f aca="false">IF($A137="","",IFERROR(INDEX(مخرج_البند,MATCH($A137,قائمة_المخرجات,0)),""))</f>
        <v/>
      </c>
      <c r="C137" s="30" t="str">
        <f aca="false">IF($A137="","",IFERROR(INDEX(مخرج_الوصف,MATCH($A137,قائمة_المخرجات,0)),""))</f>
        <v/>
      </c>
      <c r="D137" s="20"/>
      <c r="E137" s="31"/>
      <c r="F137" s="22"/>
      <c r="G137" s="36" t="str">
        <f aca="false">IF(OR($A137="",$D137&lt;&gt;"تسليم",NOT(ISNUMBER($E137))),"",COUNTIFS($A$5:$A$1504,$A137,$D$5:$D$1504,"تسليم",$E$5:$E$1504,"&lt;"&amp;$E137)+1)</f>
        <v/>
      </c>
      <c r="H137" s="33" t="str">
        <f aca="false">IF($G137="","",_xlfn.MINIFS($E$5:$E$1504,$A$5:$A$1504,$A137,$D$5:$D$1504,"&lt;&gt;تسليم",$E$5:$E$1504,"&gt;="&amp;$E137))</f>
        <v/>
      </c>
      <c r="I137" s="33" t="str">
        <f aca="false">IF($G137="","",_xlfn.MINIFS($E$5:$E$1504,$A$5:$A$1504,$A137,$D$5:$D$1504,"تسليم",$E$5:$E$1504,"&gt;"&amp;$E137))</f>
        <v/>
      </c>
      <c r="J137" s="33" t="str">
        <f aca="false">IF($G137="","",IF(H137&gt;0,IF(I137&gt;0,MIN(H137,I137),H137),IF(I137&gt;0,I137,تاريخ_الاحتساب)))</f>
        <v/>
      </c>
      <c r="K137" s="34" t="str">
        <f aca="false">IF($G137="","",IF(AND(H137=0,I137=0),"جارية","مغلقة"))</f>
        <v/>
      </c>
      <c r="L137" s="26" t="str">
        <f aca="false">IF($G137="","",MAX(0,NETWORKDAYS.INTL($E137,J137,رمز_العطلة,أيام_الأجازات)-1))</f>
        <v/>
      </c>
      <c r="M137" s="26" t="str">
        <f aca="false">IF($G137="","",MAX(0,L137-مهلة_المراجعة))</f>
        <v/>
      </c>
      <c r="N137" s="30" t="str">
        <f aca="false">IF($A137="",IF(OR($D137&lt;&gt;"",$E137&lt;&gt;""),"رقم المخرج ناقص",""),IF(ISNA(MATCH($A137,قائمة_المخرجات,0)),"رقم مخرج غير موجود",IF($D137="","نوع الحركة ناقص",IF(NOT(ISNUMBER($E137)),"التاريخ ناقص",IF($E137&gt;تاريخ_الاحتساب,"تاريخ بعد تاريخ الاحتساب",IF(AND($D137&lt;&gt;"تسليم",COUNTIFS($A$5:$A$1504,$A137,$D$5:$D$1504,"تسليم",$E$5:$E$1504,"&lt;="&amp;$E137)=0),"لا يوجد تسليم قبل الحركة دي",""))))))</f>
        <v/>
      </c>
    </row>
    <row r="138" customFormat="false" ht="15" hidden="false" customHeight="false" outlineLevel="0" collapsed="false">
      <c r="A138" s="20"/>
      <c r="B138" s="35" t="str">
        <f aca="false">IF($A138="","",IFERROR(INDEX(مخرج_البند,MATCH($A138,قائمة_المخرجات,0)),""))</f>
        <v/>
      </c>
      <c r="C138" s="30" t="str">
        <f aca="false">IF($A138="","",IFERROR(INDEX(مخرج_الوصف,MATCH($A138,قائمة_المخرجات,0)),""))</f>
        <v/>
      </c>
      <c r="D138" s="20"/>
      <c r="E138" s="31"/>
      <c r="F138" s="22"/>
      <c r="G138" s="36" t="str">
        <f aca="false">IF(OR($A138="",$D138&lt;&gt;"تسليم",NOT(ISNUMBER($E138))),"",COUNTIFS($A$5:$A$1504,$A138,$D$5:$D$1504,"تسليم",$E$5:$E$1504,"&lt;"&amp;$E138)+1)</f>
        <v/>
      </c>
      <c r="H138" s="33" t="str">
        <f aca="false">IF($G138="","",_xlfn.MINIFS($E$5:$E$1504,$A$5:$A$1504,$A138,$D$5:$D$1504,"&lt;&gt;تسليم",$E$5:$E$1504,"&gt;="&amp;$E138))</f>
        <v/>
      </c>
      <c r="I138" s="33" t="str">
        <f aca="false">IF($G138="","",_xlfn.MINIFS($E$5:$E$1504,$A$5:$A$1504,$A138,$D$5:$D$1504,"تسليم",$E$5:$E$1504,"&gt;"&amp;$E138))</f>
        <v/>
      </c>
      <c r="J138" s="33" t="str">
        <f aca="false">IF($G138="","",IF(H138&gt;0,IF(I138&gt;0,MIN(H138,I138),H138),IF(I138&gt;0,I138,تاريخ_الاحتساب)))</f>
        <v/>
      </c>
      <c r="K138" s="34" t="str">
        <f aca="false">IF($G138="","",IF(AND(H138=0,I138=0),"جارية","مغلقة"))</f>
        <v/>
      </c>
      <c r="L138" s="26" t="str">
        <f aca="false">IF($G138="","",MAX(0,NETWORKDAYS.INTL($E138,J138,رمز_العطلة,أيام_الأجازات)-1))</f>
        <v/>
      </c>
      <c r="M138" s="26" t="str">
        <f aca="false">IF($G138="","",MAX(0,L138-مهلة_المراجعة))</f>
        <v/>
      </c>
      <c r="N138" s="30" t="str">
        <f aca="false">IF($A138="",IF(OR($D138&lt;&gt;"",$E138&lt;&gt;""),"رقم المخرج ناقص",""),IF(ISNA(MATCH($A138,قائمة_المخرجات,0)),"رقم مخرج غير موجود",IF($D138="","نوع الحركة ناقص",IF(NOT(ISNUMBER($E138)),"التاريخ ناقص",IF($E138&gt;تاريخ_الاحتساب,"تاريخ بعد تاريخ الاحتساب",IF(AND($D138&lt;&gt;"تسليم",COUNTIFS($A$5:$A$1504,$A138,$D$5:$D$1504,"تسليم",$E$5:$E$1504,"&lt;="&amp;$E138)=0),"لا يوجد تسليم قبل الحركة دي",""))))))</f>
        <v/>
      </c>
    </row>
    <row r="139" customFormat="false" ht="15" hidden="false" customHeight="false" outlineLevel="0" collapsed="false">
      <c r="A139" s="20"/>
      <c r="B139" s="35" t="str">
        <f aca="false">IF($A139="","",IFERROR(INDEX(مخرج_البند,MATCH($A139,قائمة_المخرجات,0)),""))</f>
        <v/>
      </c>
      <c r="C139" s="30" t="str">
        <f aca="false">IF($A139="","",IFERROR(INDEX(مخرج_الوصف,MATCH($A139,قائمة_المخرجات,0)),""))</f>
        <v/>
      </c>
      <c r="D139" s="20"/>
      <c r="E139" s="31"/>
      <c r="F139" s="22"/>
      <c r="G139" s="36" t="str">
        <f aca="false">IF(OR($A139="",$D139&lt;&gt;"تسليم",NOT(ISNUMBER($E139))),"",COUNTIFS($A$5:$A$1504,$A139,$D$5:$D$1504,"تسليم",$E$5:$E$1504,"&lt;"&amp;$E139)+1)</f>
        <v/>
      </c>
      <c r="H139" s="33" t="str">
        <f aca="false">IF($G139="","",_xlfn.MINIFS($E$5:$E$1504,$A$5:$A$1504,$A139,$D$5:$D$1504,"&lt;&gt;تسليم",$E$5:$E$1504,"&gt;="&amp;$E139))</f>
        <v/>
      </c>
      <c r="I139" s="33" t="str">
        <f aca="false">IF($G139="","",_xlfn.MINIFS($E$5:$E$1504,$A$5:$A$1504,$A139,$D$5:$D$1504,"تسليم",$E$5:$E$1504,"&gt;"&amp;$E139))</f>
        <v/>
      </c>
      <c r="J139" s="33" t="str">
        <f aca="false">IF($G139="","",IF(H139&gt;0,IF(I139&gt;0,MIN(H139,I139),H139),IF(I139&gt;0,I139,تاريخ_الاحتساب)))</f>
        <v/>
      </c>
      <c r="K139" s="34" t="str">
        <f aca="false">IF($G139="","",IF(AND(H139=0,I139=0),"جارية","مغلقة"))</f>
        <v/>
      </c>
      <c r="L139" s="26" t="str">
        <f aca="false">IF($G139="","",MAX(0,NETWORKDAYS.INTL($E139,J139,رمز_العطلة,أيام_الأجازات)-1))</f>
        <v/>
      </c>
      <c r="M139" s="26" t="str">
        <f aca="false">IF($G139="","",MAX(0,L139-مهلة_المراجعة))</f>
        <v/>
      </c>
      <c r="N139" s="30" t="str">
        <f aca="false">IF($A139="",IF(OR($D139&lt;&gt;"",$E139&lt;&gt;""),"رقم المخرج ناقص",""),IF(ISNA(MATCH($A139,قائمة_المخرجات,0)),"رقم مخرج غير موجود",IF($D139="","نوع الحركة ناقص",IF(NOT(ISNUMBER($E139)),"التاريخ ناقص",IF($E139&gt;تاريخ_الاحتساب,"تاريخ بعد تاريخ الاحتساب",IF(AND($D139&lt;&gt;"تسليم",COUNTIFS($A$5:$A$1504,$A139,$D$5:$D$1504,"تسليم",$E$5:$E$1504,"&lt;="&amp;$E139)=0),"لا يوجد تسليم قبل الحركة دي",""))))))</f>
        <v/>
      </c>
    </row>
    <row r="140" customFormat="false" ht="15" hidden="false" customHeight="false" outlineLevel="0" collapsed="false">
      <c r="A140" s="20"/>
      <c r="B140" s="35" t="str">
        <f aca="false">IF($A140="","",IFERROR(INDEX(مخرج_البند,MATCH($A140,قائمة_المخرجات,0)),""))</f>
        <v/>
      </c>
      <c r="C140" s="30" t="str">
        <f aca="false">IF($A140="","",IFERROR(INDEX(مخرج_الوصف,MATCH($A140,قائمة_المخرجات,0)),""))</f>
        <v/>
      </c>
      <c r="D140" s="20"/>
      <c r="E140" s="31"/>
      <c r="F140" s="22"/>
      <c r="G140" s="36" t="str">
        <f aca="false">IF(OR($A140="",$D140&lt;&gt;"تسليم",NOT(ISNUMBER($E140))),"",COUNTIFS($A$5:$A$1504,$A140,$D$5:$D$1504,"تسليم",$E$5:$E$1504,"&lt;"&amp;$E140)+1)</f>
        <v/>
      </c>
      <c r="H140" s="33" t="str">
        <f aca="false">IF($G140="","",_xlfn.MINIFS($E$5:$E$1504,$A$5:$A$1504,$A140,$D$5:$D$1504,"&lt;&gt;تسليم",$E$5:$E$1504,"&gt;="&amp;$E140))</f>
        <v/>
      </c>
      <c r="I140" s="33" t="str">
        <f aca="false">IF($G140="","",_xlfn.MINIFS($E$5:$E$1504,$A$5:$A$1504,$A140,$D$5:$D$1504,"تسليم",$E$5:$E$1504,"&gt;"&amp;$E140))</f>
        <v/>
      </c>
      <c r="J140" s="33" t="str">
        <f aca="false">IF($G140="","",IF(H140&gt;0,IF(I140&gt;0,MIN(H140,I140),H140),IF(I140&gt;0,I140,تاريخ_الاحتساب)))</f>
        <v/>
      </c>
      <c r="K140" s="34" t="str">
        <f aca="false">IF($G140="","",IF(AND(H140=0,I140=0),"جارية","مغلقة"))</f>
        <v/>
      </c>
      <c r="L140" s="26" t="str">
        <f aca="false">IF($G140="","",MAX(0,NETWORKDAYS.INTL($E140,J140,رمز_العطلة,أيام_الأجازات)-1))</f>
        <v/>
      </c>
      <c r="M140" s="26" t="str">
        <f aca="false">IF($G140="","",MAX(0,L140-مهلة_المراجعة))</f>
        <v/>
      </c>
      <c r="N140" s="30" t="str">
        <f aca="false">IF($A140="",IF(OR($D140&lt;&gt;"",$E140&lt;&gt;""),"رقم المخرج ناقص",""),IF(ISNA(MATCH($A140,قائمة_المخرجات,0)),"رقم مخرج غير موجود",IF($D140="","نوع الحركة ناقص",IF(NOT(ISNUMBER($E140)),"التاريخ ناقص",IF($E140&gt;تاريخ_الاحتساب,"تاريخ بعد تاريخ الاحتساب",IF(AND($D140&lt;&gt;"تسليم",COUNTIFS($A$5:$A$1504,$A140,$D$5:$D$1504,"تسليم",$E$5:$E$1504,"&lt;="&amp;$E140)=0),"لا يوجد تسليم قبل الحركة دي",""))))))</f>
        <v/>
      </c>
    </row>
    <row r="141" customFormat="false" ht="15" hidden="false" customHeight="false" outlineLevel="0" collapsed="false">
      <c r="A141" s="20"/>
      <c r="B141" s="35" t="str">
        <f aca="false">IF($A141="","",IFERROR(INDEX(مخرج_البند,MATCH($A141,قائمة_المخرجات,0)),""))</f>
        <v/>
      </c>
      <c r="C141" s="30" t="str">
        <f aca="false">IF($A141="","",IFERROR(INDEX(مخرج_الوصف,MATCH($A141,قائمة_المخرجات,0)),""))</f>
        <v/>
      </c>
      <c r="D141" s="20"/>
      <c r="E141" s="31"/>
      <c r="F141" s="22"/>
      <c r="G141" s="36" t="str">
        <f aca="false">IF(OR($A141="",$D141&lt;&gt;"تسليم",NOT(ISNUMBER($E141))),"",COUNTIFS($A$5:$A$1504,$A141,$D$5:$D$1504,"تسليم",$E$5:$E$1504,"&lt;"&amp;$E141)+1)</f>
        <v/>
      </c>
      <c r="H141" s="33" t="str">
        <f aca="false">IF($G141="","",_xlfn.MINIFS($E$5:$E$1504,$A$5:$A$1504,$A141,$D$5:$D$1504,"&lt;&gt;تسليم",$E$5:$E$1504,"&gt;="&amp;$E141))</f>
        <v/>
      </c>
      <c r="I141" s="33" t="str">
        <f aca="false">IF($G141="","",_xlfn.MINIFS($E$5:$E$1504,$A$5:$A$1504,$A141,$D$5:$D$1504,"تسليم",$E$5:$E$1504,"&gt;"&amp;$E141))</f>
        <v/>
      </c>
      <c r="J141" s="33" t="str">
        <f aca="false">IF($G141="","",IF(H141&gt;0,IF(I141&gt;0,MIN(H141,I141),H141),IF(I141&gt;0,I141,تاريخ_الاحتساب)))</f>
        <v/>
      </c>
      <c r="K141" s="34" t="str">
        <f aca="false">IF($G141="","",IF(AND(H141=0,I141=0),"جارية","مغلقة"))</f>
        <v/>
      </c>
      <c r="L141" s="26" t="str">
        <f aca="false">IF($G141="","",MAX(0,NETWORKDAYS.INTL($E141,J141,رمز_العطلة,أيام_الأجازات)-1))</f>
        <v/>
      </c>
      <c r="M141" s="26" t="str">
        <f aca="false">IF($G141="","",MAX(0,L141-مهلة_المراجعة))</f>
        <v/>
      </c>
      <c r="N141" s="30" t="str">
        <f aca="false">IF($A141="",IF(OR($D141&lt;&gt;"",$E141&lt;&gt;""),"رقم المخرج ناقص",""),IF(ISNA(MATCH($A141,قائمة_المخرجات,0)),"رقم مخرج غير موجود",IF($D141="","نوع الحركة ناقص",IF(NOT(ISNUMBER($E141)),"التاريخ ناقص",IF($E141&gt;تاريخ_الاحتساب,"تاريخ بعد تاريخ الاحتساب",IF(AND($D141&lt;&gt;"تسليم",COUNTIFS($A$5:$A$1504,$A141,$D$5:$D$1504,"تسليم",$E$5:$E$1504,"&lt;="&amp;$E141)=0),"لا يوجد تسليم قبل الحركة دي",""))))))</f>
        <v/>
      </c>
    </row>
    <row r="142" customFormat="false" ht="15" hidden="false" customHeight="false" outlineLevel="0" collapsed="false">
      <c r="A142" s="20"/>
      <c r="B142" s="35" t="str">
        <f aca="false">IF($A142="","",IFERROR(INDEX(مخرج_البند,MATCH($A142,قائمة_المخرجات,0)),""))</f>
        <v/>
      </c>
      <c r="C142" s="30" t="str">
        <f aca="false">IF($A142="","",IFERROR(INDEX(مخرج_الوصف,MATCH($A142,قائمة_المخرجات,0)),""))</f>
        <v/>
      </c>
      <c r="D142" s="20"/>
      <c r="E142" s="31"/>
      <c r="F142" s="22"/>
      <c r="G142" s="36" t="str">
        <f aca="false">IF(OR($A142="",$D142&lt;&gt;"تسليم",NOT(ISNUMBER($E142))),"",COUNTIFS($A$5:$A$1504,$A142,$D$5:$D$1504,"تسليم",$E$5:$E$1504,"&lt;"&amp;$E142)+1)</f>
        <v/>
      </c>
      <c r="H142" s="33" t="str">
        <f aca="false">IF($G142="","",_xlfn.MINIFS($E$5:$E$1504,$A$5:$A$1504,$A142,$D$5:$D$1504,"&lt;&gt;تسليم",$E$5:$E$1504,"&gt;="&amp;$E142))</f>
        <v/>
      </c>
      <c r="I142" s="33" t="str">
        <f aca="false">IF($G142="","",_xlfn.MINIFS($E$5:$E$1504,$A$5:$A$1504,$A142,$D$5:$D$1504,"تسليم",$E$5:$E$1504,"&gt;"&amp;$E142))</f>
        <v/>
      </c>
      <c r="J142" s="33" t="str">
        <f aca="false">IF($G142="","",IF(H142&gt;0,IF(I142&gt;0,MIN(H142,I142),H142),IF(I142&gt;0,I142,تاريخ_الاحتساب)))</f>
        <v/>
      </c>
      <c r="K142" s="34" t="str">
        <f aca="false">IF($G142="","",IF(AND(H142=0,I142=0),"جارية","مغلقة"))</f>
        <v/>
      </c>
      <c r="L142" s="26" t="str">
        <f aca="false">IF($G142="","",MAX(0,NETWORKDAYS.INTL($E142,J142,رمز_العطلة,أيام_الأجازات)-1))</f>
        <v/>
      </c>
      <c r="M142" s="26" t="str">
        <f aca="false">IF($G142="","",MAX(0,L142-مهلة_المراجعة))</f>
        <v/>
      </c>
      <c r="N142" s="30" t="str">
        <f aca="false">IF($A142="",IF(OR($D142&lt;&gt;"",$E142&lt;&gt;""),"رقم المخرج ناقص",""),IF(ISNA(MATCH($A142,قائمة_المخرجات,0)),"رقم مخرج غير موجود",IF($D142="","نوع الحركة ناقص",IF(NOT(ISNUMBER($E142)),"التاريخ ناقص",IF($E142&gt;تاريخ_الاحتساب,"تاريخ بعد تاريخ الاحتساب",IF(AND($D142&lt;&gt;"تسليم",COUNTIFS($A$5:$A$1504,$A142,$D$5:$D$1504,"تسليم",$E$5:$E$1504,"&lt;="&amp;$E142)=0),"لا يوجد تسليم قبل الحركة دي",""))))))</f>
        <v/>
      </c>
    </row>
    <row r="143" customFormat="false" ht="15" hidden="false" customHeight="false" outlineLevel="0" collapsed="false">
      <c r="A143" s="20"/>
      <c r="B143" s="35" t="str">
        <f aca="false">IF($A143="","",IFERROR(INDEX(مخرج_البند,MATCH($A143,قائمة_المخرجات,0)),""))</f>
        <v/>
      </c>
      <c r="C143" s="30" t="str">
        <f aca="false">IF($A143="","",IFERROR(INDEX(مخرج_الوصف,MATCH($A143,قائمة_المخرجات,0)),""))</f>
        <v/>
      </c>
      <c r="D143" s="20"/>
      <c r="E143" s="31"/>
      <c r="F143" s="22"/>
      <c r="G143" s="36" t="str">
        <f aca="false">IF(OR($A143="",$D143&lt;&gt;"تسليم",NOT(ISNUMBER($E143))),"",COUNTIFS($A$5:$A$1504,$A143,$D$5:$D$1504,"تسليم",$E$5:$E$1504,"&lt;"&amp;$E143)+1)</f>
        <v/>
      </c>
      <c r="H143" s="33" t="str">
        <f aca="false">IF($G143="","",_xlfn.MINIFS($E$5:$E$1504,$A$5:$A$1504,$A143,$D$5:$D$1504,"&lt;&gt;تسليم",$E$5:$E$1504,"&gt;="&amp;$E143))</f>
        <v/>
      </c>
      <c r="I143" s="33" t="str">
        <f aca="false">IF($G143="","",_xlfn.MINIFS($E$5:$E$1504,$A$5:$A$1504,$A143,$D$5:$D$1504,"تسليم",$E$5:$E$1504,"&gt;"&amp;$E143))</f>
        <v/>
      </c>
      <c r="J143" s="33" t="str">
        <f aca="false">IF($G143="","",IF(H143&gt;0,IF(I143&gt;0,MIN(H143,I143),H143),IF(I143&gt;0,I143,تاريخ_الاحتساب)))</f>
        <v/>
      </c>
      <c r="K143" s="34" t="str">
        <f aca="false">IF($G143="","",IF(AND(H143=0,I143=0),"جارية","مغلقة"))</f>
        <v/>
      </c>
      <c r="L143" s="26" t="str">
        <f aca="false">IF($G143="","",MAX(0,NETWORKDAYS.INTL($E143,J143,رمز_العطلة,أيام_الأجازات)-1))</f>
        <v/>
      </c>
      <c r="M143" s="26" t="str">
        <f aca="false">IF($G143="","",MAX(0,L143-مهلة_المراجعة))</f>
        <v/>
      </c>
      <c r="N143" s="30" t="str">
        <f aca="false">IF($A143="",IF(OR($D143&lt;&gt;"",$E143&lt;&gt;""),"رقم المخرج ناقص",""),IF(ISNA(MATCH($A143,قائمة_المخرجات,0)),"رقم مخرج غير موجود",IF($D143="","نوع الحركة ناقص",IF(NOT(ISNUMBER($E143)),"التاريخ ناقص",IF($E143&gt;تاريخ_الاحتساب,"تاريخ بعد تاريخ الاحتساب",IF(AND($D143&lt;&gt;"تسليم",COUNTIFS($A$5:$A$1504,$A143,$D$5:$D$1504,"تسليم",$E$5:$E$1504,"&lt;="&amp;$E143)=0),"لا يوجد تسليم قبل الحركة دي",""))))))</f>
        <v/>
      </c>
    </row>
    <row r="144" customFormat="false" ht="15" hidden="false" customHeight="false" outlineLevel="0" collapsed="false">
      <c r="A144" s="20"/>
      <c r="B144" s="35" t="str">
        <f aca="false">IF($A144="","",IFERROR(INDEX(مخرج_البند,MATCH($A144,قائمة_المخرجات,0)),""))</f>
        <v/>
      </c>
      <c r="C144" s="30" t="str">
        <f aca="false">IF($A144="","",IFERROR(INDEX(مخرج_الوصف,MATCH($A144,قائمة_المخرجات,0)),""))</f>
        <v/>
      </c>
      <c r="D144" s="20"/>
      <c r="E144" s="31"/>
      <c r="F144" s="22"/>
      <c r="G144" s="36" t="str">
        <f aca="false">IF(OR($A144="",$D144&lt;&gt;"تسليم",NOT(ISNUMBER($E144))),"",COUNTIFS($A$5:$A$1504,$A144,$D$5:$D$1504,"تسليم",$E$5:$E$1504,"&lt;"&amp;$E144)+1)</f>
        <v/>
      </c>
      <c r="H144" s="33" t="str">
        <f aca="false">IF($G144="","",_xlfn.MINIFS($E$5:$E$1504,$A$5:$A$1504,$A144,$D$5:$D$1504,"&lt;&gt;تسليم",$E$5:$E$1504,"&gt;="&amp;$E144))</f>
        <v/>
      </c>
      <c r="I144" s="33" t="str">
        <f aca="false">IF($G144="","",_xlfn.MINIFS($E$5:$E$1504,$A$5:$A$1504,$A144,$D$5:$D$1504,"تسليم",$E$5:$E$1504,"&gt;"&amp;$E144))</f>
        <v/>
      </c>
      <c r="J144" s="33" t="str">
        <f aca="false">IF($G144="","",IF(H144&gt;0,IF(I144&gt;0,MIN(H144,I144),H144),IF(I144&gt;0,I144,تاريخ_الاحتساب)))</f>
        <v/>
      </c>
      <c r="K144" s="34" t="str">
        <f aca="false">IF($G144="","",IF(AND(H144=0,I144=0),"جارية","مغلقة"))</f>
        <v/>
      </c>
      <c r="L144" s="26" t="str">
        <f aca="false">IF($G144="","",MAX(0,NETWORKDAYS.INTL($E144,J144,رمز_العطلة,أيام_الأجازات)-1))</f>
        <v/>
      </c>
      <c r="M144" s="26" t="str">
        <f aca="false">IF($G144="","",MAX(0,L144-مهلة_المراجعة))</f>
        <v/>
      </c>
      <c r="N144" s="30" t="str">
        <f aca="false">IF($A144="",IF(OR($D144&lt;&gt;"",$E144&lt;&gt;""),"رقم المخرج ناقص",""),IF(ISNA(MATCH($A144,قائمة_المخرجات,0)),"رقم مخرج غير موجود",IF($D144="","نوع الحركة ناقص",IF(NOT(ISNUMBER($E144)),"التاريخ ناقص",IF($E144&gt;تاريخ_الاحتساب,"تاريخ بعد تاريخ الاحتساب",IF(AND($D144&lt;&gt;"تسليم",COUNTIFS($A$5:$A$1504,$A144,$D$5:$D$1504,"تسليم",$E$5:$E$1504,"&lt;="&amp;$E144)=0),"لا يوجد تسليم قبل الحركة دي",""))))))</f>
        <v/>
      </c>
    </row>
    <row r="145" customFormat="false" ht="15" hidden="false" customHeight="false" outlineLevel="0" collapsed="false">
      <c r="A145" s="20"/>
      <c r="B145" s="35" t="str">
        <f aca="false">IF($A145="","",IFERROR(INDEX(مخرج_البند,MATCH($A145,قائمة_المخرجات,0)),""))</f>
        <v/>
      </c>
      <c r="C145" s="30" t="str">
        <f aca="false">IF($A145="","",IFERROR(INDEX(مخرج_الوصف,MATCH($A145,قائمة_المخرجات,0)),""))</f>
        <v/>
      </c>
      <c r="D145" s="20"/>
      <c r="E145" s="31"/>
      <c r="F145" s="22"/>
      <c r="G145" s="36" t="str">
        <f aca="false">IF(OR($A145="",$D145&lt;&gt;"تسليم",NOT(ISNUMBER($E145))),"",COUNTIFS($A$5:$A$1504,$A145,$D$5:$D$1504,"تسليم",$E$5:$E$1504,"&lt;"&amp;$E145)+1)</f>
        <v/>
      </c>
      <c r="H145" s="33" t="str">
        <f aca="false">IF($G145="","",_xlfn.MINIFS($E$5:$E$1504,$A$5:$A$1504,$A145,$D$5:$D$1504,"&lt;&gt;تسليم",$E$5:$E$1504,"&gt;="&amp;$E145))</f>
        <v/>
      </c>
      <c r="I145" s="33" t="str">
        <f aca="false">IF($G145="","",_xlfn.MINIFS($E$5:$E$1504,$A$5:$A$1504,$A145,$D$5:$D$1504,"تسليم",$E$5:$E$1504,"&gt;"&amp;$E145))</f>
        <v/>
      </c>
      <c r="J145" s="33" t="str">
        <f aca="false">IF($G145="","",IF(H145&gt;0,IF(I145&gt;0,MIN(H145,I145),H145),IF(I145&gt;0,I145,تاريخ_الاحتساب)))</f>
        <v/>
      </c>
      <c r="K145" s="34" t="str">
        <f aca="false">IF($G145="","",IF(AND(H145=0,I145=0),"جارية","مغلقة"))</f>
        <v/>
      </c>
      <c r="L145" s="26" t="str">
        <f aca="false">IF($G145="","",MAX(0,NETWORKDAYS.INTL($E145,J145,رمز_العطلة,أيام_الأجازات)-1))</f>
        <v/>
      </c>
      <c r="M145" s="26" t="str">
        <f aca="false">IF($G145="","",MAX(0,L145-مهلة_المراجعة))</f>
        <v/>
      </c>
      <c r="N145" s="30" t="str">
        <f aca="false">IF($A145="",IF(OR($D145&lt;&gt;"",$E145&lt;&gt;""),"رقم المخرج ناقص",""),IF(ISNA(MATCH($A145,قائمة_المخرجات,0)),"رقم مخرج غير موجود",IF($D145="","نوع الحركة ناقص",IF(NOT(ISNUMBER($E145)),"التاريخ ناقص",IF($E145&gt;تاريخ_الاحتساب,"تاريخ بعد تاريخ الاحتساب",IF(AND($D145&lt;&gt;"تسليم",COUNTIFS($A$5:$A$1504,$A145,$D$5:$D$1504,"تسليم",$E$5:$E$1504,"&lt;="&amp;$E145)=0),"لا يوجد تسليم قبل الحركة دي",""))))))</f>
        <v/>
      </c>
    </row>
    <row r="146" customFormat="false" ht="15" hidden="false" customHeight="false" outlineLevel="0" collapsed="false">
      <c r="A146" s="20"/>
      <c r="B146" s="35" t="str">
        <f aca="false">IF($A146="","",IFERROR(INDEX(مخرج_البند,MATCH($A146,قائمة_المخرجات,0)),""))</f>
        <v/>
      </c>
      <c r="C146" s="30" t="str">
        <f aca="false">IF($A146="","",IFERROR(INDEX(مخرج_الوصف,MATCH($A146,قائمة_المخرجات,0)),""))</f>
        <v/>
      </c>
      <c r="D146" s="20"/>
      <c r="E146" s="31"/>
      <c r="F146" s="22"/>
      <c r="G146" s="36" t="str">
        <f aca="false">IF(OR($A146="",$D146&lt;&gt;"تسليم",NOT(ISNUMBER($E146))),"",COUNTIFS($A$5:$A$1504,$A146,$D$5:$D$1504,"تسليم",$E$5:$E$1504,"&lt;"&amp;$E146)+1)</f>
        <v/>
      </c>
      <c r="H146" s="33" t="str">
        <f aca="false">IF($G146="","",_xlfn.MINIFS($E$5:$E$1504,$A$5:$A$1504,$A146,$D$5:$D$1504,"&lt;&gt;تسليم",$E$5:$E$1504,"&gt;="&amp;$E146))</f>
        <v/>
      </c>
      <c r="I146" s="33" t="str">
        <f aca="false">IF($G146="","",_xlfn.MINIFS($E$5:$E$1504,$A$5:$A$1504,$A146,$D$5:$D$1504,"تسليم",$E$5:$E$1504,"&gt;"&amp;$E146))</f>
        <v/>
      </c>
      <c r="J146" s="33" t="str">
        <f aca="false">IF($G146="","",IF(H146&gt;0,IF(I146&gt;0,MIN(H146,I146),H146),IF(I146&gt;0,I146,تاريخ_الاحتساب)))</f>
        <v/>
      </c>
      <c r="K146" s="34" t="str">
        <f aca="false">IF($G146="","",IF(AND(H146=0,I146=0),"جارية","مغلقة"))</f>
        <v/>
      </c>
      <c r="L146" s="26" t="str">
        <f aca="false">IF($G146="","",MAX(0,NETWORKDAYS.INTL($E146,J146,رمز_العطلة,أيام_الأجازات)-1))</f>
        <v/>
      </c>
      <c r="M146" s="26" t="str">
        <f aca="false">IF($G146="","",MAX(0,L146-مهلة_المراجعة))</f>
        <v/>
      </c>
      <c r="N146" s="30" t="str">
        <f aca="false">IF($A146="",IF(OR($D146&lt;&gt;"",$E146&lt;&gt;""),"رقم المخرج ناقص",""),IF(ISNA(MATCH($A146,قائمة_المخرجات,0)),"رقم مخرج غير موجود",IF($D146="","نوع الحركة ناقص",IF(NOT(ISNUMBER($E146)),"التاريخ ناقص",IF($E146&gt;تاريخ_الاحتساب,"تاريخ بعد تاريخ الاحتساب",IF(AND($D146&lt;&gt;"تسليم",COUNTIFS($A$5:$A$1504,$A146,$D$5:$D$1504,"تسليم",$E$5:$E$1504,"&lt;="&amp;$E146)=0),"لا يوجد تسليم قبل الحركة دي",""))))))</f>
        <v/>
      </c>
    </row>
    <row r="147" customFormat="false" ht="15" hidden="false" customHeight="false" outlineLevel="0" collapsed="false">
      <c r="A147" s="20"/>
      <c r="B147" s="35" t="str">
        <f aca="false">IF($A147="","",IFERROR(INDEX(مخرج_البند,MATCH($A147,قائمة_المخرجات,0)),""))</f>
        <v/>
      </c>
      <c r="C147" s="30" t="str">
        <f aca="false">IF($A147="","",IFERROR(INDEX(مخرج_الوصف,MATCH($A147,قائمة_المخرجات,0)),""))</f>
        <v/>
      </c>
      <c r="D147" s="20"/>
      <c r="E147" s="31"/>
      <c r="F147" s="22"/>
      <c r="G147" s="36" t="str">
        <f aca="false">IF(OR($A147="",$D147&lt;&gt;"تسليم",NOT(ISNUMBER($E147))),"",COUNTIFS($A$5:$A$1504,$A147,$D$5:$D$1504,"تسليم",$E$5:$E$1504,"&lt;"&amp;$E147)+1)</f>
        <v/>
      </c>
      <c r="H147" s="33" t="str">
        <f aca="false">IF($G147="","",_xlfn.MINIFS($E$5:$E$1504,$A$5:$A$1504,$A147,$D$5:$D$1504,"&lt;&gt;تسليم",$E$5:$E$1504,"&gt;="&amp;$E147))</f>
        <v/>
      </c>
      <c r="I147" s="33" t="str">
        <f aca="false">IF($G147="","",_xlfn.MINIFS($E$5:$E$1504,$A$5:$A$1504,$A147,$D$5:$D$1504,"تسليم",$E$5:$E$1504,"&gt;"&amp;$E147))</f>
        <v/>
      </c>
      <c r="J147" s="33" t="str">
        <f aca="false">IF($G147="","",IF(H147&gt;0,IF(I147&gt;0,MIN(H147,I147),H147),IF(I147&gt;0,I147,تاريخ_الاحتساب)))</f>
        <v/>
      </c>
      <c r="K147" s="34" t="str">
        <f aca="false">IF($G147="","",IF(AND(H147=0,I147=0),"جارية","مغلقة"))</f>
        <v/>
      </c>
      <c r="L147" s="26" t="str">
        <f aca="false">IF($G147="","",MAX(0,NETWORKDAYS.INTL($E147,J147,رمز_العطلة,أيام_الأجازات)-1))</f>
        <v/>
      </c>
      <c r="M147" s="26" t="str">
        <f aca="false">IF($G147="","",MAX(0,L147-مهلة_المراجعة))</f>
        <v/>
      </c>
      <c r="N147" s="30" t="str">
        <f aca="false">IF($A147="",IF(OR($D147&lt;&gt;"",$E147&lt;&gt;""),"رقم المخرج ناقص",""),IF(ISNA(MATCH($A147,قائمة_المخرجات,0)),"رقم مخرج غير موجود",IF($D147="","نوع الحركة ناقص",IF(NOT(ISNUMBER($E147)),"التاريخ ناقص",IF($E147&gt;تاريخ_الاحتساب,"تاريخ بعد تاريخ الاحتساب",IF(AND($D147&lt;&gt;"تسليم",COUNTIFS($A$5:$A$1504,$A147,$D$5:$D$1504,"تسليم",$E$5:$E$1504,"&lt;="&amp;$E147)=0),"لا يوجد تسليم قبل الحركة دي",""))))))</f>
        <v/>
      </c>
    </row>
    <row r="148" customFormat="false" ht="15" hidden="false" customHeight="false" outlineLevel="0" collapsed="false">
      <c r="A148" s="20"/>
      <c r="B148" s="35" t="str">
        <f aca="false">IF($A148="","",IFERROR(INDEX(مخرج_البند,MATCH($A148,قائمة_المخرجات,0)),""))</f>
        <v/>
      </c>
      <c r="C148" s="30" t="str">
        <f aca="false">IF($A148="","",IFERROR(INDEX(مخرج_الوصف,MATCH($A148,قائمة_المخرجات,0)),""))</f>
        <v/>
      </c>
      <c r="D148" s="20"/>
      <c r="E148" s="31"/>
      <c r="F148" s="22"/>
      <c r="G148" s="36" t="str">
        <f aca="false">IF(OR($A148="",$D148&lt;&gt;"تسليم",NOT(ISNUMBER($E148))),"",COUNTIFS($A$5:$A$1504,$A148,$D$5:$D$1504,"تسليم",$E$5:$E$1504,"&lt;"&amp;$E148)+1)</f>
        <v/>
      </c>
      <c r="H148" s="33" t="str">
        <f aca="false">IF($G148="","",_xlfn.MINIFS($E$5:$E$1504,$A$5:$A$1504,$A148,$D$5:$D$1504,"&lt;&gt;تسليم",$E$5:$E$1504,"&gt;="&amp;$E148))</f>
        <v/>
      </c>
      <c r="I148" s="33" t="str">
        <f aca="false">IF($G148="","",_xlfn.MINIFS($E$5:$E$1504,$A$5:$A$1504,$A148,$D$5:$D$1504,"تسليم",$E$5:$E$1504,"&gt;"&amp;$E148))</f>
        <v/>
      </c>
      <c r="J148" s="33" t="str">
        <f aca="false">IF($G148="","",IF(H148&gt;0,IF(I148&gt;0,MIN(H148,I148),H148),IF(I148&gt;0,I148,تاريخ_الاحتساب)))</f>
        <v/>
      </c>
      <c r="K148" s="34" t="str">
        <f aca="false">IF($G148="","",IF(AND(H148=0,I148=0),"جارية","مغلقة"))</f>
        <v/>
      </c>
      <c r="L148" s="26" t="str">
        <f aca="false">IF($G148="","",MAX(0,NETWORKDAYS.INTL($E148,J148,رمز_العطلة,أيام_الأجازات)-1))</f>
        <v/>
      </c>
      <c r="M148" s="26" t="str">
        <f aca="false">IF($G148="","",MAX(0,L148-مهلة_المراجعة))</f>
        <v/>
      </c>
      <c r="N148" s="30" t="str">
        <f aca="false">IF($A148="",IF(OR($D148&lt;&gt;"",$E148&lt;&gt;""),"رقم المخرج ناقص",""),IF(ISNA(MATCH($A148,قائمة_المخرجات,0)),"رقم مخرج غير موجود",IF($D148="","نوع الحركة ناقص",IF(NOT(ISNUMBER($E148)),"التاريخ ناقص",IF($E148&gt;تاريخ_الاحتساب,"تاريخ بعد تاريخ الاحتساب",IF(AND($D148&lt;&gt;"تسليم",COUNTIFS($A$5:$A$1504,$A148,$D$5:$D$1504,"تسليم",$E$5:$E$1504,"&lt;="&amp;$E148)=0),"لا يوجد تسليم قبل الحركة دي",""))))))</f>
        <v/>
      </c>
    </row>
    <row r="149" customFormat="false" ht="15" hidden="false" customHeight="false" outlineLevel="0" collapsed="false">
      <c r="A149" s="20"/>
      <c r="B149" s="35" t="str">
        <f aca="false">IF($A149="","",IFERROR(INDEX(مخرج_البند,MATCH($A149,قائمة_المخرجات,0)),""))</f>
        <v/>
      </c>
      <c r="C149" s="30" t="str">
        <f aca="false">IF($A149="","",IFERROR(INDEX(مخرج_الوصف,MATCH($A149,قائمة_المخرجات,0)),""))</f>
        <v/>
      </c>
      <c r="D149" s="20"/>
      <c r="E149" s="31"/>
      <c r="F149" s="22"/>
      <c r="G149" s="36" t="str">
        <f aca="false">IF(OR($A149="",$D149&lt;&gt;"تسليم",NOT(ISNUMBER($E149))),"",COUNTIFS($A$5:$A$1504,$A149,$D$5:$D$1504,"تسليم",$E$5:$E$1504,"&lt;"&amp;$E149)+1)</f>
        <v/>
      </c>
      <c r="H149" s="33" t="str">
        <f aca="false">IF($G149="","",_xlfn.MINIFS($E$5:$E$1504,$A$5:$A$1504,$A149,$D$5:$D$1504,"&lt;&gt;تسليم",$E$5:$E$1504,"&gt;="&amp;$E149))</f>
        <v/>
      </c>
      <c r="I149" s="33" t="str">
        <f aca="false">IF($G149="","",_xlfn.MINIFS($E$5:$E$1504,$A$5:$A$1504,$A149,$D$5:$D$1504,"تسليم",$E$5:$E$1504,"&gt;"&amp;$E149))</f>
        <v/>
      </c>
      <c r="J149" s="33" t="str">
        <f aca="false">IF($G149="","",IF(H149&gt;0,IF(I149&gt;0,MIN(H149,I149),H149),IF(I149&gt;0,I149,تاريخ_الاحتساب)))</f>
        <v/>
      </c>
      <c r="K149" s="34" t="str">
        <f aca="false">IF($G149="","",IF(AND(H149=0,I149=0),"جارية","مغلقة"))</f>
        <v/>
      </c>
      <c r="L149" s="26" t="str">
        <f aca="false">IF($G149="","",MAX(0,NETWORKDAYS.INTL($E149,J149,رمز_العطلة,أيام_الأجازات)-1))</f>
        <v/>
      </c>
      <c r="M149" s="26" t="str">
        <f aca="false">IF($G149="","",MAX(0,L149-مهلة_المراجعة))</f>
        <v/>
      </c>
      <c r="N149" s="30" t="str">
        <f aca="false">IF($A149="",IF(OR($D149&lt;&gt;"",$E149&lt;&gt;""),"رقم المخرج ناقص",""),IF(ISNA(MATCH($A149,قائمة_المخرجات,0)),"رقم مخرج غير موجود",IF($D149="","نوع الحركة ناقص",IF(NOT(ISNUMBER($E149)),"التاريخ ناقص",IF($E149&gt;تاريخ_الاحتساب,"تاريخ بعد تاريخ الاحتساب",IF(AND($D149&lt;&gt;"تسليم",COUNTIFS($A$5:$A$1504,$A149,$D$5:$D$1504,"تسليم",$E$5:$E$1504,"&lt;="&amp;$E149)=0),"لا يوجد تسليم قبل الحركة دي",""))))))</f>
        <v/>
      </c>
    </row>
    <row r="150" customFormat="false" ht="15" hidden="false" customHeight="false" outlineLevel="0" collapsed="false">
      <c r="A150" s="20"/>
      <c r="B150" s="35" t="str">
        <f aca="false">IF($A150="","",IFERROR(INDEX(مخرج_البند,MATCH($A150,قائمة_المخرجات,0)),""))</f>
        <v/>
      </c>
      <c r="C150" s="30" t="str">
        <f aca="false">IF($A150="","",IFERROR(INDEX(مخرج_الوصف,MATCH($A150,قائمة_المخرجات,0)),""))</f>
        <v/>
      </c>
      <c r="D150" s="20"/>
      <c r="E150" s="31"/>
      <c r="F150" s="22"/>
      <c r="G150" s="36" t="str">
        <f aca="false">IF(OR($A150="",$D150&lt;&gt;"تسليم",NOT(ISNUMBER($E150))),"",COUNTIFS($A$5:$A$1504,$A150,$D$5:$D$1504,"تسليم",$E$5:$E$1504,"&lt;"&amp;$E150)+1)</f>
        <v/>
      </c>
      <c r="H150" s="33" t="str">
        <f aca="false">IF($G150="","",_xlfn.MINIFS($E$5:$E$1504,$A$5:$A$1504,$A150,$D$5:$D$1504,"&lt;&gt;تسليم",$E$5:$E$1504,"&gt;="&amp;$E150))</f>
        <v/>
      </c>
      <c r="I150" s="33" t="str">
        <f aca="false">IF($G150="","",_xlfn.MINIFS($E$5:$E$1504,$A$5:$A$1504,$A150,$D$5:$D$1504,"تسليم",$E$5:$E$1504,"&gt;"&amp;$E150))</f>
        <v/>
      </c>
      <c r="J150" s="33" t="str">
        <f aca="false">IF($G150="","",IF(H150&gt;0,IF(I150&gt;0,MIN(H150,I150),H150),IF(I150&gt;0,I150,تاريخ_الاحتساب)))</f>
        <v/>
      </c>
      <c r="K150" s="34" t="str">
        <f aca="false">IF($G150="","",IF(AND(H150=0,I150=0),"جارية","مغلقة"))</f>
        <v/>
      </c>
      <c r="L150" s="26" t="str">
        <f aca="false">IF($G150="","",MAX(0,NETWORKDAYS.INTL($E150,J150,رمز_العطلة,أيام_الأجازات)-1))</f>
        <v/>
      </c>
      <c r="M150" s="26" t="str">
        <f aca="false">IF($G150="","",MAX(0,L150-مهلة_المراجعة))</f>
        <v/>
      </c>
      <c r="N150" s="30" t="str">
        <f aca="false">IF($A150="",IF(OR($D150&lt;&gt;"",$E150&lt;&gt;""),"رقم المخرج ناقص",""),IF(ISNA(MATCH($A150,قائمة_المخرجات,0)),"رقم مخرج غير موجود",IF($D150="","نوع الحركة ناقص",IF(NOT(ISNUMBER($E150)),"التاريخ ناقص",IF($E150&gt;تاريخ_الاحتساب,"تاريخ بعد تاريخ الاحتساب",IF(AND($D150&lt;&gt;"تسليم",COUNTIFS($A$5:$A$1504,$A150,$D$5:$D$1504,"تسليم",$E$5:$E$1504,"&lt;="&amp;$E150)=0),"لا يوجد تسليم قبل الحركة دي",""))))))</f>
        <v/>
      </c>
    </row>
    <row r="151" customFormat="false" ht="15" hidden="false" customHeight="false" outlineLevel="0" collapsed="false">
      <c r="A151" s="20"/>
      <c r="B151" s="35" t="str">
        <f aca="false">IF($A151="","",IFERROR(INDEX(مخرج_البند,MATCH($A151,قائمة_المخرجات,0)),""))</f>
        <v/>
      </c>
      <c r="C151" s="30" t="str">
        <f aca="false">IF($A151="","",IFERROR(INDEX(مخرج_الوصف,MATCH($A151,قائمة_المخرجات,0)),""))</f>
        <v/>
      </c>
      <c r="D151" s="20"/>
      <c r="E151" s="31"/>
      <c r="F151" s="22"/>
      <c r="G151" s="36" t="str">
        <f aca="false">IF(OR($A151="",$D151&lt;&gt;"تسليم",NOT(ISNUMBER($E151))),"",COUNTIFS($A$5:$A$1504,$A151,$D$5:$D$1504,"تسليم",$E$5:$E$1504,"&lt;"&amp;$E151)+1)</f>
        <v/>
      </c>
      <c r="H151" s="33" t="str">
        <f aca="false">IF($G151="","",_xlfn.MINIFS($E$5:$E$1504,$A$5:$A$1504,$A151,$D$5:$D$1504,"&lt;&gt;تسليم",$E$5:$E$1504,"&gt;="&amp;$E151))</f>
        <v/>
      </c>
      <c r="I151" s="33" t="str">
        <f aca="false">IF($G151="","",_xlfn.MINIFS($E$5:$E$1504,$A$5:$A$1504,$A151,$D$5:$D$1504,"تسليم",$E$5:$E$1504,"&gt;"&amp;$E151))</f>
        <v/>
      </c>
      <c r="J151" s="33" t="str">
        <f aca="false">IF($G151="","",IF(H151&gt;0,IF(I151&gt;0,MIN(H151,I151),H151),IF(I151&gt;0,I151,تاريخ_الاحتساب)))</f>
        <v/>
      </c>
      <c r="K151" s="34" t="str">
        <f aca="false">IF($G151="","",IF(AND(H151=0,I151=0),"جارية","مغلقة"))</f>
        <v/>
      </c>
      <c r="L151" s="26" t="str">
        <f aca="false">IF($G151="","",MAX(0,NETWORKDAYS.INTL($E151,J151,رمز_العطلة,أيام_الأجازات)-1))</f>
        <v/>
      </c>
      <c r="M151" s="26" t="str">
        <f aca="false">IF($G151="","",MAX(0,L151-مهلة_المراجعة))</f>
        <v/>
      </c>
      <c r="N151" s="30" t="str">
        <f aca="false">IF($A151="",IF(OR($D151&lt;&gt;"",$E151&lt;&gt;""),"رقم المخرج ناقص",""),IF(ISNA(MATCH($A151,قائمة_المخرجات,0)),"رقم مخرج غير موجود",IF($D151="","نوع الحركة ناقص",IF(NOT(ISNUMBER($E151)),"التاريخ ناقص",IF($E151&gt;تاريخ_الاحتساب,"تاريخ بعد تاريخ الاحتساب",IF(AND($D151&lt;&gt;"تسليم",COUNTIFS($A$5:$A$1504,$A151,$D$5:$D$1504,"تسليم",$E$5:$E$1504,"&lt;="&amp;$E151)=0),"لا يوجد تسليم قبل الحركة دي",""))))))</f>
        <v/>
      </c>
    </row>
    <row r="152" customFormat="false" ht="15" hidden="false" customHeight="false" outlineLevel="0" collapsed="false">
      <c r="A152" s="20"/>
      <c r="B152" s="35" t="str">
        <f aca="false">IF($A152="","",IFERROR(INDEX(مخرج_البند,MATCH($A152,قائمة_المخرجات,0)),""))</f>
        <v/>
      </c>
      <c r="C152" s="30" t="str">
        <f aca="false">IF($A152="","",IFERROR(INDEX(مخرج_الوصف,MATCH($A152,قائمة_المخرجات,0)),""))</f>
        <v/>
      </c>
      <c r="D152" s="20"/>
      <c r="E152" s="31"/>
      <c r="F152" s="22"/>
      <c r="G152" s="36" t="str">
        <f aca="false">IF(OR($A152="",$D152&lt;&gt;"تسليم",NOT(ISNUMBER($E152))),"",COUNTIFS($A$5:$A$1504,$A152,$D$5:$D$1504,"تسليم",$E$5:$E$1504,"&lt;"&amp;$E152)+1)</f>
        <v/>
      </c>
      <c r="H152" s="33" t="str">
        <f aca="false">IF($G152="","",_xlfn.MINIFS($E$5:$E$1504,$A$5:$A$1504,$A152,$D$5:$D$1504,"&lt;&gt;تسليم",$E$5:$E$1504,"&gt;="&amp;$E152))</f>
        <v/>
      </c>
      <c r="I152" s="33" t="str">
        <f aca="false">IF($G152="","",_xlfn.MINIFS($E$5:$E$1504,$A$5:$A$1504,$A152,$D$5:$D$1504,"تسليم",$E$5:$E$1504,"&gt;"&amp;$E152))</f>
        <v/>
      </c>
      <c r="J152" s="33" t="str">
        <f aca="false">IF($G152="","",IF(H152&gt;0,IF(I152&gt;0,MIN(H152,I152),H152),IF(I152&gt;0,I152,تاريخ_الاحتساب)))</f>
        <v/>
      </c>
      <c r="K152" s="34" t="str">
        <f aca="false">IF($G152="","",IF(AND(H152=0,I152=0),"جارية","مغلقة"))</f>
        <v/>
      </c>
      <c r="L152" s="26" t="str">
        <f aca="false">IF($G152="","",MAX(0,NETWORKDAYS.INTL($E152,J152,رمز_العطلة,أيام_الأجازات)-1))</f>
        <v/>
      </c>
      <c r="M152" s="26" t="str">
        <f aca="false">IF($G152="","",MAX(0,L152-مهلة_المراجعة))</f>
        <v/>
      </c>
      <c r="N152" s="30" t="str">
        <f aca="false">IF($A152="",IF(OR($D152&lt;&gt;"",$E152&lt;&gt;""),"رقم المخرج ناقص",""),IF(ISNA(MATCH($A152,قائمة_المخرجات,0)),"رقم مخرج غير موجود",IF($D152="","نوع الحركة ناقص",IF(NOT(ISNUMBER($E152)),"التاريخ ناقص",IF($E152&gt;تاريخ_الاحتساب,"تاريخ بعد تاريخ الاحتساب",IF(AND($D152&lt;&gt;"تسليم",COUNTIFS($A$5:$A$1504,$A152,$D$5:$D$1504,"تسليم",$E$5:$E$1504,"&lt;="&amp;$E152)=0),"لا يوجد تسليم قبل الحركة دي",""))))))</f>
        <v/>
      </c>
    </row>
    <row r="153" customFormat="false" ht="15" hidden="false" customHeight="false" outlineLevel="0" collapsed="false">
      <c r="A153" s="20"/>
      <c r="B153" s="35" t="str">
        <f aca="false">IF($A153="","",IFERROR(INDEX(مخرج_البند,MATCH($A153,قائمة_المخرجات,0)),""))</f>
        <v/>
      </c>
      <c r="C153" s="30" t="str">
        <f aca="false">IF($A153="","",IFERROR(INDEX(مخرج_الوصف,MATCH($A153,قائمة_المخرجات,0)),""))</f>
        <v/>
      </c>
      <c r="D153" s="20"/>
      <c r="E153" s="31"/>
      <c r="F153" s="22"/>
      <c r="G153" s="36" t="str">
        <f aca="false">IF(OR($A153="",$D153&lt;&gt;"تسليم",NOT(ISNUMBER($E153))),"",COUNTIFS($A$5:$A$1504,$A153,$D$5:$D$1504,"تسليم",$E$5:$E$1504,"&lt;"&amp;$E153)+1)</f>
        <v/>
      </c>
      <c r="H153" s="33" t="str">
        <f aca="false">IF($G153="","",_xlfn.MINIFS($E$5:$E$1504,$A$5:$A$1504,$A153,$D$5:$D$1504,"&lt;&gt;تسليم",$E$5:$E$1504,"&gt;="&amp;$E153))</f>
        <v/>
      </c>
      <c r="I153" s="33" t="str">
        <f aca="false">IF($G153="","",_xlfn.MINIFS($E$5:$E$1504,$A$5:$A$1504,$A153,$D$5:$D$1504,"تسليم",$E$5:$E$1504,"&gt;"&amp;$E153))</f>
        <v/>
      </c>
      <c r="J153" s="33" t="str">
        <f aca="false">IF($G153="","",IF(H153&gt;0,IF(I153&gt;0,MIN(H153,I153),H153),IF(I153&gt;0,I153,تاريخ_الاحتساب)))</f>
        <v/>
      </c>
      <c r="K153" s="34" t="str">
        <f aca="false">IF($G153="","",IF(AND(H153=0,I153=0),"جارية","مغلقة"))</f>
        <v/>
      </c>
      <c r="L153" s="26" t="str">
        <f aca="false">IF($G153="","",MAX(0,NETWORKDAYS.INTL($E153,J153,رمز_العطلة,أيام_الأجازات)-1))</f>
        <v/>
      </c>
      <c r="M153" s="26" t="str">
        <f aca="false">IF($G153="","",MAX(0,L153-مهلة_المراجعة))</f>
        <v/>
      </c>
      <c r="N153" s="30" t="str">
        <f aca="false">IF($A153="",IF(OR($D153&lt;&gt;"",$E153&lt;&gt;""),"رقم المخرج ناقص",""),IF(ISNA(MATCH($A153,قائمة_المخرجات,0)),"رقم مخرج غير موجود",IF($D153="","نوع الحركة ناقص",IF(NOT(ISNUMBER($E153)),"التاريخ ناقص",IF($E153&gt;تاريخ_الاحتساب,"تاريخ بعد تاريخ الاحتساب",IF(AND($D153&lt;&gt;"تسليم",COUNTIFS($A$5:$A$1504,$A153,$D$5:$D$1504,"تسليم",$E$5:$E$1504,"&lt;="&amp;$E153)=0),"لا يوجد تسليم قبل الحركة دي",""))))))</f>
        <v/>
      </c>
    </row>
    <row r="154" customFormat="false" ht="15" hidden="false" customHeight="false" outlineLevel="0" collapsed="false">
      <c r="A154" s="20"/>
      <c r="B154" s="35" t="str">
        <f aca="false">IF($A154="","",IFERROR(INDEX(مخرج_البند,MATCH($A154,قائمة_المخرجات,0)),""))</f>
        <v/>
      </c>
      <c r="C154" s="30" t="str">
        <f aca="false">IF($A154="","",IFERROR(INDEX(مخرج_الوصف,MATCH($A154,قائمة_المخرجات,0)),""))</f>
        <v/>
      </c>
      <c r="D154" s="20"/>
      <c r="E154" s="31"/>
      <c r="F154" s="22"/>
      <c r="G154" s="36" t="str">
        <f aca="false">IF(OR($A154="",$D154&lt;&gt;"تسليم",NOT(ISNUMBER($E154))),"",COUNTIFS($A$5:$A$1504,$A154,$D$5:$D$1504,"تسليم",$E$5:$E$1504,"&lt;"&amp;$E154)+1)</f>
        <v/>
      </c>
      <c r="H154" s="33" t="str">
        <f aca="false">IF($G154="","",_xlfn.MINIFS($E$5:$E$1504,$A$5:$A$1504,$A154,$D$5:$D$1504,"&lt;&gt;تسليم",$E$5:$E$1504,"&gt;="&amp;$E154))</f>
        <v/>
      </c>
      <c r="I154" s="33" t="str">
        <f aca="false">IF($G154="","",_xlfn.MINIFS($E$5:$E$1504,$A$5:$A$1504,$A154,$D$5:$D$1504,"تسليم",$E$5:$E$1504,"&gt;"&amp;$E154))</f>
        <v/>
      </c>
      <c r="J154" s="33" t="str">
        <f aca="false">IF($G154="","",IF(H154&gt;0,IF(I154&gt;0,MIN(H154,I154),H154),IF(I154&gt;0,I154,تاريخ_الاحتساب)))</f>
        <v/>
      </c>
      <c r="K154" s="34" t="str">
        <f aca="false">IF($G154="","",IF(AND(H154=0,I154=0),"جارية","مغلقة"))</f>
        <v/>
      </c>
      <c r="L154" s="26" t="str">
        <f aca="false">IF($G154="","",MAX(0,NETWORKDAYS.INTL($E154,J154,رمز_العطلة,أيام_الأجازات)-1))</f>
        <v/>
      </c>
      <c r="M154" s="26" t="str">
        <f aca="false">IF($G154="","",MAX(0,L154-مهلة_المراجعة))</f>
        <v/>
      </c>
      <c r="N154" s="30" t="str">
        <f aca="false">IF($A154="",IF(OR($D154&lt;&gt;"",$E154&lt;&gt;""),"رقم المخرج ناقص",""),IF(ISNA(MATCH($A154,قائمة_المخرجات,0)),"رقم مخرج غير موجود",IF($D154="","نوع الحركة ناقص",IF(NOT(ISNUMBER($E154)),"التاريخ ناقص",IF($E154&gt;تاريخ_الاحتساب,"تاريخ بعد تاريخ الاحتساب",IF(AND($D154&lt;&gt;"تسليم",COUNTIFS($A$5:$A$1504,$A154,$D$5:$D$1504,"تسليم",$E$5:$E$1504,"&lt;="&amp;$E154)=0),"لا يوجد تسليم قبل الحركة دي",""))))))</f>
        <v/>
      </c>
    </row>
    <row r="155" customFormat="false" ht="15" hidden="false" customHeight="false" outlineLevel="0" collapsed="false">
      <c r="A155" s="20"/>
      <c r="B155" s="35" t="str">
        <f aca="false">IF($A155="","",IFERROR(INDEX(مخرج_البند,MATCH($A155,قائمة_المخرجات,0)),""))</f>
        <v/>
      </c>
      <c r="C155" s="30" t="str">
        <f aca="false">IF($A155="","",IFERROR(INDEX(مخرج_الوصف,MATCH($A155,قائمة_المخرجات,0)),""))</f>
        <v/>
      </c>
      <c r="D155" s="20"/>
      <c r="E155" s="31"/>
      <c r="F155" s="22"/>
      <c r="G155" s="36" t="str">
        <f aca="false">IF(OR($A155="",$D155&lt;&gt;"تسليم",NOT(ISNUMBER($E155))),"",COUNTIFS($A$5:$A$1504,$A155,$D$5:$D$1504,"تسليم",$E$5:$E$1504,"&lt;"&amp;$E155)+1)</f>
        <v/>
      </c>
      <c r="H155" s="33" t="str">
        <f aca="false">IF($G155="","",_xlfn.MINIFS($E$5:$E$1504,$A$5:$A$1504,$A155,$D$5:$D$1504,"&lt;&gt;تسليم",$E$5:$E$1504,"&gt;="&amp;$E155))</f>
        <v/>
      </c>
      <c r="I155" s="33" t="str">
        <f aca="false">IF($G155="","",_xlfn.MINIFS($E$5:$E$1504,$A$5:$A$1504,$A155,$D$5:$D$1504,"تسليم",$E$5:$E$1504,"&gt;"&amp;$E155))</f>
        <v/>
      </c>
      <c r="J155" s="33" t="str">
        <f aca="false">IF($G155="","",IF(H155&gt;0,IF(I155&gt;0,MIN(H155,I155),H155),IF(I155&gt;0,I155,تاريخ_الاحتساب)))</f>
        <v/>
      </c>
      <c r="K155" s="34" t="str">
        <f aca="false">IF($G155="","",IF(AND(H155=0,I155=0),"جارية","مغلقة"))</f>
        <v/>
      </c>
      <c r="L155" s="26" t="str">
        <f aca="false">IF($G155="","",MAX(0,NETWORKDAYS.INTL($E155,J155,رمز_العطلة,أيام_الأجازات)-1))</f>
        <v/>
      </c>
      <c r="M155" s="26" t="str">
        <f aca="false">IF($G155="","",MAX(0,L155-مهلة_المراجعة))</f>
        <v/>
      </c>
      <c r="N155" s="30" t="str">
        <f aca="false">IF($A155="",IF(OR($D155&lt;&gt;"",$E155&lt;&gt;""),"رقم المخرج ناقص",""),IF(ISNA(MATCH($A155,قائمة_المخرجات,0)),"رقم مخرج غير موجود",IF($D155="","نوع الحركة ناقص",IF(NOT(ISNUMBER($E155)),"التاريخ ناقص",IF($E155&gt;تاريخ_الاحتساب,"تاريخ بعد تاريخ الاحتساب",IF(AND($D155&lt;&gt;"تسليم",COUNTIFS($A$5:$A$1504,$A155,$D$5:$D$1504,"تسليم",$E$5:$E$1504,"&lt;="&amp;$E155)=0),"لا يوجد تسليم قبل الحركة دي",""))))))</f>
        <v/>
      </c>
    </row>
    <row r="156" customFormat="false" ht="15" hidden="false" customHeight="false" outlineLevel="0" collapsed="false">
      <c r="A156" s="20"/>
      <c r="B156" s="35" t="str">
        <f aca="false">IF($A156="","",IFERROR(INDEX(مخرج_البند,MATCH($A156,قائمة_المخرجات,0)),""))</f>
        <v/>
      </c>
      <c r="C156" s="30" t="str">
        <f aca="false">IF($A156="","",IFERROR(INDEX(مخرج_الوصف,MATCH($A156,قائمة_المخرجات,0)),""))</f>
        <v/>
      </c>
      <c r="D156" s="20"/>
      <c r="E156" s="31"/>
      <c r="F156" s="22"/>
      <c r="G156" s="36" t="str">
        <f aca="false">IF(OR($A156="",$D156&lt;&gt;"تسليم",NOT(ISNUMBER($E156))),"",COUNTIFS($A$5:$A$1504,$A156,$D$5:$D$1504,"تسليم",$E$5:$E$1504,"&lt;"&amp;$E156)+1)</f>
        <v/>
      </c>
      <c r="H156" s="33" t="str">
        <f aca="false">IF($G156="","",_xlfn.MINIFS($E$5:$E$1504,$A$5:$A$1504,$A156,$D$5:$D$1504,"&lt;&gt;تسليم",$E$5:$E$1504,"&gt;="&amp;$E156))</f>
        <v/>
      </c>
      <c r="I156" s="33" t="str">
        <f aca="false">IF($G156="","",_xlfn.MINIFS($E$5:$E$1504,$A$5:$A$1504,$A156,$D$5:$D$1504,"تسليم",$E$5:$E$1504,"&gt;"&amp;$E156))</f>
        <v/>
      </c>
      <c r="J156" s="33" t="str">
        <f aca="false">IF($G156="","",IF(H156&gt;0,IF(I156&gt;0,MIN(H156,I156),H156),IF(I156&gt;0,I156,تاريخ_الاحتساب)))</f>
        <v/>
      </c>
      <c r="K156" s="34" t="str">
        <f aca="false">IF($G156="","",IF(AND(H156=0,I156=0),"جارية","مغلقة"))</f>
        <v/>
      </c>
      <c r="L156" s="26" t="str">
        <f aca="false">IF($G156="","",MAX(0,NETWORKDAYS.INTL($E156,J156,رمز_العطلة,أيام_الأجازات)-1))</f>
        <v/>
      </c>
      <c r="M156" s="26" t="str">
        <f aca="false">IF($G156="","",MAX(0,L156-مهلة_المراجعة))</f>
        <v/>
      </c>
      <c r="N156" s="30" t="str">
        <f aca="false">IF($A156="",IF(OR($D156&lt;&gt;"",$E156&lt;&gt;""),"رقم المخرج ناقص",""),IF(ISNA(MATCH($A156,قائمة_المخرجات,0)),"رقم مخرج غير موجود",IF($D156="","نوع الحركة ناقص",IF(NOT(ISNUMBER($E156)),"التاريخ ناقص",IF($E156&gt;تاريخ_الاحتساب,"تاريخ بعد تاريخ الاحتساب",IF(AND($D156&lt;&gt;"تسليم",COUNTIFS($A$5:$A$1504,$A156,$D$5:$D$1504,"تسليم",$E$5:$E$1504,"&lt;="&amp;$E156)=0),"لا يوجد تسليم قبل الحركة دي",""))))))</f>
        <v/>
      </c>
    </row>
    <row r="157" customFormat="false" ht="15" hidden="false" customHeight="false" outlineLevel="0" collapsed="false">
      <c r="A157" s="20"/>
      <c r="B157" s="35" t="str">
        <f aca="false">IF($A157="","",IFERROR(INDEX(مخرج_البند,MATCH($A157,قائمة_المخرجات,0)),""))</f>
        <v/>
      </c>
      <c r="C157" s="30" t="str">
        <f aca="false">IF($A157="","",IFERROR(INDEX(مخرج_الوصف,MATCH($A157,قائمة_المخرجات,0)),""))</f>
        <v/>
      </c>
      <c r="D157" s="20"/>
      <c r="E157" s="31"/>
      <c r="F157" s="22"/>
      <c r="G157" s="36" t="str">
        <f aca="false">IF(OR($A157="",$D157&lt;&gt;"تسليم",NOT(ISNUMBER($E157))),"",COUNTIFS($A$5:$A$1504,$A157,$D$5:$D$1504,"تسليم",$E$5:$E$1504,"&lt;"&amp;$E157)+1)</f>
        <v/>
      </c>
      <c r="H157" s="33" t="str">
        <f aca="false">IF($G157="","",_xlfn.MINIFS($E$5:$E$1504,$A$5:$A$1504,$A157,$D$5:$D$1504,"&lt;&gt;تسليم",$E$5:$E$1504,"&gt;="&amp;$E157))</f>
        <v/>
      </c>
      <c r="I157" s="33" t="str">
        <f aca="false">IF($G157="","",_xlfn.MINIFS($E$5:$E$1504,$A$5:$A$1504,$A157,$D$5:$D$1504,"تسليم",$E$5:$E$1504,"&gt;"&amp;$E157))</f>
        <v/>
      </c>
      <c r="J157" s="33" t="str">
        <f aca="false">IF($G157="","",IF(H157&gt;0,IF(I157&gt;0,MIN(H157,I157),H157),IF(I157&gt;0,I157,تاريخ_الاحتساب)))</f>
        <v/>
      </c>
      <c r="K157" s="34" t="str">
        <f aca="false">IF($G157="","",IF(AND(H157=0,I157=0),"جارية","مغلقة"))</f>
        <v/>
      </c>
      <c r="L157" s="26" t="str">
        <f aca="false">IF($G157="","",MAX(0,NETWORKDAYS.INTL($E157,J157,رمز_العطلة,أيام_الأجازات)-1))</f>
        <v/>
      </c>
      <c r="M157" s="26" t="str">
        <f aca="false">IF($G157="","",MAX(0,L157-مهلة_المراجعة))</f>
        <v/>
      </c>
      <c r="N157" s="30" t="str">
        <f aca="false">IF($A157="",IF(OR($D157&lt;&gt;"",$E157&lt;&gt;""),"رقم المخرج ناقص",""),IF(ISNA(MATCH($A157,قائمة_المخرجات,0)),"رقم مخرج غير موجود",IF($D157="","نوع الحركة ناقص",IF(NOT(ISNUMBER($E157)),"التاريخ ناقص",IF($E157&gt;تاريخ_الاحتساب,"تاريخ بعد تاريخ الاحتساب",IF(AND($D157&lt;&gt;"تسليم",COUNTIFS($A$5:$A$1504,$A157,$D$5:$D$1504,"تسليم",$E$5:$E$1504,"&lt;="&amp;$E157)=0),"لا يوجد تسليم قبل الحركة دي",""))))))</f>
        <v/>
      </c>
    </row>
    <row r="158" customFormat="false" ht="15" hidden="false" customHeight="false" outlineLevel="0" collapsed="false">
      <c r="A158" s="20"/>
      <c r="B158" s="35" t="str">
        <f aca="false">IF($A158="","",IFERROR(INDEX(مخرج_البند,MATCH($A158,قائمة_المخرجات,0)),""))</f>
        <v/>
      </c>
      <c r="C158" s="30" t="str">
        <f aca="false">IF($A158="","",IFERROR(INDEX(مخرج_الوصف,MATCH($A158,قائمة_المخرجات,0)),""))</f>
        <v/>
      </c>
      <c r="D158" s="20"/>
      <c r="E158" s="31"/>
      <c r="F158" s="22"/>
      <c r="G158" s="36" t="str">
        <f aca="false">IF(OR($A158="",$D158&lt;&gt;"تسليم",NOT(ISNUMBER($E158))),"",COUNTIFS($A$5:$A$1504,$A158,$D$5:$D$1504,"تسليم",$E$5:$E$1504,"&lt;"&amp;$E158)+1)</f>
        <v/>
      </c>
      <c r="H158" s="33" t="str">
        <f aca="false">IF($G158="","",_xlfn.MINIFS($E$5:$E$1504,$A$5:$A$1504,$A158,$D$5:$D$1504,"&lt;&gt;تسليم",$E$5:$E$1504,"&gt;="&amp;$E158))</f>
        <v/>
      </c>
      <c r="I158" s="33" t="str">
        <f aca="false">IF($G158="","",_xlfn.MINIFS($E$5:$E$1504,$A$5:$A$1504,$A158,$D$5:$D$1504,"تسليم",$E$5:$E$1504,"&gt;"&amp;$E158))</f>
        <v/>
      </c>
      <c r="J158" s="33" t="str">
        <f aca="false">IF($G158="","",IF(H158&gt;0,IF(I158&gt;0,MIN(H158,I158),H158),IF(I158&gt;0,I158,تاريخ_الاحتساب)))</f>
        <v/>
      </c>
      <c r="K158" s="34" t="str">
        <f aca="false">IF($G158="","",IF(AND(H158=0,I158=0),"جارية","مغلقة"))</f>
        <v/>
      </c>
      <c r="L158" s="26" t="str">
        <f aca="false">IF($G158="","",MAX(0,NETWORKDAYS.INTL($E158,J158,رمز_العطلة,أيام_الأجازات)-1))</f>
        <v/>
      </c>
      <c r="M158" s="26" t="str">
        <f aca="false">IF($G158="","",MAX(0,L158-مهلة_المراجعة))</f>
        <v/>
      </c>
      <c r="N158" s="30" t="str">
        <f aca="false">IF($A158="",IF(OR($D158&lt;&gt;"",$E158&lt;&gt;""),"رقم المخرج ناقص",""),IF(ISNA(MATCH($A158,قائمة_المخرجات,0)),"رقم مخرج غير موجود",IF($D158="","نوع الحركة ناقص",IF(NOT(ISNUMBER($E158)),"التاريخ ناقص",IF($E158&gt;تاريخ_الاحتساب,"تاريخ بعد تاريخ الاحتساب",IF(AND($D158&lt;&gt;"تسليم",COUNTIFS($A$5:$A$1504,$A158,$D$5:$D$1504,"تسليم",$E$5:$E$1504,"&lt;="&amp;$E158)=0),"لا يوجد تسليم قبل الحركة دي",""))))))</f>
        <v/>
      </c>
    </row>
    <row r="159" customFormat="false" ht="15" hidden="false" customHeight="false" outlineLevel="0" collapsed="false">
      <c r="A159" s="20"/>
      <c r="B159" s="35" t="str">
        <f aca="false">IF($A159="","",IFERROR(INDEX(مخرج_البند,MATCH($A159,قائمة_المخرجات,0)),""))</f>
        <v/>
      </c>
      <c r="C159" s="30" t="str">
        <f aca="false">IF($A159="","",IFERROR(INDEX(مخرج_الوصف,MATCH($A159,قائمة_المخرجات,0)),""))</f>
        <v/>
      </c>
      <c r="D159" s="20"/>
      <c r="E159" s="31"/>
      <c r="F159" s="22"/>
      <c r="G159" s="36" t="str">
        <f aca="false">IF(OR($A159="",$D159&lt;&gt;"تسليم",NOT(ISNUMBER($E159))),"",COUNTIFS($A$5:$A$1504,$A159,$D$5:$D$1504,"تسليم",$E$5:$E$1504,"&lt;"&amp;$E159)+1)</f>
        <v/>
      </c>
      <c r="H159" s="33" t="str">
        <f aca="false">IF($G159="","",_xlfn.MINIFS($E$5:$E$1504,$A$5:$A$1504,$A159,$D$5:$D$1504,"&lt;&gt;تسليم",$E$5:$E$1504,"&gt;="&amp;$E159))</f>
        <v/>
      </c>
      <c r="I159" s="33" t="str">
        <f aca="false">IF($G159="","",_xlfn.MINIFS($E$5:$E$1504,$A$5:$A$1504,$A159,$D$5:$D$1504,"تسليم",$E$5:$E$1504,"&gt;"&amp;$E159))</f>
        <v/>
      </c>
      <c r="J159" s="33" t="str">
        <f aca="false">IF($G159="","",IF(H159&gt;0,IF(I159&gt;0,MIN(H159,I159),H159),IF(I159&gt;0,I159,تاريخ_الاحتساب)))</f>
        <v/>
      </c>
      <c r="K159" s="34" t="str">
        <f aca="false">IF($G159="","",IF(AND(H159=0,I159=0),"جارية","مغلقة"))</f>
        <v/>
      </c>
      <c r="L159" s="26" t="str">
        <f aca="false">IF($G159="","",MAX(0,NETWORKDAYS.INTL($E159,J159,رمز_العطلة,أيام_الأجازات)-1))</f>
        <v/>
      </c>
      <c r="M159" s="26" t="str">
        <f aca="false">IF($G159="","",MAX(0,L159-مهلة_المراجعة))</f>
        <v/>
      </c>
      <c r="N159" s="30" t="str">
        <f aca="false">IF($A159="",IF(OR($D159&lt;&gt;"",$E159&lt;&gt;""),"رقم المخرج ناقص",""),IF(ISNA(MATCH($A159,قائمة_المخرجات,0)),"رقم مخرج غير موجود",IF($D159="","نوع الحركة ناقص",IF(NOT(ISNUMBER($E159)),"التاريخ ناقص",IF($E159&gt;تاريخ_الاحتساب,"تاريخ بعد تاريخ الاحتساب",IF(AND($D159&lt;&gt;"تسليم",COUNTIFS($A$5:$A$1504,$A159,$D$5:$D$1504,"تسليم",$E$5:$E$1504,"&lt;="&amp;$E159)=0),"لا يوجد تسليم قبل الحركة دي",""))))))</f>
        <v/>
      </c>
    </row>
    <row r="160" customFormat="false" ht="15" hidden="false" customHeight="false" outlineLevel="0" collapsed="false">
      <c r="A160" s="20"/>
      <c r="B160" s="35" t="str">
        <f aca="false">IF($A160="","",IFERROR(INDEX(مخرج_البند,MATCH($A160,قائمة_المخرجات,0)),""))</f>
        <v/>
      </c>
      <c r="C160" s="30" t="str">
        <f aca="false">IF($A160="","",IFERROR(INDEX(مخرج_الوصف,MATCH($A160,قائمة_المخرجات,0)),""))</f>
        <v/>
      </c>
      <c r="D160" s="20"/>
      <c r="E160" s="31"/>
      <c r="F160" s="22"/>
      <c r="G160" s="36" t="str">
        <f aca="false">IF(OR($A160="",$D160&lt;&gt;"تسليم",NOT(ISNUMBER($E160))),"",COUNTIFS($A$5:$A$1504,$A160,$D$5:$D$1504,"تسليم",$E$5:$E$1504,"&lt;"&amp;$E160)+1)</f>
        <v/>
      </c>
      <c r="H160" s="33" t="str">
        <f aca="false">IF($G160="","",_xlfn.MINIFS($E$5:$E$1504,$A$5:$A$1504,$A160,$D$5:$D$1504,"&lt;&gt;تسليم",$E$5:$E$1504,"&gt;="&amp;$E160))</f>
        <v/>
      </c>
      <c r="I160" s="33" t="str">
        <f aca="false">IF($G160="","",_xlfn.MINIFS($E$5:$E$1504,$A$5:$A$1504,$A160,$D$5:$D$1504,"تسليم",$E$5:$E$1504,"&gt;"&amp;$E160))</f>
        <v/>
      </c>
      <c r="J160" s="33" t="str">
        <f aca="false">IF($G160="","",IF(H160&gt;0,IF(I160&gt;0,MIN(H160,I160),H160),IF(I160&gt;0,I160,تاريخ_الاحتساب)))</f>
        <v/>
      </c>
      <c r="K160" s="34" t="str">
        <f aca="false">IF($G160="","",IF(AND(H160=0,I160=0),"جارية","مغلقة"))</f>
        <v/>
      </c>
      <c r="L160" s="26" t="str">
        <f aca="false">IF($G160="","",MAX(0,NETWORKDAYS.INTL($E160,J160,رمز_العطلة,أيام_الأجازات)-1))</f>
        <v/>
      </c>
      <c r="M160" s="26" t="str">
        <f aca="false">IF($G160="","",MAX(0,L160-مهلة_المراجعة))</f>
        <v/>
      </c>
      <c r="N160" s="30" t="str">
        <f aca="false">IF($A160="",IF(OR($D160&lt;&gt;"",$E160&lt;&gt;""),"رقم المخرج ناقص",""),IF(ISNA(MATCH($A160,قائمة_المخرجات,0)),"رقم مخرج غير موجود",IF($D160="","نوع الحركة ناقص",IF(NOT(ISNUMBER($E160)),"التاريخ ناقص",IF($E160&gt;تاريخ_الاحتساب,"تاريخ بعد تاريخ الاحتساب",IF(AND($D160&lt;&gt;"تسليم",COUNTIFS($A$5:$A$1504,$A160,$D$5:$D$1504,"تسليم",$E$5:$E$1504,"&lt;="&amp;$E160)=0),"لا يوجد تسليم قبل الحركة دي",""))))))</f>
        <v/>
      </c>
    </row>
    <row r="161" customFormat="false" ht="15" hidden="false" customHeight="false" outlineLevel="0" collapsed="false">
      <c r="A161" s="20"/>
      <c r="B161" s="35" t="str">
        <f aca="false">IF($A161="","",IFERROR(INDEX(مخرج_البند,MATCH($A161,قائمة_المخرجات,0)),""))</f>
        <v/>
      </c>
      <c r="C161" s="30" t="str">
        <f aca="false">IF($A161="","",IFERROR(INDEX(مخرج_الوصف,MATCH($A161,قائمة_المخرجات,0)),""))</f>
        <v/>
      </c>
      <c r="D161" s="20"/>
      <c r="E161" s="31"/>
      <c r="F161" s="22"/>
      <c r="G161" s="36" t="str">
        <f aca="false">IF(OR($A161="",$D161&lt;&gt;"تسليم",NOT(ISNUMBER($E161))),"",COUNTIFS($A$5:$A$1504,$A161,$D$5:$D$1504,"تسليم",$E$5:$E$1504,"&lt;"&amp;$E161)+1)</f>
        <v/>
      </c>
      <c r="H161" s="33" t="str">
        <f aca="false">IF($G161="","",_xlfn.MINIFS($E$5:$E$1504,$A$5:$A$1504,$A161,$D$5:$D$1504,"&lt;&gt;تسليم",$E$5:$E$1504,"&gt;="&amp;$E161))</f>
        <v/>
      </c>
      <c r="I161" s="33" t="str">
        <f aca="false">IF($G161="","",_xlfn.MINIFS($E$5:$E$1504,$A$5:$A$1504,$A161,$D$5:$D$1504,"تسليم",$E$5:$E$1504,"&gt;"&amp;$E161))</f>
        <v/>
      </c>
      <c r="J161" s="33" t="str">
        <f aca="false">IF($G161="","",IF(H161&gt;0,IF(I161&gt;0,MIN(H161,I161),H161),IF(I161&gt;0,I161,تاريخ_الاحتساب)))</f>
        <v/>
      </c>
      <c r="K161" s="34" t="str">
        <f aca="false">IF($G161="","",IF(AND(H161=0,I161=0),"جارية","مغلقة"))</f>
        <v/>
      </c>
      <c r="L161" s="26" t="str">
        <f aca="false">IF($G161="","",MAX(0,NETWORKDAYS.INTL($E161,J161,رمز_العطلة,أيام_الأجازات)-1))</f>
        <v/>
      </c>
      <c r="M161" s="26" t="str">
        <f aca="false">IF($G161="","",MAX(0,L161-مهلة_المراجعة))</f>
        <v/>
      </c>
      <c r="N161" s="30" t="str">
        <f aca="false">IF($A161="",IF(OR($D161&lt;&gt;"",$E161&lt;&gt;""),"رقم المخرج ناقص",""),IF(ISNA(MATCH($A161,قائمة_المخرجات,0)),"رقم مخرج غير موجود",IF($D161="","نوع الحركة ناقص",IF(NOT(ISNUMBER($E161)),"التاريخ ناقص",IF($E161&gt;تاريخ_الاحتساب,"تاريخ بعد تاريخ الاحتساب",IF(AND($D161&lt;&gt;"تسليم",COUNTIFS($A$5:$A$1504,$A161,$D$5:$D$1504,"تسليم",$E$5:$E$1504,"&lt;="&amp;$E161)=0),"لا يوجد تسليم قبل الحركة دي",""))))))</f>
        <v/>
      </c>
    </row>
    <row r="162" customFormat="false" ht="15" hidden="false" customHeight="false" outlineLevel="0" collapsed="false">
      <c r="A162" s="20"/>
      <c r="B162" s="35" t="str">
        <f aca="false">IF($A162="","",IFERROR(INDEX(مخرج_البند,MATCH($A162,قائمة_المخرجات,0)),""))</f>
        <v/>
      </c>
      <c r="C162" s="30" t="str">
        <f aca="false">IF($A162="","",IFERROR(INDEX(مخرج_الوصف,MATCH($A162,قائمة_المخرجات,0)),""))</f>
        <v/>
      </c>
      <c r="D162" s="20"/>
      <c r="E162" s="31"/>
      <c r="F162" s="22"/>
      <c r="G162" s="36" t="str">
        <f aca="false">IF(OR($A162="",$D162&lt;&gt;"تسليم",NOT(ISNUMBER($E162))),"",COUNTIFS($A$5:$A$1504,$A162,$D$5:$D$1504,"تسليم",$E$5:$E$1504,"&lt;"&amp;$E162)+1)</f>
        <v/>
      </c>
      <c r="H162" s="33" t="str">
        <f aca="false">IF($G162="","",_xlfn.MINIFS($E$5:$E$1504,$A$5:$A$1504,$A162,$D$5:$D$1504,"&lt;&gt;تسليم",$E$5:$E$1504,"&gt;="&amp;$E162))</f>
        <v/>
      </c>
      <c r="I162" s="33" t="str">
        <f aca="false">IF($G162="","",_xlfn.MINIFS($E$5:$E$1504,$A$5:$A$1504,$A162,$D$5:$D$1504,"تسليم",$E$5:$E$1504,"&gt;"&amp;$E162))</f>
        <v/>
      </c>
      <c r="J162" s="33" t="str">
        <f aca="false">IF($G162="","",IF(H162&gt;0,IF(I162&gt;0,MIN(H162,I162),H162),IF(I162&gt;0,I162,تاريخ_الاحتساب)))</f>
        <v/>
      </c>
      <c r="K162" s="34" t="str">
        <f aca="false">IF($G162="","",IF(AND(H162=0,I162=0),"جارية","مغلقة"))</f>
        <v/>
      </c>
      <c r="L162" s="26" t="str">
        <f aca="false">IF($G162="","",MAX(0,NETWORKDAYS.INTL($E162,J162,رمز_العطلة,أيام_الأجازات)-1))</f>
        <v/>
      </c>
      <c r="M162" s="26" t="str">
        <f aca="false">IF($G162="","",MAX(0,L162-مهلة_المراجعة))</f>
        <v/>
      </c>
      <c r="N162" s="30" t="str">
        <f aca="false">IF($A162="",IF(OR($D162&lt;&gt;"",$E162&lt;&gt;""),"رقم المخرج ناقص",""),IF(ISNA(MATCH($A162,قائمة_المخرجات,0)),"رقم مخرج غير موجود",IF($D162="","نوع الحركة ناقص",IF(NOT(ISNUMBER($E162)),"التاريخ ناقص",IF($E162&gt;تاريخ_الاحتساب,"تاريخ بعد تاريخ الاحتساب",IF(AND($D162&lt;&gt;"تسليم",COUNTIFS($A$5:$A$1504,$A162,$D$5:$D$1504,"تسليم",$E$5:$E$1504,"&lt;="&amp;$E162)=0),"لا يوجد تسليم قبل الحركة دي",""))))))</f>
        <v/>
      </c>
    </row>
    <row r="163" customFormat="false" ht="15" hidden="false" customHeight="false" outlineLevel="0" collapsed="false">
      <c r="A163" s="20"/>
      <c r="B163" s="35" t="str">
        <f aca="false">IF($A163="","",IFERROR(INDEX(مخرج_البند,MATCH($A163,قائمة_المخرجات,0)),""))</f>
        <v/>
      </c>
      <c r="C163" s="30" t="str">
        <f aca="false">IF($A163="","",IFERROR(INDEX(مخرج_الوصف,MATCH($A163,قائمة_المخرجات,0)),""))</f>
        <v/>
      </c>
      <c r="D163" s="20"/>
      <c r="E163" s="31"/>
      <c r="F163" s="22"/>
      <c r="G163" s="36" t="str">
        <f aca="false">IF(OR($A163="",$D163&lt;&gt;"تسليم",NOT(ISNUMBER($E163))),"",COUNTIFS($A$5:$A$1504,$A163,$D$5:$D$1504,"تسليم",$E$5:$E$1504,"&lt;"&amp;$E163)+1)</f>
        <v/>
      </c>
      <c r="H163" s="33" t="str">
        <f aca="false">IF($G163="","",_xlfn.MINIFS($E$5:$E$1504,$A$5:$A$1504,$A163,$D$5:$D$1504,"&lt;&gt;تسليم",$E$5:$E$1504,"&gt;="&amp;$E163))</f>
        <v/>
      </c>
      <c r="I163" s="33" t="str">
        <f aca="false">IF($G163="","",_xlfn.MINIFS($E$5:$E$1504,$A$5:$A$1504,$A163,$D$5:$D$1504,"تسليم",$E$5:$E$1504,"&gt;"&amp;$E163))</f>
        <v/>
      </c>
      <c r="J163" s="33" t="str">
        <f aca="false">IF($G163="","",IF(H163&gt;0,IF(I163&gt;0,MIN(H163,I163),H163),IF(I163&gt;0,I163,تاريخ_الاحتساب)))</f>
        <v/>
      </c>
      <c r="K163" s="34" t="str">
        <f aca="false">IF($G163="","",IF(AND(H163=0,I163=0),"جارية","مغلقة"))</f>
        <v/>
      </c>
      <c r="L163" s="26" t="str">
        <f aca="false">IF($G163="","",MAX(0,NETWORKDAYS.INTL($E163,J163,رمز_العطلة,أيام_الأجازات)-1))</f>
        <v/>
      </c>
      <c r="M163" s="26" t="str">
        <f aca="false">IF($G163="","",MAX(0,L163-مهلة_المراجعة))</f>
        <v/>
      </c>
      <c r="N163" s="30" t="str">
        <f aca="false">IF($A163="",IF(OR($D163&lt;&gt;"",$E163&lt;&gt;""),"رقم المخرج ناقص",""),IF(ISNA(MATCH($A163,قائمة_المخرجات,0)),"رقم مخرج غير موجود",IF($D163="","نوع الحركة ناقص",IF(NOT(ISNUMBER($E163)),"التاريخ ناقص",IF($E163&gt;تاريخ_الاحتساب,"تاريخ بعد تاريخ الاحتساب",IF(AND($D163&lt;&gt;"تسليم",COUNTIFS($A$5:$A$1504,$A163,$D$5:$D$1504,"تسليم",$E$5:$E$1504,"&lt;="&amp;$E163)=0),"لا يوجد تسليم قبل الحركة دي",""))))))</f>
        <v/>
      </c>
    </row>
    <row r="164" customFormat="false" ht="15" hidden="false" customHeight="false" outlineLevel="0" collapsed="false">
      <c r="A164" s="20"/>
      <c r="B164" s="35" t="str">
        <f aca="false">IF($A164="","",IFERROR(INDEX(مخرج_البند,MATCH($A164,قائمة_المخرجات,0)),""))</f>
        <v/>
      </c>
      <c r="C164" s="30" t="str">
        <f aca="false">IF($A164="","",IFERROR(INDEX(مخرج_الوصف,MATCH($A164,قائمة_المخرجات,0)),""))</f>
        <v/>
      </c>
      <c r="D164" s="20"/>
      <c r="E164" s="31"/>
      <c r="F164" s="22"/>
      <c r="G164" s="36" t="str">
        <f aca="false">IF(OR($A164="",$D164&lt;&gt;"تسليم",NOT(ISNUMBER($E164))),"",COUNTIFS($A$5:$A$1504,$A164,$D$5:$D$1504,"تسليم",$E$5:$E$1504,"&lt;"&amp;$E164)+1)</f>
        <v/>
      </c>
      <c r="H164" s="33" t="str">
        <f aca="false">IF($G164="","",_xlfn.MINIFS($E$5:$E$1504,$A$5:$A$1504,$A164,$D$5:$D$1504,"&lt;&gt;تسليم",$E$5:$E$1504,"&gt;="&amp;$E164))</f>
        <v/>
      </c>
      <c r="I164" s="33" t="str">
        <f aca="false">IF($G164="","",_xlfn.MINIFS($E$5:$E$1504,$A$5:$A$1504,$A164,$D$5:$D$1504,"تسليم",$E$5:$E$1504,"&gt;"&amp;$E164))</f>
        <v/>
      </c>
      <c r="J164" s="33" t="str">
        <f aca="false">IF($G164="","",IF(H164&gt;0,IF(I164&gt;0,MIN(H164,I164),H164),IF(I164&gt;0,I164,تاريخ_الاحتساب)))</f>
        <v/>
      </c>
      <c r="K164" s="34" t="str">
        <f aca="false">IF($G164="","",IF(AND(H164=0,I164=0),"جارية","مغلقة"))</f>
        <v/>
      </c>
      <c r="L164" s="26" t="str">
        <f aca="false">IF($G164="","",MAX(0,NETWORKDAYS.INTL($E164,J164,رمز_العطلة,أيام_الأجازات)-1))</f>
        <v/>
      </c>
      <c r="M164" s="26" t="str">
        <f aca="false">IF($G164="","",MAX(0,L164-مهلة_المراجعة))</f>
        <v/>
      </c>
      <c r="N164" s="30" t="str">
        <f aca="false">IF($A164="",IF(OR($D164&lt;&gt;"",$E164&lt;&gt;""),"رقم المخرج ناقص",""),IF(ISNA(MATCH($A164,قائمة_المخرجات,0)),"رقم مخرج غير موجود",IF($D164="","نوع الحركة ناقص",IF(NOT(ISNUMBER($E164)),"التاريخ ناقص",IF($E164&gt;تاريخ_الاحتساب,"تاريخ بعد تاريخ الاحتساب",IF(AND($D164&lt;&gt;"تسليم",COUNTIFS($A$5:$A$1504,$A164,$D$5:$D$1504,"تسليم",$E$5:$E$1504,"&lt;="&amp;$E164)=0),"لا يوجد تسليم قبل الحركة دي",""))))))</f>
        <v/>
      </c>
    </row>
    <row r="165" customFormat="false" ht="15" hidden="false" customHeight="false" outlineLevel="0" collapsed="false">
      <c r="A165" s="20"/>
      <c r="B165" s="35" t="str">
        <f aca="false">IF($A165="","",IFERROR(INDEX(مخرج_البند,MATCH($A165,قائمة_المخرجات,0)),""))</f>
        <v/>
      </c>
      <c r="C165" s="30" t="str">
        <f aca="false">IF($A165="","",IFERROR(INDEX(مخرج_الوصف,MATCH($A165,قائمة_المخرجات,0)),""))</f>
        <v/>
      </c>
      <c r="D165" s="20"/>
      <c r="E165" s="31"/>
      <c r="F165" s="22"/>
      <c r="G165" s="36" t="str">
        <f aca="false">IF(OR($A165="",$D165&lt;&gt;"تسليم",NOT(ISNUMBER($E165))),"",COUNTIFS($A$5:$A$1504,$A165,$D$5:$D$1504,"تسليم",$E$5:$E$1504,"&lt;"&amp;$E165)+1)</f>
        <v/>
      </c>
      <c r="H165" s="33" t="str">
        <f aca="false">IF($G165="","",_xlfn.MINIFS($E$5:$E$1504,$A$5:$A$1504,$A165,$D$5:$D$1504,"&lt;&gt;تسليم",$E$5:$E$1504,"&gt;="&amp;$E165))</f>
        <v/>
      </c>
      <c r="I165" s="33" t="str">
        <f aca="false">IF($G165="","",_xlfn.MINIFS($E$5:$E$1504,$A$5:$A$1504,$A165,$D$5:$D$1504,"تسليم",$E$5:$E$1504,"&gt;"&amp;$E165))</f>
        <v/>
      </c>
      <c r="J165" s="33" t="str">
        <f aca="false">IF($G165="","",IF(H165&gt;0,IF(I165&gt;0,MIN(H165,I165),H165),IF(I165&gt;0,I165,تاريخ_الاحتساب)))</f>
        <v/>
      </c>
      <c r="K165" s="34" t="str">
        <f aca="false">IF($G165="","",IF(AND(H165=0,I165=0),"جارية","مغلقة"))</f>
        <v/>
      </c>
      <c r="L165" s="26" t="str">
        <f aca="false">IF($G165="","",MAX(0,NETWORKDAYS.INTL($E165,J165,رمز_العطلة,أيام_الأجازات)-1))</f>
        <v/>
      </c>
      <c r="M165" s="26" t="str">
        <f aca="false">IF($G165="","",MAX(0,L165-مهلة_المراجعة))</f>
        <v/>
      </c>
      <c r="N165" s="30" t="str">
        <f aca="false">IF($A165="",IF(OR($D165&lt;&gt;"",$E165&lt;&gt;""),"رقم المخرج ناقص",""),IF(ISNA(MATCH($A165,قائمة_المخرجات,0)),"رقم مخرج غير موجود",IF($D165="","نوع الحركة ناقص",IF(NOT(ISNUMBER($E165)),"التاريخ ناقص",IF($E165&gt;تاريخ_الاحتساب,"تاريخ بعد تاريخ الاحتساب",IF(AND($D165&lt;&gt;"تسليم",COUNTIFS($A$5:$A$1504,$A165,$D$5:$D$1504,"تسليم",$E$5:$E$1504,"&lt;="&amp;$E165)=0),"لا يوجد تسليم قبل الحركة دي",""))))))</f>
        <v/>
      </c>
    </row>
    <row r="166" customFormat="false" ht="15" hidden="false" customHeight="false" outlineLevel="0" collapsed="false">
      <c r="A166" s="20"/>
      <c r="B166" s="35" t="str">
        <f aca="false">IF($A166="","",IFERROR(INDEX(مخرج_البند,MATCH($A166,قائمة_المخرجات,0)),""))</f>
        <v/>
      </c>
      <c r="C166" s="30" t="str">
        <f aca="false">IF($A166="","",IFERROR(INDEX(مخرج_الوصف,MATCH($A166,قائمة_المخرجات,0)),""))</f>
        <v/>
      </c>
      <c r="D166" s="20"/>
      <c r="E166" s="31"/>
      <c r="F166" s="22"/>
      <c r="G166" s="36" t="str">
        <f aca="false">IF(OR($A166="",$D166&lt;&gt;"تسليم",NOT(ISNUMBER($E166))),"",COUNTIFS($A$5:$A$1504,$A166,$D$5:$D$1504,"تسليم",$E$5:$E$1504,"&lt;"&amp;$E166)+1)</f>
        <v/>
      </c>
      <c r="H166" s="33" t="str">
        <f aca="false">IF($G166="","",_xlfn.MINIFS($E$5:$E$1504,$A$5:$A$1504,$A166,$D$5:$D$1504,"&lt;&gt;تسليم",$E$5:$E$1504,"&gt;="&amp;$E166))</f>
        <v/>
      </c>
      <c r="I166" s="33" t="str">
        <f aca="false">IF($G166="","",_xlfn.MINIFS($E$5:$E$1504,$A$5:$A$1504,$A166,$D$5:$D$1504,"تسليم",$E$5:$E$1504,"&gt;"&amp;$E166))</f>
        <v/>
      </c>
      <c r="J166" s="33" t="str">
        <f aca="false">IF($G166="","",IF(H166&gt;0,IF(I166&gt;0,MIN(H166,I166),H166),IF(I166&gt;0,I166,تاريخ_الاحتساب)))</f>
        <v/>
      </c>
      <c r="K166" s="34" t="str">
        <f aca="false">IF($G166="","",IF(AND(H166=0,I166=0),"جارية","مغلقة"))</f>
        <v/>
      </c>
      <c r="L166" s="26" t="str">
        <f aca="false">IF($G166="","",MAX(0,NETWORKDAYS.INTL($E166,J166,رمز_العطلة,أيام_الأجازات)-1))</f>
        <v/>
      </c>
      <c r="M166" s="26" t="str">
        <f aca="false">IF($G166="","",MAX(0,L166-مهلة_المراجعة))</f>
        <v/>
      </c>
      <c r="N166" s="30" t="str">
        <f aca="false">IF($A166="",IF(OR($D166&lt;&gt;"",$E166&lt;&gt;""),"رقم المخرج ناقص",""),IF(ISNA(MATCH($A166,قائمة_المخرجات,0)),"رقم مخرج غير موجود",IF($D166="","نوع الحركة ناقص",IF(NOT(ISNUMBER($E166)),"التاريخ ناقص",IF($E166&gt;تاريخ_الاحتساب,"تاريخ بعد تاريخ الاحتساب",IF(AND($D166&lt;&gt;"تسليم",COUNTIFS($A$5:$A$1504,$A166,$D$5:$D$1504,"تسليم",$E$5:$E$1504,"&lt;="&amp;$E166)=0),"لا يوجد تسليم قبل الحركة دي",""))))))</f>
        <v/>
      </c>
    </row>
    <row r="167" customFormat="false" ht="15" hidden="false" customHeight="false" outlineLevel="0" collapsed="false">
      <c r="A167" s="20"/>
      <c r="B167" s="35" t="str">
        <f aca="false">IF($A167="","",IFERROR(INDEX(مخرج_البند,MATCH($A167,قائمة_المخرجات,0)),""))</f>
        <v/>
      </c>
      <c r="C167" s="30" t="str">
        <f aca="false">IF($A167="","",IFERROR(INDEX(مخرج_الوصف,MATCH($A167,قائمة_المخرجات,0)),""))</f>
        <v/>
      </c>
      <c r="D167" s="20"/>
      <c r="E167" s="31"/>
      <c r="F167" s="22"/>
      <c r="G167" s="36" t="str">
        <f aca="false">IF(OR($A167="",$D167&lt;&gt;"تسليم",NOT(ISNUMBER($E167))),"",COUNTIFS($A$5:$A$1504,$A167,$D$5:$D$1504,"تسليم",$E$5:$E$1504,"&lt;"&amp;$E167)+1)</f>
        <v/>
      </c>
      <c r="H167" s="33" t="str">
        <f aca="false">IF($G167="","",_xlfn.MINIFS($E$5:$E$1504,$A$5:$A$1504,$A167,$D$5:$D$1504,"&lt;&gt;تسليم",$E$5:$E$1504,"&gt;="&amp;$E167))</f>
        <v/>
      </c>
      <c r="I167" s="33" t="str">
        <f aca="false">IF($G167="","",_xlfn.MINIFS($E$5:$E$1504,$A$5:$A$1504,$A167,$D$5:$D$1504,"تسليم",$E$5:$E$1504,"&gt;"&amp;$E167))</f>
        <v/>
      </c>
      <c r="J167" s="33" t="str">
        <f aca="false">IF($G167="","",IF(H167&gt;0,IF(I167&gt;0,MIN(H167,I167),H167),IF(I167&gt;0,I167,تاريخ_الاحتساب)))</f>
        <v/>
      </c>
      <c r="K167" s="34" t="str">
        <f aca="false">IF($G167="","",IF(AND(H167=0,I167=0),"جارية","مغلقة"))</f>
        <v/>
      </c>
      <c r="L167" s="26" t="str">
        <f aca="false">IF($G167="","",MAX(0,NETWORKDAYS.INTL($E167,J167,رمز_العطلة,أيام_الأجازات)-1))</f>
        <v/>
      </c>
      <c r="M167" s="26" t="str">
        <f aca="false">IF($G167="","",MAX(0,L167-مهلة_المراجعة))</f>
        <v/>
      </c>
      <c r="N167" s="30" t="str">
        <f aca="false">IF($A167="",IF(OR($D167&lt;&gt;"",$E167&lt;&gt;""),"رقم المخرج ناقص",""),IF(ISNA(MATCH($A167,قائمة_المخرجات,0)),"رقم مخرج غير موجود",IF($D167="","نوع الحركة ناقص",IF(NOT(ISNUMBER($E167)),"التاريخ ناقص",IF($E167&gt;تاريخ_الاحتساب,"تاريخ بعد تاريخ الاحتساب",IF(AND($D167&lt;&gt;"تسليم",COUNTIFS($A$5:$A$1504,$A167,$D$5:$D$1504,"تسليم",$E$5:$E$1504,"&lt;="&amp;$E167)=0),"لا يوجد تسليم قبل الحركة دي",""))))))</f>
        <v/>
      </c>
    </row>
    <row r="168" customFormat="false" ht="15" hidden="false" customHeight="false" outlineLevel="0" collapsed="false">
      <c r="A168" s="20"/>
      <c r="B168" s="35" t="str">
        <f aca="false">IF($A168="","",IFERROR(INDEX(مخرج_البند,MATCH($A168,قائمة_المخرجات,0)),""))</f>
        <v/>
      </c>
      <c r="C168" s="30" t="str">
        <f aca="false">IF($A168="","",IFERROR(INDEX(مخرج_الوصف,MATCH($A168,قائمة_المخرجات,0)),""))</f>
        <v/>
      </c>
      <c r="D168" s="20"/>
      <c r="E168" s="31"/>
      <c r="F168" s="22"/>
      <c r="G168" s="36" t="str">
        <f aca="false">IF(OR($A168="",$D168&lt;&gt;"تسليم",NOT(ISNUMBER($E168))),"",COUNTIFS($A$5:$A$1504,$A168,$D$5:$D$1504,"تسليم",$E$5:$E$1504,"&lt;"&amp;$E168)+1)</f>
        <v/>
      </c>
      <c r="H168" s="33" t="str">
        <f aca="false">IF($G168="","",_xlfn.MINIFS($E$5:$E$1504,$A$5:$A$1504,$A168,$D$5:$D$1504,"&lt;&gt;تسليم",$E$5:$E$1504,"&gt;="&amp;$E168))</f>
        <v/>
      </c>
      <c r="I168" s="33" t="str">
        <f aca="false">IF($G168="","",_xlfn.MINIFS($E$5:$E$1504,$A$5:$A$1504,$A168,$D$5:$D$1504,"تسليم",$E$5:$E$1504,"&gt;"&amp;$E168))</f>
        <v/>
      </c>
      <c r="J168" s="33" t="str">
        <f aca="false">IF($G168="","",IF(H168&gt;0,IF(I168&gt;0,MIN(H168,I168),H168),IF(I168&gt;0,I168,تاريخ_الاحتساب)))</f>
        <v/>
      </c>
      <c r="K168" s="34" t="str">
        <f aca="false">IF($G168="","",IF(AND(H168=0,I168=0),"جارية","مغلقة"))</f>
        <v/>
      </c>
      <c r="L168" s="26" t="str">
        <f aca="false">IF($G168="","",MAX(0,NETWORKDAYS.INTL($E168,J168,رمز_العطلة,أيام_الأجازات)-1))</f>
        <v/>
      </c>
      <c r="M168" s="26" t="str">
        <f aca="false">IF($G168="","",MAX(0,L168-مهلة_المراجعة))</f>
        <v/>
      </c>
      <c r="N168" s="30" t="str">
        <f aca="false">IF($A168="",IF(OR($D168&lt;&gt;"",$E168&lt;&gt;""),"رقم المخرج ناقص",""),IF(ISNA(MATCH($A168,قائمة_المخرجات,0)),"رقم مخرج غير موجود",IF($D168="","نوع الحركة ناقص",IF(NOT(ISNUMBER($E168)),"التاريخ ناقص",IF($E168&gt;تاريخ_الاحتساب,"تاريخ بعد تاريخ الاحتساب",IF(AND($D168&lt;&gt;"تسليم",COUNTIFS($A$5:$A$1504,$A168,$D$5:$D$1504,"تسليم",$E$5:$E$1504,"&lt;="&amp;$E168)=0),"لا يوجد تسليم قبل الحركة دي",""))))))</f>
        <v/>
      </c>
    </row>
    <row r="169" customFormat="false" ht="15" hidden="false" customHeight="false" outlineLevel="0" collapsed="false">
      <c r="A169" s="20"/>
      <c r="B169" s="35" t="str">
        <f aca="false">IF($A169="","",IFERROR(INDEX(مخرج_البند,MATCH($A169,قائمة_المخرجات,0)),""))</f>
        <v/>
      </c>
      <c r="C169" s="30" t="str">
        <f aca="false">IF($A169="","",IFERROR(INDEX(مخرج_الوصف,MATCH($A169,قائمة_المخرجات,0)),""))</f>
        <v/>
      </c>
      <c r="D169" s="20"/>
      <c r="E169" s="31"/>
      <c r="F169" s="22"/>
      <c r="G169" s="36" t="str">
        <f aca="false">IF(OR($A169="",$D169&lt;&gt;"تسليم",NOT(ISNUMBER($E169))),"",COUNTIFS($A$5:$A$1504,$A169,$D$5:$D$1504,"تسليم",$E$5:$E$1504,"&lt;"&amp;$E169)+1)</f>
        <v/>
      </c>
      <c r="H169" s="33" t="str">
        <f aca="false">IF($G169="","",_xlfn.MINIFS($E$5:$E$1504,$A$5:$A$1504,$A169,$D$5:$D$1504,"&lt;&gt;تسليم",$E$5:$E$1504,"&gt;="&amp;$E169))</f>
        <v/>
      </c>
      <c r="I169" s="33" t="str">
        <f aca="false">IF($G169="","",_xlfn.MINIFS($E$5:$E$1504,$A$5:$A$1504,$A169,$D$5:$D$1504,"تسليم",$E$5:$E$1504,"&gt;"&amp;$E169))</f>
        <v/>
      </c>
      <c r="J169" s="33" t="str">
        <f aca="false">IF($G169="","",IF(H169&gt;0,IF(I169&gt;0,MIN(H169,I169),H169),IF(I169&gt;0,I169,تاريخ_الاحتساب)))</f>
        <v/>
      </c>
      <c r="K169" s="34" t="str">
        <f aca="false">IF($G169="","",IF(AND(H169=0,I169=0),"جارية","مغلقة"))</f>
        <v/>
      </c>
      <c r="L169" s="26" t="str">
        <f aca="false">IF($G169="","",MAX(0,NETWORKDAYS.INTL($E169,J169,رمز_العطلة,أيام_الأجازات)-1))</f>
        <v/>
      </c>
      <c r="M169" s="26" t="str">
        <f aca="false">IF($G169="","",MAX(0,L169-مهلة_المراجعة))</f>
        <v/>
      </c>
      <c r="N169" s="30" t="str">
        <f aca="false">IF($A169="",IF(OR($D169&lt;&gt;"",$E169&lt;&gt;""),"رقم المخرج ناقص",""),IF(ISNA(MATCH($A169,قائمة_المخرجات,0)),"رقم مخرج غير موجود",IF($D169="","نوع الحركة ناقص",IF(NOT(ISNUMBER($E169)),"التاريخ ناقص",IF($E169&gt;تاريخ_الاحتساب,"تاريخ بعد تاريخ الاحتساب",IF(AND($D169&lt;&gt;"تسليم",COUNTIFS($A$5:$A$1504,$A169,$D$5:$D$1504,"تسليم",$E$5:$E$1504,"&lt;="&amp;$E169)=0),"لا يوجد تسليم قبل الحركة دي",""))))))</f>
        <v/>
      </c>
    </row>
    <row r="170" customFormat="false" ht="15" hidden="false" customHeight="false" outlineLevel="0" collapsed="false">
      <c r="A170" s="20"/>
      <c r="B170" s="35" t="str">
        <f aca="false">IF($A170="","",IFERROR(INDEX(مخرج_البند,MATCH($A170,قائمة_المخرجات,0)),""))</f>
        <v/>
      </c>
      <c r="C170" s="30" t="str">
        <f aca="false">IF($A170="","",IFERROR(INDEX(مخرج_الوصف,MATCH($A170,قائمة_المخرجات,0)),""))</f>
        <v/>
      </c>
      <c r="D170" s="20"/>
      <c r="E170" s="31"/>
      <c r="F170" s="22"/>
      <c r="G170" s="36" t="str">
        <f aca="false">IF(OR($A170="",$D170&lt;&gt;"تسليم",NOT(ISNUMBER($E170))),"",COUNTIFS($A$5:$A$1504,$A170,$D$5:$D$1504,"تسليم",$E$5:$E$1504,"&lt;"&amp;$E170)+1)</f>
        <v/>
      </c>
      <c r="H170" s="33" t="str">
        <f aca="false">IF($G170="","",_xlfn.MINIFS($E$5:$E$1504,$A$5:$A$1504,$A170,$D$5:$D$1504,"&lt;&gt;تسليم",$E$5:$E$1504,"&gt;="&amp;$E170))</f>
        <v/>
      </c>
      <c r="I170" s="33" t="str">
        <f aca="false">IF($G170="","",_xlfn.MINIFS($E$5:$E$1504,$A$5:$A$1504,$A170,$D$5:$D$1504,"تسليم",$E$5:$E$1504,"&gt;"&amp;$E170))</f>
        <v/>
      </c>
      <c r="J170" s="33" t="str">
        <f aca="false">IF($G170="","",IF(H170&gt;0,IF(I170&gt;0,MIN(H170,I170),H170),IF(I170&gt;0,I170,تاريخ_الاحتساب)))</f>
        <v/>
      </c>
      <c r="K170" s="34" t="str">
        <f aca="false">IF($G170="","",IF(AND(H170=0,I170=0),"جارية","مغلقة"))</f>
        <v/>
      </c>
      <c r="L170" s="26" t="str">
        <f aca="false">IF($G170="","",MAX(0,NETWORKDAYS.INTL($E170,J170,رمز_العطلة,أيام_الأجازات)-1))</f>
        <v/>
      </c>
      <c r="M170" s="26" t="str">
        <f aca="false">IF($G170="","",MAX(0,L170-مهلة_المراجعة))</f>
        <v/>
      </c>
      <c r="N170" s="30" t="str">
        <f aca="false">IF($A170="",IF(OR($D170&lt;&gt;"",$E170&lt;&gt;""),"رقم المخرج ناقص",""),IF(ISNA(MATCH($A170,قائمة_المخرجات,0)),"رقم مخرج غير موجود",IF($D170="","نوع الحركة ناقص",IF(NOT(ISNUMBER($E170)),"التاريخ ناقص",IF($E170&gt;تاريخ_الاحتساب,"تاريخ بعد تاريخ الاحتساب",IF(AND($D170&lt;&gt;"تسليم",COUNTIFS($A$5:$A$1504,$A170,$D$5:$D$1504,"تسليم",$E$5:$E$1504,"&lt;="&amp;$E170)=0),"لا يوجد تسليم قبل الحركة دي",""))))))</f>
        <v/>
      </c>
    </row>
    <row r="171" customFormat="false" ht="15" hidden="false" customHeight="false" outlineLevel="0" collapsed="false">
      <c r="A171" s="20"/>
      <c r="B171" s="35" t="str">
        <f aca="false">IF($A171="","",IFERROR(INDEX(مخرج_البند,MATCH($A171,قائمة_المخرجات,0)),""))</f>
        <v/>
      </c>
      <c r="C171" s="30" t="str">
        <f aca="false">IF($A171="","",IFERROR(INDEX(مخرج_الوصف,MATCH($A171,قائمة_المخرجات,0)),""))</f>
        <v/>
      </c>
      <c r="D171" s="20"/>
      <c r="E171" s="31"/>
      <c r="F171" s="22"/>
      <c r="G171" s="36" t="str">
        <f aca="false">IF(OR($A171="",$D171&lt;&gt;"تسليم",NOT(ISNUMBER($E171))),"",COUNTIFS($A$5:$A$1504,$A171,$D$5:$D$1504,"تسليم",$E$5:$E$1504,"&lt;"&amp;$E171)+1)</f>
        <v/>
      </c>
      <c r="H171" s="33" t="str">
        <f aca="false">IF($G171="","",_xlfn.MINIFS($E$5:$E$1504,$A$5:$A$1504,$A171,$D$5:$D$1504,"&lt;&gt;تسليم",$E$5:$E$1504,"&gt;="&amp;$E171))</f>
        <v/>
      </c>
      <c r="I171" s="33" t="str">
        <f aca="false">IF($G171="","",_xlfn.MINIFS($E$5:$E$1504,$A$5:$A$1504,$A171,$D$5:$D$1504,"تسليم",$E$5:$E$1504,"&gt;"&amp;$E171))</f>
        <v/>
      </c>
      <c r="J171" s="33" t="str">
        <f aca="false">IF($G171="","",IF(H171&gt;0,IF(I171&gt;0,MIN(H171,I171),H171),IF(I171&gt;0,I171,تاريخ_الاحتساب)))</f>
        <v/>
      </c>
      <c r="K171" s="34" t="str">
        <f aca="false">IF($G171="","",IF(AND(H171=0,I171=0),"جارية","مغلقة"))</f>
        <v/>
      </c>
      <c r="L171" s="26" t="str">
        <f aca="false">IF($G171="","",MAX(0,NETWORKDAYS.INTL($E171,J171,رمز_العطلة,أيام_الأجازات)-1))</f>
        <v/>
      </c>
      <c r="M171" s="26" t="str">
        <f aca="false">IF($G171="","",MAX(0,L171-مهلة_المراجعة))</f>
        <v/>
      </c>
      <c r="N171" s="30" t="str">
        <f aca="false">IF($A171="",IF(OR($D171&lt;&gt;"",$E171&lt;&gt;""),"رقم المخرج ناقص",""),IF(ISNA(MATCH($A171,قائمة_المخرجات,0)),"رقم مخرج غير موجود",IF($D171="","نوع الحركة ناقص",IF(NOT(ISNUMBER($E171)),"التاريخ ناقص",IF($E171&gt;تاريخ_الاحتساب,"تاريخ بعد تاريخ الاحتساب",IF(AND($D171&lt;&gt;"تسليم",COUNTIFS($A$5:$A$1504,$A171,$D$5:$D$1504,"تسليم",$E$5:$E$1504,"&lt;="&amp;$E171)=0),"لا يوجد تسليم قبل الحركة دي",""))))))</f>
        <v/>
      </c>
    </row>
    <row r="172" customFormat="false" ht="15" hidden="false" customHeight="false" outlineLevel="0" collapsed="false">
      <c r="A172" s="20"/>
      <c r="B172" s="35" t="str">
        <f aca="false">IF($A172="","",IFERROR(INDEX(مخرج_البند,MATCH($A172,قائمة_المخرجات,0)),""))</f>
        <v/>
      </c>
      <c r="C172" s="30" t="str">
        <f aca="false">IF($A172="","",IFERROR(INDEX(مخرج_الوصف,MATCH($A172,قائمة_المخرجات,0)),""))</f>
        <v/>
      </c>
      <c r="D172" s="20"/>
      <c r="E172" s="31"/>
      <c r="F172" s="22"/>
      <c r="G172" s="36" t="str">
        <f aca="false">IF(OR($A172="",$D172&lt;&gt;"تسليم",NOT(ISNUMBER($E172))),"",COUNTIFS($A$5:$A$1504,$A172,$D$5:$D$1504,"تسليم",$E$5:$E$1504,"&lt;"&amp;$E172)+1)</f>
        <v/>
      </c>
      <c r="H172" s="33" t="str">
        <f aca="false">IF($G172="","",_xlfn.MINIFS($E$5:$E$1504,$A$5:$A$1504,$A172,$D$5:$D$1504,"&lt;&gt;تسليم",$E$5:$E$1504,"&gt;="&amp;$E172))</f>
        <v/>
      </c>
      <c r="I172" s="33" t="str">
        <f aca="false">IF($G172="","",_xlfn.MINIFS($E$5:$E$1504,$A$5:$A$1504,$A172,$D$5:$D$1504,"تسليم",$E$5:$E$1504,"&gt;"&amp;$E172))</f>
        <v/>
      </c>
      <c r="J172" s="33" t="str">
        <f aca="false">IF($G172="","",IF(H172&gt;0,IF(I172&gt;0,MIN(H172,I172),H172),IF(I172&gt;0,I172,تاريخ_الاحتساب)))</f>
        <v/>
      </c>
      <c r="K172" s="34" t="str">
        <f aca="false">IF($G172="","",IF(AND(H172=0,I172=0),"جارية","مغلقة"))</f>
        <v/>
      </c>
      <c r="L172" s="26" t="str">
        <f aca="false">IF($G172="","",MAX(0,NETWORKDAYS.INTL($E172,J172,رمز_العطلة,أيام_الأجازات)-1))</f>
        <v/>
      </c>
      <c r="M172" s="26" t="str">
        <f aca="false">IF($G172="","",MAX(0,L172-مهلة_المراجعة))</f>
        <v/>
      </c>
      <c r="N172" s="30" t="str">
        <f aca="false">IF($A172="",IF(OR($D172&lt;&gt;"",$E172&lt;&gt;""),"رقم المخرج ناقص",""),IF(ISNA(MATCH($A172,قائمة_المخرجات,0)),"رقم مخرج غير موجود",IF($D172="","نوع الحركة ناقص",IF(NOT(ISNUMBER($E172)),"التاريخ ناقص",IF($E172&gt;تاريخ_الاحتساب,"تاريخ بعد تاريخ الاحتساب",IF(AND($D172&lt;&gt;"تسليم",COUNTIFS($A$5:$A$1504,$A172,$D$5:$D$1504,"تسليم",$E$5:$E$1504,"&lt;="&amp;$E172)=0),"لا يوجد تسليم قبل الحركة دي",""))))))</f>
        <v/>
      </c>
    </row>
    <row r="173" customFormat="false" ht="15" hidden="false" customHeight="false" outlineLevel="0" collapsed="false">
      <c r="A173" s="20"/>
      <c r="B173" s="35" t="str">
        <f aca="false">IF($A173="","",IFERROR(INDEX(مخرج_البند,MATCH($A173,قائمة_المخرجات,0)),""))</f>
        <v/>
      </c>
      <c r="C173" s="30" t="str">
        <f aca="false">IF($A173="","",IFERROR(INDEX(مخرج_الوصف,MATCH($A173,قائمة_المخرجات,0)),""))</f>
        <v/>
      </c>
      <c r="D173" s="20"/>
      <c r="E173" s="31"/>
      <c r="F173" s="22"/>
      <c r="G173" s="36" t="str">
        <f aca="false">IF(OR($A173="",$D173&lt;&gt;"تسليم",NOT(ISNUMBER($E173))),"",COUNTIFS($A$5:$A$1504,$A173,$D$5:$D$1504,"تسليم",$E$5:$E$1504,"&lt;"&amp;$E173)+1)</f>
        <v/>
      </c>
      <c r="H173" s="33" t="str">
        <f aca="false">IF($G173="","",_xlfn.MINIFS($E$5:$E$1504,$A$5:$A$1504,$A173,$D$5:$D$1504,"&lt;&gt;تسليم",$E$5:$E$1504,"&gt;="&amp;$E173))</f>
        <v/>
      </c>
      <c r="I173" s="33" t="str">
        <f aca="false">IF($G173="","",_xlfn.MINIFS($E$5:$E$1504,$A$5:$A$1504,$A173,$D$5:$D$1504,"تسليم",$E$5:$E$1504,"&gt;"&amp;$E173))</f>
        <v/>
      </c>
      <c r="J173" s="33" t="str">
        <f aca="false">IF($G173="","",IF(H173&gt;0,IF(I173&gt;0,MIN(H173,I173),H173),IF(I173&gt;0,I173,تاريخ_الاحتساب)))</f>
        <v/>
      </c>
      <c r="K173" s="34" t="str">
        <f aca="false">IF($G173="","",IF(AND(H173=0,I173=0),"جارية","مغلقة"))</f>
        <v/>
      </c>
      <c r="L173" s="26" t="str">
        <f aca="false">IF($G173="","",MAX(0,NETWORKDAYS.INTL($E173,J173,رمز_العطلة,أيام_الأجازات)-1))</f>
        <v/>
      </c>
      <c r="M173" s="26" t="str">
        <f aca="false">IF($G173="","",MAX(0,L173-مهلة_المراجعة))</f>
        <v/>
      </c>
      <c r="N173" s="30" t="str">
        <f aca="false">IF($A173="",IF(OR($D173&lt;&gt;"",$E173&lt;&gt;""),"رقم المخرج ناقص",""),IF(ISNA(MATCH($A173,قائمة_المخرجات,0)),"رقم مخرج غير موجود",IF($D173="","نوع الحركة ناقص",IF(NOT(ISNUMBER($E173)),"التاريخ ناقص",IF($E173&gt;تاريخ_الاحتساب,"تاريخ بعد تاريخ الاحتساب",IF(AND($D173&lt;&gt;"تسليم",COUNTIFS($A$5:$A$1504,$A173,$D$5:$D$1504,"تسليم",$E$5:$E$1504,"&lt;="&amp;$E173)=0),"لا يوجد تسليم قبل الحركة دي",""))))))</f>
        <v/>
      </c>
    </row>
    <row r="174" customFormat="false" ht="15" hidden="false" customHeight="false" outlineLevel="0" collapsed="false">
      <c r="A174" s="20"/>
      <c r="B174" s="35" t="str">
        <f aca="false">IF($A174="","",IFERROR(INDEX(مخرج_البند,MATCH($A174,قائمة_المخرجات,0)),""))</f>
        <v/>
      </c>
      <c r="C174" s="30" t="str">
        <f aca="false">IF($A174="","",IFERROR(INDEX(مخرج_الوصف,MATCH($A174,قائمة_المخرجات,0)),""))</f>
        <v/>
      </c>
      <c r="D174" s="20"/>
      <c r="E174" s="31"/>
      <c r="F174" s="22"/>
      <c r="G174" s="36" t="str">
        <f aca="false">IF(OR($A174="",$D174&lt;&gt;"تسليم",NOT(ISNUMBER($E174))),"",COUNTIFS($A$5:$A$1504,$A174,$D$5:$D$1504,"تسليم",$E$5:$E$1504,"&lt;"&amp;$E174)+1)</f>
        <v/>
      </c>
      <c r="H174" s="33" t="str">
        <f aca="false">IF($G174="","",_xlfn.MINIFS($E$5:$E$1504,$A$5:$A$1504,$A174,$D$5:$D$1504,"&lt;&gt;تسليم",$E$5:$E$1504,"&gt;="&amp;$E174))</f>
        <v/>
      </c>
      <c r="I174" s="33" t="str">
        <f aca="false">IF($G174="","",_xlfn.MINIFS($E$5:$E$1504,$A$5:$A$1504,$A174,$D$5:$D$1504,"تسليم",$E$5:$E$1504,"&gt;"&amp;$E174))</f>
        <v/>
      </c>
      <c r="J174" s="33" t="str">
        <f aca="false">IF($G174="","",IF(H174&gt;0,IF(I174&gt;0,MIN(H174,I174),H174),IF(I174&gt;0,I174,تاريخ_الاحتساب)))</f>
        <v/>
      </c>
      <c r="K174" s="34" t="str">
        <f aca="false">IF($G174="","",IF(AND(H174=0,I174=0),"جارية","مغلقة"))</f>
        <v/>
      </c>
      <c r="L174" s="26" t="str">
        <f aca="false">IF($G174="","",MAX(0,NETWORKDAYS.INTL($E174,J174,رمز_العطلة,أيام_الأجازات)-1))</f>
        <v/>
      </c>
      <c r="M174" s="26" t="str">
        <f aca="false">IF($G174="","",MAX(0,L174-مهلة_المراجعة))</f>
        <v/>
      </c>
      <c r="N174" s="30" t="str">
        <f aca="false">IF($A174="",IF(OR($D174&lt;&gt;"",$E174&lt;&gt;""),"رقم المخرج ناقص",""),IF(ISNA(MATCH($A174,قائمة_المخرجات,0)),"رقم مخرج غير موجود",IF($D174="","نوع الحركة ناقص",IF(NOT(ISNUMBER($E174)),"التاريخ ناقص",IF($E174&gt;تاريخ_الاحتساب,"تاريخ بعد تاريخ الاحتساب",IF(AND($D174&lt;&gt;"تسليم",COUNTIFS($A$5:$A$1504,$A174,$D$5:$D$1504,"تسليم",$E$5:$E$1504,"&lt;="&amp;$E174)=0),"لا يوجد تسليم قبل الحركة دي",""))))))</f>
        <v/>
      </c>
    </row>
    <row r="175" customFormat="false" ht="15" hidden="false" customHeight="false" outlineLevel="0" collapsed="false">
      <c r="A175" s="20"/>
      <c r="B175" s="35" t="str">
        <f aca="false">IF($A175="","",IFERROR(INDEX(مخرج_البند,MATCH($A175,قائمة_المخرجات,0)),""))</f>
        <v/>
      </c>
      <c r="C175" s="30" t="str">
        <f aca="false">IF($A175="","",IFERROR(INDEX(مخرج_الوصف,MATCH($A175,قائمة_المخرجات,0)),""))</f>
        <v/>
      </c>
      <c r="D175" s="20"/>
      <c r="E175" s="31"/>
      <c r="F175" s="22"/>
      <c r="G175" s="36" t="str">
        <f aca="false">IF(OR($A175="",$D175&lt;&gt;"تسليم",NOT(ISNUMBER($E175))),"",COUNTIFS($A$5:$A$1504,$A175,$D$5:$D$1504,"تسليم",$E$5:$E$1504,"&lt;"&amp;$E175)+1)</f>
        <v/>
      </c>
      <c r="H175" s="33" t="str">
        <f aca="false">IF($G175="","",_xlfn.MINIFS($E$5:$E$1504,$A$5:$A$1504,$A175,$D$5:$D$1504,"&lt;&gt;تسليم",$E$5:$E$1504,"&gt;="&amp;$E175))</f>
        <v/>
      </c>
      <c r="I175" s="33" t="str">
        <f aca="false">IF($G175="","",_xlfn.MINIFS($E$5:$E$1504,$A$5:$A$1504,$A175,$D$5:$D$1504,"تسليم",$E$5:$E$1504,"&gt;"&amp;$E175))</f>
        <v/>
      </c>
      <c r="J175" s="33" t="str">
        <f aca="false">IF($G175="","",IF(H175&gt;0,IF(I175&gt;0,MIN(H175,I175),H175),IF(I175&gt;0,I175,تاريخ_الاحتساب)))</f>
        <v/>
      </c>
      <c r="K175" s="34" t="str">
        <f aca="false">IF($G175="","",IF(AND(H175=0,I175=0),"جارية","مغلقة"))</f>
        <v/>
      </c>
      <c r="L175" s="26" t="str">
        <f aca="false">IF($G175="","",MAX(0,NETWORKDAYS.INTL($E175,J175,رمز_العطلة,أيام_الأجازات)-1))</f>
        <v/>
      </c>
      <c r="M175" s="26" t="str">
        <f aca="false">IF($G175="","",MAX(0,L175-مهلة_المراجعة))</f>
        <v/>
      </c>
      <c r="N175" s="30" t="str">
        <f aca="false">IF($A175="",IF(OR($D175&lt;&gt;"",$E175&lt;&gt;""),"رقم المخرج ناقص",""),IF(ISNA(MATCH($A175,قائمة_المخرجات,0)),"رقم مخرج غير موجود",IF($D175="","نوع الحركة ناقص",IF(NOT(ISNUMBER($E175)),"التاريخ ناقص",IF($E175&gt;تاريخ_الاحتساب,"تاريخ بعد تاريخ الاحتساب",IF(AND($D175&lt;&gt;"تسليم",COUNTIFS($A$5:$A$1504,$A175,$D$5:$D$1504,"تسليم",$E$5:$E$1504,"&lt;="&amp;$E175)=0),"لا يوجد تسليم قبل الحركة دي",""))))))</f>
        <v/>
      </c>
    </row>
    <row r="176" customFormat="false" ht="15" hidden="false" customHeight="false" outlineLevel="0" collapsed="false">
      <c r="A176" s="20"/>
      <c r="B176" s="35" t="str">
        <f aca="false">IF($A176="","",IFERROR(INDEX(مخرج_البند,MATCH($A176,قائمة_المخرجات,0)),""))</f>
        <v/>
      </c>
      <c r="C176" s="30" t="str">
        <f aca="false">IF($A176="","",IFERROR(INDEX(مخرج_الوصف,MATCH($A176,قائمة_المخرجات,0)),""))</f>
        <v/>
      </c>
      <c r="D176" s="20"/>
      <c r="E176" s="31"/>
      <c r="F176" s="22"/>
      <c r="G176" s="36" t="str">
        <f aca="false">IF(OR($A176="",$D176&lt;&gt;"تسليم",NOT(ISNUMBER($E176))),"",COUNTIFS($A$5:$A$1504,$A176,$D$5:$D$1504,"تسليم",$E$5:$E$1504,"&lt;"&amp;$E176)+1)</f>
        <v/>
      </c>
      <c r="H176" s="33" t="str">
        <f aca="false">IF($G176="","",_xlfn.MINIFS($E$5:$E$1504,$A$5:$A$1504,$A176,$D$5:$D$1504,"&lt;&gt;تسليم",$E$5:$E$1504,"&gt;="&amp;$E176))</f>
        <v/>
      </c>
      <c r="I176" s="33" t="str">
        <f aca="false">IF($G176="","",_xlfn.MINIFS($E$5:$E$1504,$A$5:$A$1504,$A176,$D$5:$D$1504,"تسليم",$E$5:$E$1504,"&gt;"&amp;$E176))</f>
        <v/>
      </c>
      <c r="J176" s="33" t="str">
        <f aca="false">IF($G176="","",IF(H176&gt;0,IF(I176&gt;0,MIN(H176,I176),H176),IF(I176&gt;0,I176,تاريخ_الاحتساب)))</f>
        <v/>
      </c>
      <c r="K176" s="34" t="str">
        <f aca="false">IF($G176="","",IF(AND(H176=0,I176=0),"جارية","مغلقة"))</f>
        <v/>
      </c>
      <c r="L176" s="26" t="str">
        <f aca="false">IF($G176="","",MAX(0,NETWORKDAYS.INTL($E176,J176,رمز_العطلة,أيام_الأجازات)-1))</f>
        <v/>
      </c>
      <c r="M176" s="26" t="str">
        <f aca="false">IF($G176="","",MAX(0,L176-مهلة_المراجعة))</f>
        <v/>
      </c>
      <c r="N176" s="30" t="str">
        <f aca="false">IF($A176="",IF(OR($D176&lt;&gt;"",$E176&lt;&gt;""),"رقم المخرج ناقص",""),IF(ISNA(MATCH($A176,قائمة_المخرجات,0)),"رقم مخرج غير موجود",IF($D176="","نوع الحركة ناقص",IF(NOT(ISNUMBER($E176)),"التاريخ ناقص",IF($E176&gt;تاريخ_الاحتساب,"تاريخ بعد تاريخ الاحتساب",IF(AND($D176&lt;&gt;"تسليم",COUNTIFS($A$5:$A$1504,$A176,$D$5:$D$1504,"تسليم",$E$5:$E$1504,"&lt;="&amp;$E176)=0),"لا يوجد تسليم قبل الحركة دي",""))))))</f>
        <v/>
      </c>
    </row>
    <row r="177" customFormat="false" ht="15" hidden="false" customHeight="false" outlineLevel="0" collapsed="false">
      <c r="A177" s="20"/>
      <c r="B177" s="35" t="str">
        <f aca="false">IF($A177="","",IFERROR(INDEX(مخرج_البند,MATCH($A177,قائمة_المخرجات,0)),""))</f>
        <v/>
      </c>
      <c r="C177" s="30" t="str">
        <f aca="false">IF($A177="","",IFERROR(INDEX(مخرج_الوصف,MATCH($A177,قائمة_المخرجات,0)),""))</f>
        <v/>
      </c>
      <c r="D177" s="20"/>
      <c r="E177" s="31"/>
      <c r="F177" s="22"/>
      <c r="G177" s="36" t="str">
        <f aca="false">IF(OR($A177="",$D177&lt;&gt;"تسليم",NOT(ISNUMBER($E177))),"",COUNTIFS($A$5:$A$1504,$A177,$D$5:$D$1504,"تسليم",$E$5:$E$1504,"&lt;"&amp;$E177)+1)</f>
        <v/>
      </c>
      <c r="H177" s="33" t="str">
        <f aca="false">IF($G177="","",_xlfn.MINIFS($E$5:$E$1504,$A$5:$A$1504,$A177,$D$5:$D$1504,"&lt;&gt;تسليم",$E$5:$E$1504,"&gt;="&amp;$E177))</f>
        <v/>
      </c>
      <c r="I177" s="33" t="str">
        <f aca="false">IF($G177="","",_xlfn.MINIFS($E$5:$E$1504,$A$5:$A$1504,$A177,$D$5:$D$1504,"تسليم",$E$5:$E$1504,"&gt;"&amp;$E177))</f>
        <v/>
      </c>
      <c r="J177" s="33" t="str">
        <f aca="false">IF($G177="","",IF(H177&gt;0,IF(I177&gt;0,MIN(H177,I177),H177),IF(I177&gt;0,I177,تاريخ_الاحتساب)))</f>
        <v/>
      </c>
      <c r="K177" s="34" t="str">
        <f aca="false">IF($G177="","",IF(AND(H177=0,I177=0),"جارية","مغلقة"))</f>
        <v/>
      </c>
      <c r="L177" s="26" t="str">
        <f aca="false">IF($G177="","",MAX(0,NETWORKDAYS.INTL($E177,J177,رمز_العطلة,أيام_الأجازات)-1))</f>
        <v/>
      </c>
      <c r="M177" s="26" t="str">
        <f aca="false">IF($G177="","",MAX(0,L177-مهلة_المراجعة))</f>
        <v/>
      </c>
      <c r="N177" s="30" t="str">
        <f aca="false">IF($A177="",IF(OR($D177&lt;&gt;"",$E177&lt;&gt;""),"رقم المخرج ناقص",""),IF(ISNA(MATCH($A177,قائمة_المخرجات,0)),"رقم مخرج غير موجود",IF($D177="","نوع الحركة ناقص",IF(NOT(ISNUMBER($E177)),"التاريخ ناقص",IF($E177&gt;تاريخ_الاحتساب,"تاريخ بعد تاريخ الاحتساب",IF(AND($D177&lt;&gt;"تسليم",COUNTIFS($A$5:$A$1504,$A177,$D$5:$D$1504,"تسليم",$E$5:$E$1504,"&lt;="&amp;$E177)=0),"لا يوجد تسليم قبل الحركة دي",""))))))</f>
        <v/>
      </c>
    </row>
    <row r="178" customFormat="false" ht="15" hidden="false" customHeight="false" outlineLevel="0" collapsed="false">
      <c r="A178" s="20"/>
      <c r="B178" s="35" t="str">
        <f aca="false">IF($A178="","",IFERROR(INDEX(مخرج_البند,MATCH($A178,قائمة_المخرجات,0)),""))</f>
        <v/>
      </c>
      <c r="C178" s="30" t="str">
        <f aca="false">IF($A178="","",IFERROR(INDEX(مخرج_الوصف,MATCH($A178,قائمة_المخرجات,0)),""))</f>
        <v/>
      </c>
      <c r="D178" s="20"/>
      <c r="E178" s="31"/>
      <c r="F178" s="22"/>
      <c r="G178" s="36" t="str">
        <f aca="false">IF(OR($A178="",$D178&lt;&gt;"تسليم",NOT(ISNUMBER($E178))),"",COUNTIFS($A$5:$A$1504,$A178,$D$5:$D$1504,"تسليم",$E$5:$E$1504,"&lt;"&amp;$E178)+1)</f>
        <v/>
      </c>
      <c r="H178" s="33" t="str">
        <f aca="false">IF($G178="","",_xlfn.MINIFS($E$5:$E$1504,$A$5:$A$1504,$A178,$D$5:$D$1504,"&lt;&gt;تسليم",$E$5:$E$1504,"&gt;="&amp;$E178))</f>
        <v/>
      </c>
      <c r="I178" s="33" t="str">
        <f aca="false">IF($G178="","",_xlfn.MINIFS($E$5:$E$1504,$A$5:$A$1504,$A178,$D$5:$D$1504,"تسليم",$E$5:$E$1504,"&gt;"&amp;$E178))</f>
        <v/>
      </c>
      <c r="J178" s="33" t="str">
        <f aca="false">IF($G178="","",IF(H178&gt;0,IF(I178&gt;0,MIN(H178,I178),H178),IF(I178&gt;0,I178,تاريخ_الاحتساب)))</f>
        <v/>
      </c>
      <c r="K178" s="34" t="str">
        <f aca="false">IF($G178="","",IF(AND(H178=0,I178=0),"جارية","مغلقة"))</f>
        <v/>
      </c>
      <c r="L178" s="26" t="str">
        <f aca="false">IF($G178="","",MAX(0,NETWORKDAYS.INTL($E178,J178,رمز_العطلة,أيام_الأجازات)-1))</f>
        <v/>
      </c>
      <c r="M178" s="26" t="str">
        <f aca="false">IF($G178="","",MAX(0,L178-مهلة_المراجعة))</f>
        <v/>
      </c>
      <c r="N178" s="30" t="str">
        <f aca="false">IF($A178="",IF(OR($D178&lt;&gt;"",$E178&lt;&gt;""),"رقم المخرج ناقص",""),IF(ISNA(MATCH($A178,قائمة_المخرجات,0)),"رقم مخرج غير موجود",IF($D178="","نوع الحركة ناقص",IF(NOT(ISNUMBER($E178)),"التاريخ ناقص",IF($E178&gt;تاريخ_الاحتساب,"تاريخ بعد تاريخ الاحتساب",IF(AND($D178&lt;&gt;"تسليم",COUNTIFS($A$5:$A$1504,$A178,$D$5:$D$1504,"تسليم",$E$5:$E$1504,"&lt;="&amp;$E178)=0),"لا يوجد تسليم قبل الحركة دي",""))))))</f>
        <v/>
      </c>
    </row>
    <row r="179" customFormat="false" ht="15" hidden="false" customHeight="false" outlineLevel="0" collapsed="false">
      <c r="A179" s="20"/>
      <c r="B179" s="35" t="str">
        <f aca="false">IF($A179="","",IFERROR(INDEX(مخرج_البند,MATCH($A179,قائمة_المخرجات,0)),""))</f>
        <v/>
      </c>
      <c r="C179" s="30" t="str">
        <f aca="false">IF($A179="","",IFERROR(INDEX(مخرج_الوصف,MATCH($A179,قائمة_المخرجات,0)),""))</f>
        <v/>
      </c>
      <c r="D179" s="20"/>
      <c r="E179" s="31"/>
      <c r="F179" s="22"/>
      <c r="G179" s="36" t="str">
        <f aca="false">IF(OR($A179="",$D179&lt;&gt;"تسليم",NOT(ISNUMBER($E179))),"",COUNTIFS($A$5:$A$1504,$A179,$D$5:$D$1504,"تسليم",$E$5:$E$1504,"&lt;"&amp;$E179)+1)</f>
        <v/>
      </c>
      <c r="H179" s="33" t="str">
        <f aca="false">IF($G179="","",_xlfn.MINIFS($E$5:$E$1504,$A$5:$A$1504,$A179,$D$5:$D$1504,"&lt;&gt;تسليم",$E$5:$E$1504,"&gt;="&amp;$E179))</f>
        <v/>
      </c>
      <c r="I179" s="33" t="str">
        <f aca="false">IF($G179="","",_xlfn.MINIFS($E$5:$E$1504,$A$5:$A$1504,$A179,$D$5:$D$1504,"تسليم",$E$5:$E$1504,"&gt;"&amp;$E179))</f>
        <v/>
      </c>
      <c r="J179" s="33" t="str">
        <f aca="false">IF($G179="","",IF(H179&gt;0,IF(I179&gt;0,MIN(H179,I179),H179),IF(I179&gt;0,I179,تاريخ_الاحتساب)))</f>
        <v/>
      </c>
      <c r="K179" s="34" t="str">
        <f aca="false">IF($G179="","",IF(AND(H179=0,I179=0),"جارية","مغلقة"))</f>
        <v/>
      </c>
      <c r="L179" s="26" t="str">
        <f aca="false">IF($G179="","",MAX(0,NETWORKDAYS.INTL($E179,J179,رمز_العطلة,أيام_الأجازات)-1))</f>
        <v/>
      </c>
      <c r="M179" s="26" t="str">
        <f aca="false">IF($G179="","",MAX(0,L179-مهلة_المراجعة))</f>
        <v/>
      </c>
      <c r="N179" s="30" t="str">
        <f aca="false">IF($A179="",IF(OR($D179&lt;&gt;"",$E179&lt;&gt;""),"رقم المخرج ناقص",""),IF(ISNA(MATCH($A179,قائمة_المخرجات,0)),"رقم مخرج غير موجود",IF($D179="","نوع الحركة ناقص",IF(NOT(ISNUMBER($E179)),"التاريخ ناقص",IF($E179&gt;تاريخ_الاحتساب,"تاريخ بعد تاريخ الاحتساب",IF(AND($D179&lt;&gt;"تسليم",COUNTIFS($A$5:$A$1504,$A179,$D$5:$D$1504,"تسليم",$E$5:$E$1504,"&lt;="&amp;$E179)=0),"لا يوجد تسليم قبل الحركة دي",""))))))</f>
        <v/>
      </c>
    </row>
    <row r="180" customFormat="false" ht="15" hidden="false" customHeight="false" outlineLevel="0" collapsed="false">
      <c r="A180" s="20"/>
      <c r="B180" s="35" t="str">
        <f aca="false">IF($A180="","",IFERROR(INDEX(مخرج_البند,MATCH($A180,قائمة_المخرجات,0)),""))</f>
        <v/>
      </c>
      <c r="C180" s="30" t="str">
        <f aca="false">IF($A180="","",IFERROR(INDEX(مخرج_الوصف,MATCH($A180,قائمة_المخرجات,0)),""))</f>
        <v/>
      </c>
      <c r="D180" s="20"/>
      <c r="E180" s="31"/>
      <c r="F180" s="22"/>
      <c r="G180" s="36" t="str">
        <f aca="false">IF(OR($A180="",$D180&lt;&gt;"تسليم",NOT(ISNUMBER($E180))),"",COUNTIFS($A$5:$A$1504,$A180,$D$5:$D$1504,"تسليم",$E$5:$E$1504,"&lt;"&amp;$E180)+1)</f>
        <v/>
      </c>
      <c r="H180" s="33" t="str">
        <f aca="false">IF($G180="","",_xlfn.MINIFS($E$5:$E$1504,$A$5:$A$1504,$A180,$D$5:$D$1504,"&lt;&gt;تسليم",$E$5:$E$1504,"&gt;="&amp;$E180))</f>
        <v/>
      </c>
      <c r="I180" s="33" t="str">
        <f aca="false">IF($G180="","",_xlfn.MINIFS($E$5:$E$1504,$A$5:$A$1504,$A180,$D$5:$D$1504,"تسليم",$E$5:$E$1504,"&gt;"&amp;$E180))</f>
        <v/>
      </c>
      <c r="J180" s="33" t="str">
        <f aca="false">IF($G180="","",IF(H180&gt;0,IF(I180&gt;0,MIN(H180,I180),H180),IF(I180&gt;0,I180,تاريخ_الاحتساب)))</f>
        <v/>
      </c>
      <c r="K180" s="34" t="str">
        <f aca="false">IF($G180="","",IF(AND(H180=0,I180=0),"جارية","مغلقة"))</f>
        <v/>
      </c>
      <c r="L180" s="26" t="str">
        <f aca="false">IF($G180="","",MAX(0,NETWORKDAYS.INTL($E180,J180,رمز_العطلة,أيام_الأجازات)-1))</f>
        <v/>
      </c>
      <c r="M180" s="26" t="str">
        <f aca="false">IF($G180="","",MAX(0,L180-مهلة_المراجعة))</f>
        <v/>
      </c>
      <c r="N180" s="30" t="str">
        <f aca="false">IF($A180="",IF(OR($D180&lt;&gt;"",$E180&lt;&gt;""),"رقم المخرج ناقص",""),IF(ISNA(MATCH($A180,قائمة_المخرجات,0)),"رقم مخرج غير موجود",IF($D180="","نوع الحركة ناقص",IF(NOT(ISNUMBER($E180)),"التاريخ ناقص",IF($E180&gt;تاريخ_الاحتساب,"تاريخ بعد تاريخ الاحتساب",IF(AND($D180&lt;&gt;"تسليم",COUNTIFS($A$5:$A$1504,$A180,$D$5:$D$1504,"تسليم",$E$5:$E$1504,"&lt;="&amp;$E180)=0),"لا يوجد تسليم قبل الحركة دي",""))))))</f>
        <v/>
      </c>
    </row>
    <row r="181" customFormat="false" ht="15" hidden="false" customHeight="false" outlineLevel="0" collapsed="false">
      <c r="A181" s="20"/>
      <c r="B181" s="35" t="str">
        <f aca="false">IF($A181="","",IFERROR(INDEX(مخرج_البند,MATCH($A181,قائمة_المخرجات,0)),""))</f>
        <v/>
      </c>
      <c r="C181" s="30" t="str">
        <f aca="false">IF($A181="","",IFERROR(INDEX(مخرج_الوصف,MATCH($A181,قائمة_المخرجات,0)),""))</f>
        <v/>
      </c>
      <c r="D181" s="20"/>
      <c r="E181" s="31"/>
      <c r="F181" s="22"/>
      <c r="G181" s="36" t="str">
        <f aca="false">IF(OR($A181="",$D181&lt;&gt;"تسليم",NOT(ISNUMBER($E181))),"",COUNTIFS($A$5:$A$1504,$A181,$D$5:$D$1504,"تسليم",$E$5:$E$1504,"&lt;"&amp;$E181)+1)</f>
        <v/>
      </c>
      <c r="H181" s="33" t="str">
        <f aca="false">IF($G181="","",_xlfn.MINIFS($E$5:$E$1504,$A$5:$A$1504,$A181,$D$5:$D$1504,"&lt;&gt;تسليم",$E$5:$E$1504,"&gt;="&amp;$E181))</f>
        <v/>
      </c>
      <c r="I181" s="33" t="str">
        <f aca="false">IF($G181="","",_xlfn.MINIFS($E$5:$E$1504,$A$5:$A$1504,$A181,$D$5:$D$1504,"تسليم",$E$5:$E$1504,"&gt;"&amp;$E181))</f>
        <v/>
      </c>
      <c r="J181" s="33" t="str">
        <f aca="false">IF($G181="","",IF(H181&gt;0,IF(I181&gt;0,MIN(H181,I181),H181),IF(I181&gt;0,I181,تاريخ_الاحتساب)))</f>
        <v/>
      </c>
      <c r="K181" s="34" t="str">
        <f aca="false">IF($G181="","",IF(AND(H181=0,I181=0),"جارية","مغلقة"))</f>
        <v/>
      </c>
      <c r="L181" s="26" t="str">
        <f aca="false">IF($G181="","",MAX(0,NETWORKDAYS.INTL($E181,J181,رمز_العطلة,أيام_الأجازات)-1))</f>
        <v/>
      </c>
      <c r="M181" s="26" t="str">
        <f aca="false">IF($G181="","",MAX(0,L181-مهلة_المراجعة))</f>
        <v/>
      </c>
      <c r="N181" s="30" t="str">
        <f aca="false">IF($A181="",IF(OR($D181&lt;&gt;"",$E181&lt;&gt;""),"رقم المخرج ناقص",""),IF(ISNA(MATCH($A181,قائمة_المخرجات,0)),"رقم مخرج غير موجود",IF($D181="","نوع الحركة ناقص",IF(NOT(ISNUMBER($E181)),"التاريخ ناقص",IF($E181&gt;تاريخ_الاحتساب,"تاريخ بعد تاريخ الاحتساب",IF(AND($D181&lt;&gt;"تسليم",COUNTIFS($A$5:$A$1504,$A181,$D$5:$D$1504,"تسليم",$E$5:$E$1504,"&lt;="&amp;$E181)=0),"لا يوجد تسليم قبل الحركة دي",""))))))</f>
        <v/>
      </c>
    </row>
    <row r="182" customFormat="false" ht="15" hidden="false" customHeight="false" outlineLevel="0" collapsed="false">
      <c r="A182" s="20"/>
      <c r="B182" s="35" t="str">
        <f aca="false">IF($A182="","",IFERROR(INDEX(مخرج_البند,MATCH($A182,قائمة_المخرجات,0)),""))</f>
        <v/>
      </c>
      <c r="C182" s="30" t="str">
        <f aca="false">IF($A182="","",IFERROR(INDEX(مخرج_الوصف,MATCH($A182,قائمة_المخرجات,0)),""))</f>
        <v/>
      </c>
      <c r="D182" s="20"/>
      <c r="E182" s="31"/>
      <c r="F182" s="22"/>
      <c r="G182" s="36" t="str">
        <f aca="false">IF(OR($A182="",$D182&lt;&gt;"تسليم",NOT(ISNUMBER($E182))),"",COUNTIFS($A$5:$A$1504,$A182,$D$5:$D$1504,"تسليم",$E$5:$E$1504,"&lt;"&amp;$E182)+1)</f>
        <v/>
      </c>
      <c r="H182" s="33" t="str">
        <f aca="false">IF($G182="","",_xlfn.MINIFS($E$5:$E$1504,$A$5:$A$1504,$A182,$D$5:$D$1504,"&lt;&gt;تسليم",$E$5:$E$1504,"&gt;="&amp;$E182))</f>
        <v/>
      </c>
      <c r="I182" s="33" t="str">
        <f aca="false">IF($G182="","",_xlfn.MINIFS($E$5:$E$1504,$A$5:$A$1504,$A182,$D$5:$D$1504,"تسليم",$E$5:$E$1504,"&gt;"&amp;$E182))</f>
        <v/>
      </c>
      <c r="J182" s="33" t="str">
        <f aca="false">IF($G182="","",IF(H182&gt;0,IF(I182&gt;0,MIN(H182,I182),H182),IF(I182&gt;0,I182,تاريخ_الاحتساب)))</f>
        <v/>
      </c>
      <c r="K182" s="34" t="str">
        <f aca="false">IF($G182="","",IF(AND(H182=0,I182=0),"جارية","مغلقة"))</f>
        <v/>
      </c>
      <c r="L182" s="26" t="str">
        <f aca="false">IF($G182="","",MAX(0,NETWORKDAYS.INTL($E182,J182,رمز_العطلة,أيام_الأجازات)-1))</f>
        <v/>
      </c>
      <c r="M182" s="26" t="str">
        <f aca="false">IF($G182="","",MAX(0,L182-مهلة_المراجعة))</f>
        <v/>
      </c>
      <c r="N182" s="30" t="str">
        <f aca="false">IF($A182="",IF(OR($D182&lt;&gt;"",$E182&lt;&gt;""),"رقم المخرج ناقص",""),IF(ISNA(MATCH($A182,قائمة_المخرجات,0)),"رقم مخرج غير موجود",IF($D182="","نوع الحركة ناقص",IF(NOT(ISNUMBER($E182)),"التاريخ ناقص",IF($E182&gt;تاريخ_الاحتساب,"تاريخ بعد تاريخ الاحتساب",IF(AND($D182&lt;&gt;"تسليم",COUNTIFS($A$5:$A$1504,$A182,$D$5:$D$1504,"تسليم",$E$5:$E$1504,"&lt;="&amp;$E182)=0),"لا يوجد تسليم قبل الحركة دي",""))))))</f>
        <v/>
      </c>
    </row>
    <row r="183" customFormat="false" ht="15" hidden="false" customHeight="false" outlineLevel="0" collapsed="false">
      <c r="A183" s="20"/>
      <c r="B183" s="35" t="str">
        <f aca="false">IF($A183="","",IFERROR(INDEX(مخرج_البند,MATCH($A183,قائمة_المخرجات,0)),""))</f>
        <v/>
      </c>
      <c r="C183" s="30" t="str">
        <f aca="false">IF($A183="","",IFERROR(INDEX(مخرج_الوصف,MATCH($A183,قائمة_المخرجات,0)),""))</f>
        <v/>
      </c>
      <c r="D183" s="20"/>
      <c r="E183" s="31"/>
      <c r="F183" s="22"/>
      <c r="G183" s="36" t="str">
        <f aca="false">IF(OR($A183="",$D183&lt;&gt;"تسليم",NOT(ISNUMBER($E183))),"",COUNTIFS($A$5:$A$1504,$A183,$D$5:$D$1504,"تسليم",$E$5:$E$1504,"&lt;"&amp;$E183)+1)</f>
        <v/>
      </c>
      <c r="H183" s="33" t="str">
        <f aca="false">IF($G183="","",_xlfn.MINIFS($E$5:$E$1504,$A$5:$A$1504,$A183,$D$5:$D$1504,"&lt;&gt;تسليم",$E$5:$E$1504,"&gt;="&amp;$E183))</f>
        <v/>
      </c>
      <c r="I183" s="33" t="str">
        <f aca="false">IF($G183="","",_xlfn.MINIFS($E$5:$E$1504,$A$5:$A$1504,$A183,$D$5:$D$1504,"تسليم",$E$5:$E$1504,"&gt;"&amp;$E183))</f>
        <v/>
      </c>
      <c r="J183" s="33" t="str">
        <f aca="false">IF($G183="","",IF(H183&gt;0,IF(I183&gt;0,MIN(H183,I183),H183),IF(I183&gt;0,I183,تاريخ_الاحتساب)))</f>
        <v/>
      </c>
      <c r="K183" s="34" t="str">
        <f aca="false">IF($G183="","",IF(AND(H183=0,I183=0),"جارية","مغلقة"))</f>
        <v/>
      </c>
      <c r="L183" s="26" t="str">
        <f aca="false">IF($G183="","",MAX(0,NETWORKDAYS.INTL($E183,J183,رمز_العطلة,أيام_الأجازات)-1))</f>
        <v/>
      </c>
      <c r="M183" s="26" t="str">
        <f aca="false">IF($G183="","",MAX(0,L183-مهلة_المراجعة))</f>
        <v/>
      </c>
      <c r="N183" s="30" t="str">
        <f aca="false">IF($A183="",IF(OR($D183&lt;&gt;"",$E183&lt;&gt;""),"رقم المخرج ناقص",""),IF(ISNA(MATCH($A183,قائمة_المخرجات,0)),"رقم مخرج غير موجود",IF($D183="","نوع الحركة ناقص",IF(NOT(ISNUMBER($E183)),"التاريخ ناقص",IF($E183&gt;تاريخ_الاحتساب,"تاريخ بعد تاريخ الاحتساب",IF(AND($D183&lt;&gt;"تسليم",COUNTIFS($A$5:$A$1504,$A183,$D$5:$D$1504,"تسليم",$E$5:$E$1504,"&lt;="&amp;$E183)=0),"لا يوجد تسليم قبل الحركة دي",""))))))</f>
        <v/>
      </c>
    </row>
    <row r="184" customFormat="false" ht="15" hidden="false" customHeight="false" outlineLevel="0" collapsed="false">
      <c r="A184" s="20"/>
      <c r="B184" s="35" t="str">
        <f aca="false">IF($A184="","",IFERROR(INDEX(مخرج_البند,MATCH($A184,قائمة_المخرجات,0)),""))</f>
        <v/>
      </c>
      <c r="C184" s="30" t="str">
        <f aca="false">IF($A184="","",IFERROR(INDEX(مخرج_الوصف,MATCH($A184,قائمة_المخرجات,0)),""))</f>
        <v/>
      </c>
      <c r="D184" s="20"/>
      <c r="E184" s="31"/>
      <c r="F184" s="22"/>
      <c r="G184" s="36" t="str">
        <f aca="false">IF(OR($A184="",$D184&lt;&gt;"تسليم",NOT(ISNUMBER($E184))),"",COUNTIFS($A$5:$A$1504,$A184,$D$5:$D$1504,"تسليم",$E$5:$E$1504,"&lt;"&amp;$E184)+1)</f>
        <v/>
      </c>
      <c r="H184" s="33" t="str">
        <f aca="false">IF($G184="","",_xlfn.MINIFS($E$5:$E$1504,$A$5:$A$1504,$A184,$D$5:$D$1504,"&lt;&gt;تسليم",$E$5:$E$1504,"&gt;="&amp;$E184))</f>
        <v/>
      </c>
      <c r="I184" s="33" t="str">
        <f aca="false">IF($G184="","",_xlfn.MINIFS($E$5:$E$1504,$A$5:$A$1504,$A184,$D$5:$D$1504,"تسليم",$E$5:$E$1504,"&gt;"&amp;$E184))</f>
        <v/>
      </c>
      <c r="J184" s="33" t="str">
        <f aca="false">IF($G184="","",IF(H184&gt;0,IF(I184&gt;0,MIN(H184,I184),H184),IF(I184&gt;0,I184,تاريخ_الاحتساب)))</f>
        <v/>
      </c>
      <c r="K184" s="34" t="str">
        <f aca="false">IF($G184="","",IF(AND(H184=0,I184=0),"جارية","مغلقة"))</f>
        <v/>
      </c>
      <c r="L184" s="26" t="str">
        <f aca="false">IF($G184="","",MAX(0,NETWORKDAYS.INTL($E184,J184,رمز_العطلة,أيام_الأجازات)-1))</f>
        <v/>
      </c>
      <c r="M184" s="26" t="str">
        <f aca="false">IF($G184="","",MAX(0,L184-مهلة_المراجعة))</f>
        <v/>
      </c>
      <c r="N184" s="30" t="str">
        <f aca="false">IF($A184="",IF(OR($D184&lt;&gt;"",$E184&lt;&gt;""),"رقم المخرج ناقص",""),IF(ISNA(MATCH($A184,قائمة_المخرجات,0)),"رقم مخرج غير موجود",IF($D184="","نوع الحركة ناقص",IF(NOT(ISNUMBER($E184)),"التاريخ ناقص",IF($E184&gt;تاريخ_الاحتساب,"تاريخ بعد تاريخ الاحتساب",IF(AND($D184&lt;&gt;"تسليم",COUNTIFS($A$5:$A$1504,$A184,$D$5:$D$1504,"تسليم",$E$5:$E$1504,"&lt;="&amp;$E184)=0),"لا يوجد تسليم قبل الحركة دي",""))))))</f>
        <v/>
      </c>
    </row>
    <row r="185" customFormat="false" ht="15" hidden="false" customHeight="false" outlineLevel="0" collapsed="false">
      <c r="A185" s="20"/>
      <c r="B185" s="35" t="str">
        <f aca="false">IF($A185="","",IFERROR(INDEX(مخرج_البند,MATCH($A185,قائمة_المخرجات,0)),""))</f>
        <v/>
      </c>
      <c r="C185" s="30" t="str">
        <f aca="false">IF($A185="","",IFERROR(INDEX(مخرج_الوصف,MATCH($A185,قائمة_المخرجات,0)),""))</f>
        <v/>
      </c>
      <c r="D185" s="20"/>
      <c r="E185" s="31"/>
      <c r="F185" s="22"/>
      <c r="G185" s="36" t="str">
        <f aca="false">IF(OR($A185="",$D185&lt;&gt;"تسليم",NOT(ISNUMBER($E185))),"",COUNTIFS($A$5:$A$1504,$A185,$D$5:$D$1504,"تسليم",$E$5:$E$1504,"&lt;"&amp;$E185)+1)</f>
        <v/>
      </c>
      <c r="H185" s="33" t="str">
        <f aca="false">IF($G185="","",_xlfn.MINIFS($E$5:$E$1504,$A$5:$A$1504,$A185,$D$5:$D$1504,"&lt;&gt;تسليم",$E$5:$E$1504,"&gt;="&amp;$E185))</f>
        <v/>
      </c>
      <c r="I185" s="33" t="str">
        <f aca="false">IF($G185="","",_xlfn.MINIFS($E$5:$E$1504,$A$5:$A$1504,$A185,$D$5:$D$1504,"تسليم",$E$5:$E$1504,"&gt;"&amp;$E185))</f>
        <v/>
      </c>
      <c r="J185" s="33" t="str">
        <f aca="false">IF($G185="","",IF(H185&gt;0,IF(I185&gt;0,MIN(H185,I185),H185),IF(I185&gt;0,I185,تاريخ_الاحتساب)))</f>
        <v/>
      </c>
      <c r="K185" s="34" t="str">
        <f aca="false">IF($G185="","",IF(AND(H185=0,I185=0),"جارية","مغلقة"))</f>
        <v/>
      </c>
      <c r="L185" s="26" t="str">
        <f aca="false">IF($G185="","",MAX(0,NETWORKDAYS.INTL($E185,J185,رمز_العطلة,أيام_الأجازات)-1))</f>
        <v/>
      </c>
      <c r="M185" s="26" t="str">
        <f aca="false">IF($G185="","",MAX(0,L185-مهلة_المراجعة))</f>
        <v/>
      </c>
      <c r="N185" s="30" t="str">
        <f aca="false">IF($A185="",IF(OR($D185&lt;&gt;"",$E185&lt;&gt;""),"رقم المخرج ناقص",""),IF(ISNA(MATCH($A185,قائمة_المخرجات,0)),"رقم مخرج غير موجود",IF($D185="","نوع الحركة ناقص",IF(NOT(ISNUMBER($E185)),"التاريخ ناقص",IF($E185&gt;تاريخ_الاحتساب,"تاريخ بعد تاريخ الاحتساب",IF(AND($D185&lt;&gt;"تسليم",COUNTIFS($A$5:$A$1504,$A185,$D$5:$D$1504,"تسليم",$E$5:$E$1504,"&lt;="&amp;$E185)=0),"لا يوجد تسليم قبل الحركة دي",""))))))</f>
        <v/>
      </c>
    </row>
    <row r="186" customFormat="false" ht="15" hidden="false" customHeight="false" outlineLevel="0" collapsed="false">
      <c r="A186" s="20"/>
      <c r="B186" s="35" t="str">
        <f aca="false">IF($A186="","",IFERROR(INDEX(مخرج_البند,MATCH($A186,قائمة_المخرجات,0)),""))</f>
        <v/>
      </c>
      <c r="C186" s="30" t="str">
        <f aca="false">IF($A186="","",IFERROR(INDEX(مخرج_الوصف,MATCH($A186,قائمة_المخرجات,0)),""))</f>
        <v/>
      </c>
      <c r="D186" s="20"/>
      <c r="E186" s="31"/>
      <c r="F186" s="22"/>
      <c r="G186" s="36" t="str">
        <f aca="false">IF(OR($A186="",$D186&lt;&gt;"تسليم",NOT(ISNUMBER($E186))),"",COUNTIFS($A$5:$A$1504,$A186,$D$5:$D$1504,"تسليم",$E$5:$E$1504,"&lt;"&amp;$E186)+1)</f>
        <v/>
      </c>
      <c r="H186" s="33" t="str">
        <f aca="false">IF($G186="","",_xlfn.MINIFS($E$5:$E$1504,$A$5:$A$1504,$A186,$D$5:$D$1504,"&lt;&gt;تسليم",$E$5:$E$1504,"&gt;="&amp;$E186))</f>
        <v/>
      </c>
      <c r="I186" s="33" t="str">
        <f aca="false">IF($G186="","",_xlfn.MINIFS($E$5:$E$1504,$A$5:$A$1504,$A186,$D$5:$D$1504,"تسليم",$E$5:$E$1504,"&gt;"&amp;$E186))</f>
        <v/>
      </c>
      <c r="J186" s="33" t="str">
        <f aca="false">IF($G186="","",IF(H186&gt;0,IF(I186&gt;0,MIN(H186,I186),H186),IF(I186&gt;0,I186,تاريخ_الاحتساب)))</f>
        <v/>
      </c>
      <c r="K186" s="34" t="str">
        <f aca="false">IF($G186="","",IF(AND(H186=0,I186=0),"جارية","مغلقة"))</f>
        <v/>
      </c>
      <c r="L186" s="26" t="str">
        <f aca="false">IF($G186="","",MAX(0,NETWORKDAYS.INTL($E186,J186,رمز_العطلة,أيام_الأجازات)-1))</f>
        <v/>
      </c>
      <c r="M186" s="26" t="str">
        <f aca="false">IF($G186="","",MAX(0,L186-مهلة_المراجعة))</f>
        <v/>
      </c>
      <c r="N186" s="30" t="str">
        <f aca="false">IF($A186="",IF(OR($D186&lt;&gt;"",$E186&lt;&gt;""),"رقم المخرج ناقص",""),IF(ISNA(MATCH($A186,قائمة_المخرجات,0)),"رقم مخرج غير موجود",IF($D186="","نوع الحركة ناقص",IF(NOT(ISNUMBER($E186)),"التاريخ ناقص",IF($E186&gt;تاريخ_الاحتساب,"تاريخ بعد تاريخ الاحتساب",IF(AND($D186&lt;&gt;"تسليم",COUNTIFS($A$5:$A$1504,$A186,$D$5:$D$1504,"تسليم",$E$5:$E$1504,"&lt;="&amp;$E186)=0),"لا يوجد تسليم قبل الحركة دي",""))))))</f>
        <v/>
      </c>
    </row>
    <row r="187" customFormat="false" ht="15" hidden="false" customHeight="false" outlineLevel="0" collapsed="false">
      <c r="A187" s="20"/>
      <c r="B187" s="35" t="str">
        <f aca="false">IF($A187="","",IFERROR(INDEX(مخرج_البند,MATCH($A187,قائمة_المخرجات,0)),""))</f>
        <v/>
      </c>
      <c r="C187" s="30" t="str">
        <f aca="false">IF($A187="","",IFERROR(INDEX(مخرج_الوصف,MATCH($A187,قائمة_المخرجات,0)),""))</f>
        <v/>
      </c>
      <c r="D187" s="20"/>
      <c r="E187" s="31"/>
      <c r="F187" s="22"/>
      <c r="G187" s="36" t="str">
        <f aca="false">IF(OR($A187="",$D187&lt;&gt;"تسليم",NOT(ISNUMBER($E187))),"",COUNTIFS($A$5:$A$1504,$A187,$D$5:$D$1504,"تسليم",$E$5:$E$1504,"&lt;"&amp;$E187)+1)</f>
        <v/>
      </c>
      <c r="H187" s="33" t="str">
        <f aca="false">IF($G187="","",_xlfn.MINIFS($E$5:$E$1504,$A$5:$A$1504,$A187,$D$5:$D$1504,"&lt;&gt;تسليم",$E$5:$E$1504,"&gt;="&amp;$E187))</f>
        <v/>
      </c>
      <c r="I187" s="33" t="str">
        <f aca="false">IF($G187="","",_xlfn.MINIFS($E$5:$E$1504,$A$5:$A$1504,$A187,$D$5:$D$1504,"تسليم",$E$5:$E$1504,"&gt;"&amp;$E187))</f>
        <v/>
      </c>
      <c r="J187" s="33" t="str">
        <f aca="false">IF($G187="","",IF(H187&gt;0,IF(I187&gt;0,MIN(H187,I187),H187),IF(I187&gt;0,I187,تاريخ_الاحتساب)))</f>
        <v/>
      </c>
      <c r="K187" s="34" t="str">
        <f aca="false">IF($G187="","",IF(AND(H187=0,I187=0),"جارية","مغلقة"))</f>
        <v/>
      </c>
      <c r="L187" s="26" t="str">
        <f aca="false">IF($G187="","",MAX(0,NETWORKDAYS.INTL($E187,J187,رمز_العطلة,أيام_الأجازات)-1))</f>
        <v/>
      </c>
      <c r="M187" s="26" t="str">
        <f aca="false">IF($G187="","",MAX(0,L187-مهلة_المراجعة))</f>
        <v/>
      </c>
      <c r="N187" s="30" t="str">
        <f aca="false">IF($A187="",IF(OR($D187&lt;&gt;"",$E187&lt;&gt;""),"رقم المخرج ناقص",""),IF(ISNA(MATCH($A187,قائمة_المخرجات,0)),"رقم مخرج غير موجود",IF($D187="","نوع الحركة ناقص",IF(NOT(ISNUMBER($E187)),"التاريخ ناقص",IF($E187&gt;تاريخ_الاحتساب,"تاريخ بعد تاريخ الاحتساب",IF(AND($D187&lt;&gt;"تسليم",COUNTIFS($A$5:$A$1504,$A187,$D$5:$D$1504,"تسليم",$E$5:$E$1504,"&lt;="&amp;$E187)=0),"لا يوجد تسليم قبل الحركة دي",""))))))</f>
        <v/>
      </c>
    </row>
    <row r="188" customFormat="false" ht="15" hidden="false" customHeight="false" outlineLevel="0" collapsed="false">
      <c r="A188" s="20"/>
      <c r="B188" s="35" t="str">
        <f aca="false">IF($A188="","",IFERROR(INDEX(مخرج_البند,MATCH($A188,قائمة_المخرجات,0)),""))</f>
        <v/>
      </c>
      <c r="C188" s="30" t="str">
        <f aca="false">IF($A188="","",IFERROR(INDEX(مخرج_الوصف,MATCH($A188,قائمة_المخرجات,0)),""))</f>
        <v/>
      </c>
      <c r="D188" s="20"/>
      <c r="E188" s="31"/>
      <c r="F188" s="22"/>
      <c r="G188" s="36" t="str">
        <f aca="false">IF(OR($A188="",$D188&lt;&gt;"تسليم",NOT(ISNUMBER($E188))),"",COUNTIFS($A$5:$A$1504,$A188,$D$5:$D$1504,"تسليم",$E$5:$E$1504,"&lt;"&amp;$E188)+1)</f>
        <v/>
      </c>
      <c r="H188" s="33" t="str">
        <f aca="false">IF($G188="","",_xlfn.MINIFS($E$5:$E$1504,$A$5:$A$1504,$A188,$D$5:$D$1504,"&lt;&gt;تسليم",$E$5:$E$1504,"&gt;="&amp;$E188))</f>
        <v/>
      </c>
      <c r="I188" s="33" t="str">
        <f aca="false">IF($G188="","",_xlfn.MINIFS($E$5:$E$1504,$A$5:$A$1504,$A188,$D$5:$D$1504,"تسليم",$E$5:$E$1504,"&gt;"&amp;$E188))</f>
        <v/>
      </c>
      <c r="J188" s="33" t="str">
        <f aca="false">IF($G188="","",IF(H188&gt;0,IF(I188&gt;0,MIN(H188,I188),H188),IF(I188&gt;0,I188,تاريخ_الاحتساب)))</f>
        <v/>
      </c>
      <c r="K188" s="34" t="str">
        <f aca="false">IF($G188="","",IF(AND(H188=0,I188=0),"جارية","مغلقة"))</f>
        <v/>
      </c>
      <c r="L188" s="26" t="str">
        <f aca="false">IF($G188="","",MAX(0,NETWORKDAYS.INTL($E188,J188,رمز_العطلة,أيام_الأجازات)-1))</f>
        <v/>
      </c>
      <c r="M188" s="26" t="str">
        <f aca="false">IF($G188="","",MAX(0,L188-مهلة_المراجعة))</f>
        <v/>
      </c>
      <c r="N188" s="30" t="str">
        <f aca="false">IF($A188="",IF(OR($D188&lt;&gt;"",$E188&lt;&gt;""),"رقم المخرج ناقص",""),IF(ISNA(MATCH($A188,قائمة_المخرجات,0)),"رقم مخرج غير موجود",IF($D188="","نوع الحركة ناقص",IF(NOT(ISNUMBER($E188)),"التاريخ ناقص",IF($E188&gt;تاريخ_الاحتساب,"تاريخ بعد تاريخ الاحتساب",IF(AND($D188&lt;&gt;"تسليم",COUNTIFS($A$5:$A$1504,$A188,$D$5:$D$1504,"تسليم",$E$5:$E$1504,"&lt;="&amp;$E188)=0),"لا يوجد تسليم قبل الحركة دي",""))))))</f>
        <v/>
      </c>
    </row>
    <row r="189" customFormat="false" ht="15" hidden="false" customHeight="false" outlineLevel="0" collapsed="false">
      <c r="A189" s="20"/>
      <c r="B189" s="35" t="str">
        <f aca="false">IF($A189="","",IFERROR(INDEX(مخرج_البند,MATCH($A189,قائمة_المخرجات,0)),""))</f>
        <v/>
      </c>
      <c r="C189" s="30" t="str">
        <f aca="false">IF($A189="","",IFERROR(INDEX(مخرج_الوصف,MATCH($A189,قائمة_المخرجات,0)),""))</f>
        <v/>
      </c>
      <c r="D189" s="20"/>
      <c r="E189" s="31"/>
      <c r="F189" s="22"/>
      <c r="G189" s="36" t="str">
        <f aca="false">IF(OR($A189="",$D189&lt;&gt;"تسليم",NOT(ISNUMBER($E189))),"",COUNTIFS($A$5:$A$1504,$A189,$D$5:$D$1504,"تسليم",$E$5:$E$1504,"&lt;"&amp;$E189)+1)</f>
        <v/>
      </c>
      <c r="H189" s="33" t="str">
        <f aca="false">IF($G189="","",_xlfn.MINIFS($E$5:$E$1504,$A$5:$A$1504,$A189,$D$5:$D$1504,"&lt;&gt;تسليم",$E$5:$E$1504,"&gt;="&amp;$E189))</f>
        <v/>
      </c>
      <c r="I189" s="33" t="str">
        <f aca="false">IF($G189="","",_xlfn.MINIFS($E$5:$E$1504,$A$5:$A$1504,$A189,$D$5:$D$1504,"تسليم",$E$5:$E$1504,"&gt;"&amp;$E189))</f>
        <v/>
      </c>
      <c r="J189" s="33" t="str">
        <f aca="false">IF($G189="","",IF(H189&gt;0,IF(I189&gt;0,MIN(H189,I189),H189),IF(I189&gt;0,I189,تاريخ_الاحتساب)))</f>
        <v/>
      </c>
      <c r="K189" s="34" t="str">
        <f aca="false">IF($G189="","",IF(AND(H189=0,I189=0),"جارية","مغلقة"))</f>
        <v/>
      </c>
      <c r="L189" s="26" t="str">
        <f aca="false">IF($G189="","",MAX(0,NETWORKDAYS.INTL($E189,J189,رمز_العطلة,أيام_الأجازات)-1))</f>
        <v/>
      </c>
      <c r="M189" s="26" t="str">
        <f aca="false">IF($G189="","",MAX(0,L189-مهلة_المراجعة))</f>
        <v/>
      </c>
      <c r="N189" s="30" t="str">
        <f aca="false">IF($A189="",IF(OR($D189&lt;&gt;"",$E189&lt;&gt;""),"رقم المخرج ناقص",""),IF(ISNA(MATCH($A189,قائمة_المخرجات,0)),"رقم مخرج غير موجود",IF($D189="","نوع الحركة ناقص",IF(NOT(ISNUMBER($E189)),"التاريخ ناقص",IF($E189&gt;تاريخ_الاحتساب,"تاريخ بعد تاريخ الاحتساب",IF(AND($D189&lt;&gt;"تسليم",COUNTIFS($A$5:$A$1504,$A189,$D$5:$D$1504,"تسليم",$E$5:$E$1504,"&lt;="&amp;$E189)=0),"لا يوجد تسليم قبل الحركة دي",""))))))</f>
        <v/>
      </c>
    </row>
    <row r="190" customFormat="false" ht="15" hidden="false" customHeight="false" outlineLevel="0" collapsed="false">
      <c r="A190" s="20"/>
      <c r="B190" s="35" t="str">
        <f aca="false">IF($A190="","",IFERROR(INDEX(مخرج_البند,MATCH($A190,قائمة_المخرجات,0)),""))</f>
        <v/>
      </c>
      <c r="C190" s="30" t="str">
        <f aca="false">IF($A190="","",IFERROR(INDEX(مخرج_الوصف,MATCH($A190,قائمة_المخرجات,0)),""))</f>
        <v/>
      </c>
      <c r="D190" s="20"/>
      <c r="E190" s="31"/>
      <c r="F190" s="22"/>
      <c r="G190" s="36" t="str">
        <f aca="false">IF(OR($A190="",$D190&lt;&gt;"تسليم",NOT(ISNUMBER($E190))),"",COUNTIFS($A$5:$A$1504,$A190,$D$5:$D$1504,"تسليم",$E$5:$E$1504,"&lt;"&amp;$E190)+1)</f>
        <v/>
      </c>
      <c r="H190" s="33" t="str">
        <f aca="false">IF($G190="","",_xlfn.MINIFS($E$5:$E$1504,$A$5:$A$1504,$A190,$D$5:$D$1504,"&lt;&gt;تسليم",$E$5:$E$1504,"&gt;="&amp;$E190))</f>
        <v/>
      </c>
      <c r="I190" s="33" t="str">
        <f aca="false">IF($G190="","",_xlfn.MINIFS($E$5:$E$1504,$A$5:$A$1504,$A190,$D$5:$D$1504,"تسليم",$E$5:$E$1504,"&gt;"&amp;$E190))</f>
        <v/>
      </c>
      <c r="J190" s="33" t="str">
        <f aca="false">IF($G190="","",IF(H190&gt;0,IF(I190&gt;0,MIN(H190,I190),H190),IF(I190&gt;0,I190,تاريخ_الاحتساب)))</f>
        <v/>
      </c>
      <c r="K190" s="34" t="str">
        <f aca="false">IF($G190="","",IF(AND(H190=0,I190=0),"جارية","مغلقة"))</f>
        <v/>
      </c>
      <c r="L190" s="26" t="str">
        <f aca="false">IF($G190="","",MAX(0,NETWORKDAYS.INTL($E190,J190,رمز_العطلة,أيام_الأجازات)-1))</f>
        <v/>
      </c>
      <c r="M190" s="26" t="str">
        <f aca="false">IF($G190="","",MAX(0,L190-مهلة_المراجعة))</f>
        <v/>
      </c>
      <c r="N190" s="30" t="str">
        <f aca="false">IF($A190="",IF(OR($D190&lt;&gt;"",$E190&lt;&gt;""),"رقم المخرج ناقص",""),IF(ISNA(MATCH($A190,قائمة_المخرجات,0)),"رقم مخرج غير موجود",IF($D190="","نوع الحركة ناقص",IF(NOT(ISNUMBER($E190)),"التاريخ ناقص",IF($E190&gt;تاريخ_الاحتساب,"تاريخ بعد تاريخ الاحتساب",IF(AND($D190&lt;&gt;"تسليم",COUNTIFS($A$5:$A$1504,$A190,$D$5:$D$1504,"تسليم",$E$5:$E$1504,"&lt;="&amp;$E190)=0),"لا يوجد تسليم قبل الحركة دي",""))))))</f>
        <v/>
      </c>
    </row>
    <row r="191" customFormat="false" ht="15" hidden="false" customHeight="false" outlineLevel="0" collapsed="false">
      <c r="A191" s="20"/>
      <c r="B191" s="35" t="str">
        <f aca="false">IF($A191="","",IFERROR(INDEX(مخرج_البند,MATCH($A191,قائمة_المخرجات,0)),""))</f>
        <v/>
      </c>
      <c r="C191" s="30" t="str">
        <f aca="false">IF($A191="","",IFERROR(INDEX(مخرج_الوصف,MATCH($A191,قائمة_المخرجات,0)),""))</f>
        <v/>
      </c>
      <c r="D191" s="20"/>
      <c r="E191" s="31"/>
      <c r="F191" s="22"/>
      <c r="G191" s="36" t="str">
        <f aca="false">IF(OR($A191="",$D191&lt;&gt;"تسليم",NOT(ISNUMBER($E191))),"",COUNTIFS($A$5:$A$1504,$A191,$D$5:$D$1504,"تسليم",$E$5:$E$1504,"&lt;"&amp;$E191)+1)</f>
        <v/>
      </c>
      <c r="H191" s="33" t="str">
        <f aca="false">IF($G191="","",_xlfn.MINIFS($E$5:$E$1504,$A$5:$A$1504,$A191,$D$5:$D$1504,"&lt;&gt;تسليم",$E$5:$E$1504,"&gt;="&amp;$E191))</f>
        <v/>
      </c>
      <c r="I191" s="33" t="str">
        <f aca="false">IF($G191="","",_xlfn.MINIFS($E$5:$E$1504,$A$5:$A$1504,$A191,$D$5:$D$1504,"تسليم",$E$5:$E$1504,"&gt;"&amp;$E191))</f>
        <v/>
      </c>
      <c r="J191" s="33" t="str">
        <f aca="false">IF($G191="","",IF(H191&gt;0,IF(I191&gt;0,MIN(H191,I191),H191),IF(I191&gt;0,I191,تاريخ_الاحتساب)))</f>
        <v/>
      </c>
      <c r="K191" s="34" t="str">
        <f aca="false">IF($G191="","",IF(AND(H191=0,I191=0),"جارية","مغلقة"))</f>
        <v/>
      </c>
      <c r="L191" s="26" t="str">
        <f aca="false">IF($G191="","",MAX(0,NETWORKDAYS.INTL($E191,J191,رمز_العطلة,أيام_الأجازات)-1))</f>
        <v/>
      </c>
      <c r="M191" s="26" t="str">
        <f aca="false">IF($G191="","",MAX(0,L191-مهلة_المراجعة))</f>
        <v/>
      </c>
      <c r="N191" s="30" t="str">
        <f aca="false">IF($A191="",IF(OR($D191&lt;&gt;"",$E191&lt;&gt;""),"رقم المخرج ناقص",""),IF(ISNA(MATCH($A191,قائمة_المخرجات,0)),"رقم مخرج غير موجود",IF($D191="","نوع الحركة ناقص",IF(NOT(ISNUMBER($E191)),"التاريخ ناقص",IF($E191&gt;تاريخ_الاحتساب,"تاريخ بعد تاريخ الاحتساب",IF(AND($D191&lt;&gt;"تسليم",COUNTIFS($A$5:$A$1504,$A191,$D$5:$D$1504,"تسليم",$E$5:$E$1504,"&lt;="&amp;$E191)=0),"لا يوجد تسليم قبل الحركة دي",""))))))</f>
        <v/>
      </c>
    </row>
    <row r="192" customFormat="false" ht="15" hidden="false" customHeight="false" outlineLevel="0" collapsed="false">
      <c r="A192" s="20"/>
      <c r="B192" s="35" t="str">
        <f aca="false">IF($A192="","",IFERROR(INDEX(مخرج_البند,MATCH($A192,قائمة_المخرجات,0)),""))</f>
        <v/>
      </c>
      <c r="C192" s="30" t="str">
        <f aca="false">IF($A192="","",IFERROR(INDEX(مخرج_الوصف,MATCH($A192,قائمة_المخرجات,0)),""))</f>
        <v/>
      </c>
      <c r="D192" s="20"/>
      <c r="E192" s="31"/>
      <c r="F192" s="22"/>
      <c r="G192" s="36" t="str">
        <f aca="false">IF(OR($A192="",$D192&lt;&gt;"تسليم",NOT(ISNUMBER($E192))),"",COUNTIFS($A$5:$A$1504,$A192,$D$5:$D$1504,"تسليم",$E$5:$E$1504,"&lt;"&amp;$E192)+1)</f>
        <v/>
      </c>
      <c r="H192" s="33" t="str">
        <f aca="false">IF($G192="","",_xlfn.MINIFS($E$5:$E$1504,$A$5:$A$1504,$A192,$D$5:$D$1504,"&lt;&gt;تسليم",$E$5:$E$1504,"&gt;="&amp;$E192))</f>
        <v/>
      </c>
      <c r="I192" s="33" t="str">
        <f aca="false">IF($G192="","",_xlfn.MINIFS($E$5:$E$1504,$A$5:$A$1504,$A192,$D$5:$D$1504,"تسليم",$E$5:$E$1504,"&gt;"&amp;$E192))</f>
        <v/>
      </c>
      <c r="J192" s="33" t="str">
        <f aca="false">IF($G192="","",IF(H192&gt;0,IF(I192&gt;0,MIN(H192,I192),H192),IF(I192&gt;0,I192,تاريخ_الاحتساب)))</f>
        <v/>
      </c>
      <c r="K192" s="34" t="str">
        <f aca="false">IF($G192="","",IF(AND(H192=0,I192=0),"جارية","مغلقة"))</f>
        <v/>
      </c>
      <c r="L192" s="26" t="str">
        <f aca="false">IF($G192="","",MAX(0,NETWORKDAYS.INTL($E192,J192,رمز_العطلة,أيام_الأجازات)-1))</f>
        <v/>
      </c>
      <c r="M192" s="26" t="str">
        <f aca="false">IF($G192="","",MAX(0,L192-مهلة_المراجعة))</f>
        <v/>
      </c>
      <c r="N192" s="30" t="str">
        <f aca="false">IF($A192="",IF(OR($D192&lt;&gt;"",$E192&lt;&gt;""),"رقم المخرج ناقص",""),IF(ISNA(MATCH($A192,قائمة_المخرجات,0)),"رقم مخرج غير موجود",IF($D192="","نوع الحركة ناقص",IF(NOT(ISNUMBER($E192)),"التاريخ ناقص",IF($E192&gt;تاريخ_الاحتساب,"تاريخ بعد تاريخ الاحتساب",IF(AND($D192&lt;&gt;"تسليم",COUNTIFS($A$5:$A$1504,$A192,$D$5:$D$1504,"تسليم",$E$5:$E$1504,"&lt;="&amp;$E192)=0),"لا يوجد تسليم قبل الحركة دي",""))))))</f>
        <v/>
      </c>
    </row>
    <row r="193" customFormat="false" ht="15" hidden="false" customHeight="false" outlineLevel="0" collapsed="false">
      <c r="A193" s="20"/>
      <c r="B193" s="35" t="str">
        <f aca="false">IF($A193="","",IFERROR(INDEX(مخرج_البند,MATCH($A193,قائمة_المخرجات,0)),""))</f>
        <v/>
      </c>
      <c r="C193" s="30" t="str">
        <f aca="false">IF($A193="","",IFERROR(INDEX(مخرج_الوصف,MATCH($A193,قائمة_المخرجات,0)),""))</f>
        <v/>
      </c>
      <c r="D193" s="20"/>
      <c r="E193" s="31"/>
      <c r="F193" s="22"/>
      <c r="G193" s="36" t="str">
        <f aca="false">IF(OR($A193="",$D193&lt;&gt;"تسليم",NOT(ISNUMBER($E193))),"",COUNTIFS($A$5:$A$1504,$A193,$D$5:$D$1504,"تسليم",$E$5:$E$1504,"&lt;"&amp;$E193)+1)</f>
        <v/>
      </c>
      <c r="H193" s="33" t="str">
        <f aca="false">IF($G193="","",_xlfn.MINIFS($E$5:$E$1504,$A$5:$A$1504,$A193,$D$5:$D$1504,"&lt;&gt;تسليم",$E$5:$E$1504,"&gt;="&amp;$E193))</f>
        <v/>
      </c>
      <c r="I193" s="33" t="str">
        <f aca="false">IF($G193="","",_xlfn.MINIFS($E$5:$E$1504,$A$5:$A$1504,$A193,$D$5:$D$1504,"تسليم",$E$5:$E$1504,"&gt;"&amp;$E193))</f>
        <v/>
      </c>
      <c r="J193" s="33" t="str">
        <f aca="false">IF($G193="","",IF(H193&gt;0,IF(I193&gt;0,MIN(H193,I193),H193),IF(I193&gt;0,I193,تاريخ_الاحتساب)))</f>
        <v/>
      </c>
      <c r="K193" s="34" t="str">
        <f aca="false">IF($G193="","",IF(AND(H193=0,I193=0),"جارية","مغلقة"))</f>
        <v/>
      </c>
      <c r="L193" s="26" t="str">
        <f aca="false">IF($G193="","",MAX(0,NETWORKDAYS.INTL($E193,J193,رمز_العطلة,أيام_الأجازات)-1))</f>
        <v/>
      </c>
      <c r="M193" s="26" t="str">
        <f aca="false">IF($G193="","",MAX(0,L193-مهلة_المراجعة))</f>
        <v/>
      </c>
      <c r="N193" s="30" t="str">
        <f aca="false">IF($A193="",IF(OR($D193&lt;&gt;"",$E193&lt;&gt;""),"رقم المخرج ناقص",""),IF(ISNA(MATCH($A193,قائمة_المخرجات,0)),"رقم مخرج غير موجود",IF($D193="","نوع الحركة ناقص",IF(NOT(ISNUMBER($E193)),"التاريخ ناقص",IF($E193&gt;تاريخ_الاحتساب,"تاريخ بعد تاريخ الاحتساب",IF(AND($D193&lt;&gt;"تسليم",COUNTIFS($A$5:$A$1504,$A193,$D$5:$D$1504,"تسليم",$E$5:$E$1504,"&lt;="&amp;$E193)=0),"لا يوجد تسليم قبل الحركة دي",""))))))</f>
        <v/>
      </c>
    </row>
    <row r="194" customFormat="false" ht="15" hidden="false" customHeight="false" outlineLevel="0" collapsed="false">
      <c r="A194" s="20"/>
      <c r="B194" s="35" t="str">
        <f aca="false">IF($A194="","",IFERROR(INDEX(مخرج_البند,MATCH($A194,قائمة_المخرجات,0)),""))</f>
        <v/>
      </c>
      <c r="C194" s="30" t="str">
        <f aca="false">IF($A194="","",IFERROR(INDEX(مخرج_الوصف,MATCH($A194,قائمة_المخرجات,0)),""))</f>
        <v/>
      </c>
      <c r="D194" s="20"/>
      <c r="E194" s="31"/>
      <c r="F194" s="22"/>
      <c r="G194" s="36" t="str">
        <f aca="false">IF(OR($A194="",$D194&lt;&gt;"تسليم",NOT(ISNUMBER($E194))),"",COUNTIFS($A$5:$A$1504,$A194,$D$5:$D$1504,"تسليم",$E$5:$E$1504,"&lt;"&amp;$E194)+1)</f>
        <v/>
      </c>
      <c r="H194" s="33" t="str">
        <f aca="false">IF($G194="","",_xlfn.MINIFS($E$5:$E$1504,$A$5:$A$1504,$A194,$D$5:$D$1504,"&lt;&gt;تسليم",$E$5:$E$1504,"&gt;="&amp;$E194))</f>
        <v/>
      </c>
      <c r="I194" s="33" t="str">
        <f aca="false">IF($G194="","",_xlfn.MINIFS($E$5:$E$1504,$A$5:$A$1504,$A194,$D$5:$D$1504,"تسليم",$E$5:$E$1504,"&gt;"&amp;$E194))</f>
        <v/>
      </c>
      <c r="J194" s="33" t="str">
        <f aca="false">IF($G194="","",IF(H194&gt;0,IF(I194&gt;0,MIN(H194,I194),H194),IF(I194&gt;0,I194,تاريخ_الاحتساب)))</f>
        <v/>
      </c>
      <c r="K194" s="34" t="str">
        <f aca="false">IF($G194="","",IF(AND(H194=0,I194=0),"جارية","مغلقة"))</f>
        <v/>
      </c>
      <c r="L194" s="26" t="str">
        <f aca="false">IF($G194="","",MAX(0,NETWORKDAYS.INTL($E194,J194,رمز_العطلة,أيام_الأجازات)-1))</f>
        <v/>
      </c>
      <c r="M194" s="26" t="str">
        <f aca="false">IF($G194="","",MAX(0,L194-مهلة_المراجعة))</f>
        <v/>
      </c>
      <c r="N194" s="30" t="str">
        <f aca="false">IF($A194="",IF(OR($D194&lt;&gt;"",$E194&lt;&gt;""),"رقم المخرج ناقص",""),IF(ISNA(MATCH($A194,قائمة_المخرجات,0)),"رقم مخرج غير موجود",IF($D194="","نوع الحركة ناقص",IF(NOT(ISNUMBER($E194)),"التاريخ ناقص",IF($E194&gt;تاريخ_الاحتساب,"تاريخ بعد تاريخ الاحتساب",IF(AND($D194&lt;&gt;"تسليم",COUNTIFS($A$5:$A$1504,$A194,$D$5:$D$1504,"تسليم",$E$5:$E$1504,"&lt;="&amp;$E194)=0),"لا يوجد تسليم قبل الحركة دي",""))))))</f>
        <v/>
      </c>
    </row>
    <row r="195" customFormat="false" ht="15" hidden="false" customHeight="false" outlineLevel="0" collapsed="false">
      <c r="A195" s="20"/>
      <c r="B195" s="35" t="str">
        <f aca="false">IF($A195="","",IFERROR(INDEX(مخرج_البند,MATCH($A195,قائمة_المخرجات,0)),""))</f>
        <v/>
      </c>
      <c r="C195" s="30" t="str">
        <f aca="false">IF($A195="","",IFERROR(INDEX(مخرج_الوصف,MATCH($A195,قائمة_المخرجات,0)),""))</f>
        <v/>
      </c>
      <c r="D195" s="20"/>
      <c r="E195" s="31"/>
      <c r="F195" s="22"/>
      <c r="G195" s="36" t="str">
        <f aca="false">IF(OR($A195="",$D195&lt;&gt;"تسليم",NOT(ISNUMBER($E195))),"",COUNTIFS($A$5:$A$1504,$A195,$D$5:$D$1504,"تسليم",$E$5:$E$1504,"&lt;"&amp;$E195)+1)</f>
        <v/>
      </c>
      <c r="H195" s="33" t="str">
        <f aca="false">IF($G195="","",_xlfn.MINIFS($E$5:$E$1504,$A$5:$A$1504,$A195,$D$5:$D$1504,"&lt;&gt;تسليم",$E$5:$E$1504,"&gt;="&amp;$E195))</f>
        <v/>
      </c>
      <c r="I195" s="33" t="str">
        <f aca="false">IF($G195="","",_xlfn.MINIFS($E$5:$E$1504,$A$5:$A$1504,$A195,$D$5:$D$1504,"تسليم",$E$5:$E$1504,"&gt;"&amp;$E195))</f>
        <v/>
      </c>
      <c r="J195" s="33" t="str">
        <f aca="false">IF($G195="","",IF(H195&gt;0,IF(I195&gt;0,MIN(H195,I195),H195),IF(I195&gt;0,I195,تاريخ_الاحتساب)))</f>
        <v/>
      </c>
      <c r="K195" s="34" t="str">
        <f aca="false">IF($G195="","",IF(AND(H195=0,I195=0),"جارية","مغلقة"))</f>
        <v/>
      </c>
      <c r="L195" s="26" t="str">
        <f aca="false">IF($G195="","",MAX(0,NETWORKDAYS.INTL($E195,J195,رمز_العطلة,أيام_الأجازات)-1))</f>
        <v/>
      </c>
      <c r="M195" s="26" t="str">
        <f aca="false">IF($G195="","",MAX(0,L195-مهلة_المراجعة))</f>
        <v/>
      </c>
      <c r="N195" s="30" t="str">
        <f aca="false">IF($A195="",IF(OR($D195&lt;&gt;"",$E195&lt;&gt;""),"رقم المخرج ناقص",""),IF(ISNA(MATCH($A195,قائمة_المخرجات,0)),"رقم مخرج غير موجود",IF($D195="","نوع الحركة ناقص",IF(NOT(ISNUMBER($E195)),"التاريخ ناقص",IF($E195&gt;تاريخ_الاحتساب,"تاريخ بعد تاريخ الاحتساب",IF(AND($D195&lt;&gt;"تسليم",COUNTIFS($A$5:$A$1504,$A195,$D$5:$D$1504,"تسليم",$E$5:$E$1504,"&lt;="&amp;$E195)=0),"لا يوجد تسليم قبل الحركة دي",""))))))</f>
        <v/>
      </c>
    </row>
    <row r="196" customFormat="false" ht="15" hidden="false" customHeight="false" outlineLevel="0" collapsed="false">
      <c r="A196" s="20"/>
      <c r="B196" s="35" t="str">
        <f aca="false">IF($A196="","",IFERROR(INDEX(مخرج_البند,MATCH($A196,قائمة_المخرجات,0)),""))</f>
        <v/>
      </c>
      <c r="C196" s="30" t="str">
        <f aca="false">IF($A196="","",IFERROR(INDEX(مخرج_الوصف,MATCH($A196,قائمة_المخرجات,0)),""))</f>
        <v/>
      </c>
      <c r="D196" s="20"/>
      <c r="E196" s="31"/>
      <c r="F196" s="22"/>
      <c r="G196" s="36" t="str">
        <f aca="false">IF(OR($A196="",$D196&lt;&gt;"تسليم",NOT(ISNUMBER($E196))),"",COUNTIFS($A$5:$A$1504,$A196,$D$5:$D$1504,"تسليم",$E$5:$E$1504,"&lt;"&amp;$E196)+1)</f>
        <v/>
      </c>
      <c r="H196" s="33" t="str">
        <f aca="false">IF($G196="","",_xlfn.MINIFS($E$5:$E$1504,$A$5:$A$1504,$A196,$D$5:$D$1504,"&lt;&gt;تسليم",$E$5:$E$1504,"&gt;="&amp;$E196))</f>
        <v/>
      </c>
      <c r="I196" s="33" t="str">
        <f aca="false">IF($G196="","",_xlfn.MINIFS($E$5:$E$1504,$A$5:$A$1504,$A196,$D$5:$D$1504,"تسليم",$E$5:$E$1504,"&gt;"&amp;$E196))</f>
        <v/>
      </c>
      <c r="J196" s="33" t="str">
        <f aca="false">IF($G196="","",IF(H196&gt;0,IF(I196&gt;0,MIN(H196,I196),H196),IF(I196&gt;0,I196,تاريخ_الاحتساب)))</f>
        <v/>
      </c>
      <c r="K196" s="34" t="str">
        <f aca="false">IF($G196="","",IF(AND(H196=0,I196=0),"جارية","مغلقة"))</f>
        <v/>
      </c>
      <c r="L196" s="26" t="str">
        <f aca="false">IF($G196="","",MAX(0,NETWORKDAYS.INTL($E196,J196,رمز_العطلة,أيام_الأجازات)-1))</f>
        <v/>
      </c>
      <c r="M196" s="26" t="str">
        <f aca="false">IF($G196="","",MAX(0,L196-مهلة_المراجعة))</f>
        <v/>
      </c>
      <c r="N196" s="30" t="str">
        <f aca="false">IF($A196="",IF(OR($D196&lt;&gt;"",$E196&lt;&gt;""),"رقم المخرج ناقص",""),IF(ISNA(MATCH($A196,قائمة_المخرجات,0)),"رقم مخرج غير موجود",IF($D196="","نوع الحركة ناقص",IF(NOT(ISNUMBER($E196)),"التاريخ ناقص",IF($E196&gt;تاريخ_الاحتساب,"تاريخ بعد تاريخ الاحتساب",IF(AND($D196&lt;&gt;"تسليم",COUNTIFS($A$5:$A$1504,$A196,$D$5:$D$1504,"تسليم",$E$5:$E$1504,"&lt;="&amp;$E196)=0),"لا يوجد تسليم قبل الحركة دي",""))))))</f>
        <v/>
      </c>
    </row>
    <row r="197" customFormat="false" ht="15" hidden="false" customHeight="false" outlineLevel="0" collapsed="false">
      <c r="A197" s="20"/>
      <c r="B197" s="35" t="str">
        <f aca="false">IF($A197="","",IFERROR(INDEX(مخرج_البند,MATCH($A197,قائمة_المخرجات,0)),""))</f>
        <v/>
      </c>
      <c r="C197" s="30" t="str">
        <f aca="false">IF($A197="","",IFERROR(INDEX(مخرج_الوصف,MATCH($A197,قائمة_المخرجات,0)),""))</f>
        <v/>
      </c>
      <c r="D197" s="20"/>
      <c r="E197" s="31"/>
      <c r="F197" s="22"/>
      <c r="G197" s="36" t="str">
        <f aca="false">IF(OR($A197="",$D197&lt;&gt;"تسليم",NOT(ISNUMBER($E197))),"",COUNTIFS($A$5:$A$1504,$A197,$D$5:$D$1504,"تسليم",$E$5:$E$1504,"&lt;"&amp;$E197)+1)</f>
        <v/>
      </c>
      <c r="H197" s="33" t="str">
        <f aca="false">IF($G197="","",_xlfn.MINIFS($E$5:$E$1504,$A$5:$A$1504,$A197,$D$5:$D$1504,"&lt;&gt;تسليم",$E$5:$E$1504,"&gt;="&amp;$E197))</f>
        <v/>
      </c>
      <c r="I197" s="33" t="str">
        <f aca="false">IF($G197="","",_xlfn.MINIFS($E$5:$E$1504,$A$5:$A$1504,$A197,$D$5:$D$1504,"تسليم",$E$5:$E$1504,"&gt;"&amp;$E197))</f>
        <v/>
      </c>
      <c r="J197" s="33" t="str">
        <f aca="false">IF($G197="","",IF(H197&gt;0,IF(I197&gt;0,MIN(H197,I197),H197),IF(I197&gt;0,I197,تاريخ_الاحتساب)))</f>
        <v/>
      </c>
      <c r="K197" s="34" t="str">
        <f aca="false">IF($G197="","",IF(AND(H197=0,I197=0),"جارية","مغلقة"))</f>
        <v/>
      </c>
      <c r="L197" s="26" t="str">
        <f aca="false">IF($G197="","",MAX(0,NETWORKDAYS.INTL($E197,J197,رمز_العطلة,أيام_الأجازات)-1))</f>
        <v/>
      </c>
      <c r="M197" s="26" t="str">
        <f aca="false">IF($G197="","",MAX(0,L197-مهلة_المراجعة))</f>
        <v/>
      </c>
      <c r="N197" s="30" t="str">
        <f aca="false">IF($A197="",IF(OR($D197&lt;&gt;"",$E197&lt;&gt;""),"رقم المخرج ناقص",""),IF(ISNA(MATCH($A197,قائمة_المخرجات,0)),"رقم مخرج غير موجود",IF($D197="","نوع الحركة ناقص",IF(NOT(ISNUMBER($E197)),"التاريخ ناقص",IF($E197&gt;تاريخ_الاحتساب,"تاريخ بعد تاريخ الاحتساب",IF(AND($D197&lt;&gt;"تسليم",COUNTIFS($A$5:$A$1504,$A197,$D$5:$D$1504,"تسليم",$E$5:$E$1504,"&lt;="&amp;$E197)=0),"لا يوجد تسليم قبل الحركة دي",""))))))</f>
        <v/>
      </c>
    </row>
    <row r="198" customFormat="false" ht="15" hidden="false" customHeight="false" outlineLevel="0" collapsed="false">
      <c r="A198" s="20"/>
      <c r="B198" s="35" t="str">
        <f aca="false">IF($A198="","",IFERROR(INDEX(مخرج_البند,MATCH($A198,قائمة_المخرجات,0)),""))</f>
        <v/>
      </c>
      <c r="C198" s="30" t="str">
        <f aca="false">IF($A198="","",IFERROR(INDEX(مخرج_الوصف,MATCH($A198,قائمة_المخرجات,0)),""))</f>
        <v/>
      </c>
      <c r="D198" s="20"/>
      <c r="E198" s="31"/>
      <c r="F198" s="22"/>
      <c r="G198" s="36" t="str">
        <f aca="false">IF(OR($A198="",$D198&lt;&gt;"تسليم",NOT(ISNUMBER($E198))),"",COUNTIFS($A$5:$A$1504,$A198,$D$5:$D$1504,"تسليم",$E$5:$E$1504,"&lt;"&amp;$E198)+1)</f>
        <v/>
      </c>
      <c r="H198" s="33" t="str">
        <f aca="false">IF($G198="","",_xlfn.MINIFS($E$5:$E$1504,$A$5:$A$1504,$A198,$D$5:$D$1504,"&lt;&gt;تسليم",$E$5:$E$1504,"&gt;="&amp;$E198))</f>
        <v/>
      </c>
      <c r="I198" s="33" t="str">
        <f aca="false">IF($G198="","",_xlfn.MINIFS($E$5:$E$1504,$A$5:$A$1504,$A198,$D$5:$D$1504,"تسليم",$E$5:$E$1504,"&gt;"&amp;$E198))</f>
        <v/>
      </c>
      <c r="J198" s="33" t="str">
        <f aca="false">IF($G198="","",IF(H198&gt;0,IF(I198&gt;0,MIN(H198,I198),H198),IF(I198&gt;0,I198,تاريخ_الاحتساب)))</f>
        <v/>
      </c>
      <c r="K198" s="34" t="str">
        <f aca="false">IF($G198="","",IF(AND(H198=0,I198=0),"جارية","مغلقة"))</f>
        <v/>
      </c>
      <c r="L198" s="26" t="str">
        <f aca="false">IF($G198="","",MAX(0,NETWORKDAYS.INTL($E198,J198,رمز_العطلة,أيام_الأجازات)-1))</f>
        <v/>
      </c>
      <c r="M198" s="26" t="str">
        <f aca="false">IF($G198="","",MAX(0,L198-مهلة_المراجعة))</f>
        <v/>
      </c>
      <c r="N198" s="30" t="str">
        <f aca="false">IF($A198="",IF(OR($D198&lt;&gt;"",$E198&lt;&gt;""),"رقم المخرج ناقص",""),IF(ISNA(MATCH($A198,قائمة_المخرجات,0)),"رقم مخرج غير موجود",IF($D198="","نوع الحركة ناقص",IF(NOT(ISNUMBER($E198)),"التاريخ ناقص",IF($E198&gt;تاريخ_الاحتساب,"تاريخ بعد تاريخ الاحتساب",IF(AND($D198&lt;&gt;"تسليم",COUNTIFS($A$5:$A$1504,$A198,$D$5:$D$1504,"تسليم",$E$5:$E$1504,"&lt;="&amp;$E198)=0),"لا يوجد تسليم قبل الحركة دي",""))))))</f>
        <v/>
      </c>
    </row>
    <row r="199" customFormat="false" ht="15" hidden="false" customHeight="false" outlineLevel="0" collapsed="false">
      <c r="A199" s="20"/>
      <c r="B199" s="35" t="str">
        <f aca="false">IF($A199="","",IFERROR(INDEX(مخرج_البند,MATCH($A199,قائمة_المخرجات,0)),""))</f>
        <v/>
      </c>
      <c r="C199" s="30" t="str">
        <f aca="false">IF($A199="","",IFERROR(INDEX(مخرج_الوصف,MATCH($A199,قائمة_المخرجات,0)),""))</f>
        <v/>
      </c>
      <c r="D199" s="20"/>
      <c r="E199" s="31"/>
      <c r="F199" s="22"/>
      <c r="G199" s="36" t="str">
        <f aca="false">IF(OR($A199="",$D199&lt;&gt;"تسليم",NOT(ISNUMBER($E199))),"",COUNTIFS($A$5:$A$1504,$A199,$D$5:$D$1504,"تسليم",$E$5:$E$1504,"&lt;"&amp;$E199)+1)</f>
        <v/>
      </c>
      <c r="H199" s="33" t="str">
        <f aca="false">IF($G199="","",_xlfn.MINIFS($E$5:$E$1504,$A$5:$A$1504,$A199,$D$5:$D$1504,"&lt;&gt;تسليم",$E$5:$E$1504,"&gt;="&amp;$E199))</f>
        <v/>
      </c>
      <c r="I199" s="33" t="str">
        <f aca="false">IF($G199="","",_xlfn.MINIFS($E$5:$E$1504,$A$5:$A$1504,$A199,$D$5:$D$1504,"تسليم",$E$5:$E$1504,"&gt;"&amp;$E199))</f>
        <v/>
      </c>
      <c r="J199" s="33" t="str">
        <f aca="false">IF($G199="","",IF(H199&gt;0,IF(I199&gt;0,MIN(H199,I199),H199),IF(I199&gt;0,I199,تاريخ_الاحتساب)))</f>
        <v/>
      </c>
      <c r="K199" s="34" t="str">
        <f aca="false">IF($G199="","",IF(AND(H199=0,I199=0),"جارية","مغلقة"))</f>
        <v/>
      </c>
      <c r="L199" s="26" t="str">
        <f aca="false">IF($G199="","",MAX(0,NETWORKDAYS.INTL($E199,J199,رمز_العطلة,أيام_الأجازات)-1))</f>
        <v/>
      </c>
      <c r="M199" s="26" t="str">
        <f aca="false">IF($G199="","",MAX(0,L199-مهلة_المراجعة))</f>
        <v/>
      </c>
      <c r="N199" s="30" t="str">
        <f aca="false">IF($A199="",IF(OR($D199&lt;&gt;"",$E199&lt;&gt;""),"رقم المخرج ناقص",""),IF(ISNA(MATCH($A199,قائمة_المخرجات,0)),"رقم مخرج غير موجود",IF($D199="","نوع الحركة ناقص",IF(NOT(ISNUMBER($E199)),"التاريخ ناقص",IF($E199&gt;تاريخ_الاحتساب,"تاريخ بعد تاريخ الاحتساب",IF(AND($D199&lt;&gt;"تسليم",COUNTIFS($A$5:$A$1504,$A199,$D$5:$D$1504,"تسليم",$E$5:$E$1504,"&lt;="&amp;$E199)=0),"لا يوجد تسليم قبل الحركة دي",""))))))</f>
        <v/>
      </c>
    </row>
    <row r="200" customFormat="false" ht="15" hidden="false" customHeight="false" outlineLevel="0" collapsed="false">
      <c r="A200" s="20"/>
      <c r="B200" s="35" t="str">
        <f aca="false">IF($A200="","",IFERROR(INDEX(مخرج_البند,MATCH($A200,قائمة_المخرجات,0)),""))</f>
        <v/>
      </c>
      <c r="C200" s="30" t="str">
        <f aca="false">IF($A200="","",IFERROR(INDEX(مخرج_الوصف,MATCH($A200,قائمة_المخرجات,0)),""))</f>
        <v/>
      </c>
      <c r="D200" s="20"/>
      <c r="E200" s="31"/>
      <c r="F200" s="22"/>
      <c r="G200" s="36" t="str">
        <f aca="false">IF(OR($A200="",$D200&lt;&gt;"تسليم",NOT(ISNUMBER($E200))),"",COUNTIFS($A$5:$A$1504,$A200,$D$5:$D$1504,"تسليم",$E$5:$E$1504,"&lt;"&amp;$E200)+1)</f>
        <v/>
      </c>
      <c r="H200" s="33" t="str">
        <f aca="false">IF($G200="","",_xlfn.MINIFS($E$5:$E$1504,$A$5:$A$1504,$A200,$D$5:$D$1504,"&lt;&gt;تسليم",$E$5:$E$1504,"&gt;="&amp;$E200))</f>
        <v/>
      </c>
      <c r="I200" s="33" t="str">
        <f aca="false">IF($G200="","",_xlfn.MINIFS($E$5:$E$1504,$A$5:$A$1504,$A200,$D$5:$D$1504,"تسليم",$E$5:$E$1504,"&gt;"&amp;$E200))</f>
        <v/>
      </c>
      <c r="J200" s="33" t="str">
        <f aca="false">IF($G200="","",IF(H200&gt;0,IF(I200&gt;0,MIN(H200,I200),H200),IF(I200&gt;0,I200,تاريخ_الاحتساب)))</f>
        <v/>
      </c>
      <c r="K200" s="34" t="str">
        <f aca="false">IF($G200="","",IF(AND(H200=0,I200=0),"جارية","مغلقة"))</f>
        <v/>
      </c>
      <c r="L200" s="26" t="str">
        <f aca="false">IF($G200="","",MAX(0,NETWORKDAYS.INTL($E200,J200,رمز_العطلة,أيام_الأجازات)-1))</f>
        <v/>
      </c>
      <c r="M200" s="26" t="str">
        <f aca="false">IF($G200="","",MAX(0,L200-مهلة_المراجعة))</f>
        <v/>
      </c>
      <c r="N200" s="30" t="str">
        <f aca="false">IF($A200="",IF(OR($D200&lt;&gt;"",$E200&lt;&gt;""),"رقم المخرج ناقص",""),IF(ISNA(MATCH($A200,قائمة_المخرجات,0)),"رقم مخرج غير موجود",IF($D200="","نوع الحركة ناقص",IF(NOT(ISNUMBER($E200)),"التاريخ ناقص",IF($E200&gt;تاريخ_الاحتساب,"تاريخ بعد تاريخ الاحتساب",IF(AND($D200&lt;&gt;"تسليم",COUNTIFS($A$5:$A$1504,$A200,$D$5:$D$1504,"تسليم",$E$5:$E$1504,"&lt;="&amp;$E200)=0),"لا يوجد تسليم قبل الحركة دي",""))))))</f>
        <v/>
      </c>
    </row>
    <row r="201" customFormat="false" ht="15" hidden="false" customHeight="false" outlineLevel="0" collapsed="false">
      <c r="A201" s="20"/>
      <c r="B201" s="35" t="str">
        <f aca="false">IF($A201="","",IFERROR(INDEX(مخرج_البند,MATCH($A201,قائمة_المخرجات,0)),""))</f>
        <v/>
      </c>
      <c r="C201" s="30" t="str">
        <f aca="false">IF($A201="","",IFERROR(INDEX(مخرج_الوصف,MATCH($A201,قائمة_المخرجات,0)),""))</f>
        <v/>
      </c>
      <c r="D201" s="20"/>
      <c r="E201" s="31"/>
      <c r="F201" s="22"/>
      <c r="G201" s="36" t="str">
        <f aca="false">IF(OR($A201="",$D201&lt;&gt;"تسليم",NOT(ISNUMBER($E201))),"",COUNTIFS($A$5:$A$1504,$A201,$D$5:$D$1504,"تسليم",$E$5:$E$1504,"&lt;"&amp;$E201)+1)</f>
        <v/>
      </c>
      <c r="H201" s="33" t="str">
        <f aca="false">IF($G201="","",_xlfn.MINIFS($E$5:$E$1504,$A$5:$A$1504,$A201,$D$5:$D$1504,"&lt;&gt;تسليم",$E$5:$E$1504,"&gt;="&amp;$E201))</f>
        <v/>
      </c>
      <c r="I201" s="33" t="str">
        <f aca="false">IF($G201="","",_xlfn.MINIFS($E$5:$E$1504,$A$5:$A$1504,$A201,$D$5:$D$1504,"تسليم",$E$5:$E$1504,"&gt;"&amp;$E201))</f>
        <v/>
      </c>
      <c r="J201" s="33" t="str">
        <f aca="false">IF($G201="","",IF(H201&gt;0,IF(I201&gt;0,MIN(H201,I201),H201),IF(I201&gt;0,I201,تاريخ_الاحتساب)))</f>
        <v/>
      </c>
      <c r="K201" s="34" t="str">
        <f aca="false">IF($G201="","",IF(AND(H201=0,I201=0),"جارية","مغلقة"))</f>
        <v/>
      </c>
      <c r="L201" s="26" t="str">
        <f aca="false">IF($G201="","",MAX(0,NETWORKDAYS.INTL($E201,J201,رمز_العطلة,أيام_الأجازات)-1))</f>
        <v/>
      </c>
      <c r="M201" s="26" t="str">
        <f aca="false">IF($G201="","",MAX(0,L201-مهلة_المراجعة))</f>
        <v/>
      </c>
      <c r="N201" s="30" t="str">
        <f aca="false">IF($A201="",IF(OR($D201&lt;&gt;"",$E201&lt;&gt;""),"رقم المخرج ناقص",""),IF(ISNA(MATCH($A201,قائمة_المخرجات,0)),"رقم مخرج غير موجود",IF($D201="","نوع الحركة ناقص",IF(NOT(ISNUMBER($E201)),"التاريخ ناقص",IF($E201&gt;تاريخ_الاحتساب,"تاريخ بعد تاريخ الاحتساب",IF(AND($D201&lt;&gt;"تسليم",COUNTIFS($A$5:$A$1504,$A201,$D$5:$D$1504,"تسليم",$E$5:$E$1504,"&lt;="&amp;$E201)=0),"لا يوجد تسليم قبل الحركة دي",""))))))</f>
        <v/>
      </c>
    </row>
    <row r="202" customFormat="false" ht="15" hidden="false" customHeight="false" outlineLevel="0" collapsed="false">
      <c r="A202" s="20"/>
      <c r="B202" s="35" t="str">
        <f aca="false">IF($A202="","",IFERROR(INDEX(مخرج_البند,MATCH($A202,قائمة_المخرجات,0)),""))</f>
        <v/>
      </c>
      <c r="C202" s="30" t="str">
        <f aca="false">IF($A202="","",IFERROR(INDEX(مخرج_الوصف,MATCH($A202,قائمة_المخرجات,0)),""))</f>
        <v/>
      </c>
      <c r="D202" s="20"/>
      <c r="E202" s="31"/>
      <c r="F202" s="22"/>
      <c r="G202" s="36" t="str">
        <f aca="false">IF(OR($A202="",$D202&lt;&gt;"تسليم",NOT(ISNUMBER($E202))),"",COUNTIFS($A$5:$A$1504,$A202,$D$5:$D$1504,"تسليم",$E$5:$E$1504,"&lt;"&amp;$E202)+1)</f>
        <v/>
      </c>
      <c r="H202" s="33" t="str">
        <f aca="false">IF($G202="","",_xlfn.MINIFS($E$5:$E$1504,$A$5:$A$1504,$A202,$D$5:$D$1504,"&lt;&gt;تسليم",$E$5:$E$1504,"&gt;="&amp;$E202))</f>
        <v/>
      </c>
      <c r="I202" s="33" t="str">
        <f aca="false">IF($G202="","",_xlfn.MINIFS($E$5:$E$1504,$A$5:$A$1504,$A202,$D$5:$D$1504,"تسليم",$E$5:$E$1504,"&gt;"&amp;$E202))</f>
        <v/>
      </c>
      <c r="J202" s="33" t="str">
        <f aca="false">IF($G202="","",IF(H202&gt;0,IF(I202&gt;0,MIN(H202,I202),H202),IF(I202&gt;0,I202,تاريخ_الاحتساب)))</f>
        <v/>
      </c>
      <c r="K202" s="34" t="str">
        <f aca="false">IF($G202="","",IF(AND(H202=0,I202=0),"جارية","مغلقة"))</f>
        <v/>
      </c>
      <c r="L202" s="26" t="str">
        <f aca="false">IF($G202="","",MAX(0,NETWORKDAYS.INTL($E202,J202,رمز_العطلة,أيام_الأجازات)-1))</f>
        <v/>
      </c>
      <c r="M202" s="26" t="str">
        <f aca="false">IF($G202="","",MAX(0,L202-مهلة_المراجعة))</f>
        <v/>
      </c>
      <c r="N202" s="30" t="str">
        <f aca="false">IF($A202="",IF(OR($D202&lt;&gt;"",$E202&lt;&gt;""),"رقم المخرج ناقص",""),IF(ISNA(MATCH($A202,قائمة_المخرجات,0)),"رقم مخرج غير موجود",IF($D202="","نوع الحركة ناقص",IF(NOT(ISNUMBER($E202)),"التاريخ ناقص",IF($E202&gt;تاريخ_الاحتساب,"تاريخ بعد تاريخ الاحتساب",IF(AND($D202&lt;&gt;"تسليم",COUNTIFS($A$5:$A$1504,$A202,$D$5:$D$1504,"تسليم",$E$5:$E$1504,"&lt;="&amp;$E202)=0),"لا يوجد تسليم قبل الحركة دي",""))))))</f>
        <v/>
      </c>
    </row>
    <row r="203" customFormat="false" ht="15" hidden="false" customHeight="false" outlineLevel="0" collapsed="false">
      <c r="A203" s="20"/>
      <c r="B203" s="35" t="str">
        <f aca="false">IF($A203="","",IFERROR(INDEX(مخرج_البند,MATCH($A203,قائمة_المخرجات,0)),""))</f>
        <v/>
      </c>
      <c r="C203" s="30" t="str">
        <f aca="false">IF($A203="","",IFERROR(INDEX(مخرج_الوصف,MATCH($A203,قائمة_المخرجات,0)),""))</f>
        <v/>
      </c>
      <c r="D203" s="20"/>
      <c r="E203" s="31"/>
      <c r="F203" s="22"/>
      <c r="G203" s="36" t="str">
        <f aca="false">IF(OR($A203="",$D203&lt;&gt;"تسليم",NOT(ISNUMBER($E203))),"",COUNTIFS($A$5:$A$1504,$A203,$D$5:$D$1504,"تسليم",$E$5:$E$1504,"&lt;"&amp;$E203)+1)</f>
        <v/>
      </c>
      <c r="H203" s="33" t="str">
        <f aca="false">IF($G203="","",_xlfn.MINIFS($E$5:$E$1504,$A$5:$A$1504,$A203,$D$5:$D$1504,"&lt;&gt;تسليم",$E$5:$E$1504,"&gt;="&amp;$E203))</f>
        <v/>
      </c>
      <c r="I203" s="33" t="str">
        <f aca="false">IF($G203="","",_xlfn.MINIFS($E$5:$E$1504,$A$5:$A$1504,$A203,$D$5:$D$1504,"تسليم",$E$5:$E$1504,"&gt;"&amp;$E203))</f>
        <v/>
      </c>
      <c r="J203" s="33" t="str">
        <f aca="false">IF($G203="","",IF(H203&gt;0,IF(I203&gt;0,MIN(H203,I203),H203),IF(I203&gt;0,I203,تاريخ_الاحتساب)))</f>
        <v/>
      </c>
      <c r="K203" s="34" t="str">
        <f aca="false">IF($G203="","",IF(AND(H203=0,I203=0),"جارية","مغلقة"))</f>
        <v/>
      </c>
      <c r="L203" s="26" t="str">
        <f aca="false">IF($G203="","",MAX(0,NETWORKDAYS.INTL($E203,J203,رمز_العطلة,أيام_الأجازات)-1))</f>
        <v/>
      </c>
      <c r="M203" s="26" t="str">
        <f aca="false">IF($G203="","",MAX(0,L203-مهلة_المراجعة))</f>
        <v/>
      </c>
      <c r="N203" s="30" t="str">
        <f aca="false">IF($A203="",IF(OR($D203&lt;&gt;"",$E203&lt;&gt;""),"رقم المخرج ناقص",""),IF(ISNA(MATCH($A203,قائمة_المخرجات,0)),"رقم مخرج غير موجود",IF($D203="","نوع الحركة ناقص",IF(NOT(ISNUMBER($E203)),"التاريخ ناقص",IF($E203&gt;تاريخ_الاحتساب,"تاريخ بعد تاريخ الاحتساب",IF(AND($D203&lt;&gt;"تسليم",COUNTIFS($A$5:$A$1504,$A203,$D$5:$D$1504,"تسليم",$E$5:$E$1504,"&lt;="&amp;$E203)=0),"لا يوجد تسليم قبل الحركة دي",""))))))</f>
        <v/>
      </c>
    </row>
    <row r="204" customFormat="false" ht="15" hidden="false" customHeight="false" outlineLevel="0" collapsed="false">
      <c r="A204" s="20"/>
      <c r="B204" s="35" t="str">
        <f aca="false">IF($A204="","",IFERROR(INDEX(مخرج_البند,MATCH($A204,قائمة_المخرجات,0)),""))</f>
        <v/>
      </c>
      <c r="C204" s="30" t="str">
        <f aca="false">IF($A204="","",IFERROR(INDEX(مخرج_الوصف,MATCH($A204,قائمة_المخرجات,0)),""))</f>
        <v/>
      </c>
      <c r="D204" s="20"/>
      <c r="E204" s="31"/>
      <c r="F204" s="22"/>
      <c r="G204" s="36" t="str">
        <f aca="false">IF(OR($A204="",$D204&lt;&gt;"تسليم",NOT(ISNUMBER($E204))),"",COUNTIFS($A$5:$A$1504,$A204,$D$5:$D$1504,"تسليم",$E$5:$E$1504,"&lt;"&amp;$E204)+1)</f>
        <v/>
      </c>
      <c r="H204" s="33" t="str">
        <f aca="false">IF($G204="","",_xlfn.MINIFS($E$5:$E$1504,$A$5:$A$1504,$A204,$D$5:$D$1504,"&lt;&gt;تسليم",$E$5:$E$1504,"&gt;="&amp;$E204))</f>
        <v/>
      </c>
      <c r="I204" s="33" t="str">
        <f aca="false">IF($G204="","",_xlfn.MINIFS($E$5:$E$1504,$A$5:$A$1504,$A204,$D$5:$D$1504,"تسليم",$E$5:$E$1504,"&gt;"&amp;$E204))</f>
        <v/>
      </c>
      <c r="J204" s="33" t="str">
        <f aca="false">IF($G204="","",IF(H204&gt;0,IF(I204&gt;0,MIN(H204,I204),H204),IF(I204&gt;0,I204,تاريخ_الاحتساب)))</f>
        <v/>
      </c>
      <c r="K204" s="34" t="str">
        <f aca="false">IF($G204="","",IF(AND(H204=0,I204=0),"جارية","مغلقة"))</f>
        <v/>
      </c>
      <c r="L204" s="26" t="str">
        <f aca="false">IF($G204="","",MAX(0,NETWORKDAYS.INTL($E204,J204,رمز_العطلة,أيام_الأجازات)-1))</f>
        <v/>
      </c>
      <c r="M204" s="26" t="str">
        <f aca="false">IF($G204="","",MAX(0,L204-مهلة_المراجعة))</f>
        <v/>
      </c>
      <c r="N204" s="30" t="str">
        <f aca="false">IF($A204="",IF(OR($D204&lt;&gt;"",$E204&lt;&gt;""),"رقم المخرج ناقص",""),IF(ISNA(MATCH($A204,قائمة_المخرجات,0)),"رقم مخرج غير موجود",IF($D204="","نوع الحركة ناقص",IF(NOT(ISNUMBER($E204)),"التاريخ ناقص",IF($E204&gt;تاريخ_الاحتساب,"تاريخ بعد تاريخ الاحتساب",IF(AND($D204&lt;&gt;"تسليم",COUNTIFS($A$5:$A$1504,$A204,$D$5:$D$1504,"تسليم",$E$5:$E$1504,"&lt;="&amp;$E204)=0),"لا يوجد تسليم قبل الحركة دي",""))))))</f>
        <v/>
      </c>
    </row>
    <row r="205" customFormat="false" ht="15" hidden="false" customHeight="false" outlineLevel="0" collapsed="false">
      <c r="A205" s="20"/>
      <c r="B205" s="35" t="str">
        <f aca="false">IF($A205="","",IFERROR(INDEX(مخرج_البند,MATCH($A205,قائمة_المخرجات,0)),""))</f>
        <v/>
      </c>
      <c r="C205" s="30" t="str">
        <f aca="false">IF($A205="","",IFERROR(INDEX(مخرج_الوصف,MATCH($A205,قائمة_المخرجات,0)),""))</f>
        <v/>
      </c>
      <c r="D205" s="20"/>
      <c r="E205" s="31"/>
      <c r="F205" s="22"/>
      <c r="G205" s="36" t="str">
        <f aca="false">IF(OR($A205="",$D205&lt;&gt;"تسليم",NOT(ISNUMBER($E205))),"",COUNTIFS($A$5:$A$1504,$A205,$D$5:$D$1504,"تسليم",$E$5:$E$1504,"&lt;"&amp;$E205)+1)</f>
        <v/>
      </c>
      <c r="H205" s="33" t="str">
        <f aca="false">IF($G205="","",_xlfn.MINIFS($E$5:$E$1504,$A$5:$A$1504,$A205,$D$5:$D$1504,"&lt;&gt;تسليم",$E$5:$E$1504,"&gt;="&amp;$E205))</f>
        <v/>
      </c>
      <c r="I205" s="33" t="str">
        <f aca="false">IF($G205="","",_xlfn.MINIFS($E$5:$E$1504,$A$5:$A$1504,$A205,$D$5:$D$1504,"تسليم",$E$5:$E$1504,"&gt;"&amp;$E205))</f>
        <v/>
      </c>
      <c r="J205" s="33" t="str">
        <f aca="false">IF($G205="","",IF(H205&gt;0,IF(I205&gt;0,MIN(H205,I205),H205),IF(I205&gt;0,I205,تاريخ_الاحتساب)))</f>
        <v/>
      </c>
      <c r="K205" s="34" t="str">
        <f aca="false">IF($G205="","",IF(AND(H205=0,I205=0),"جارية","مغلقة"))</f>
        <v/>
      </c>
      <c r="L205" s="26" t="str">
        <f aca="false">IF($G205="","",MAX(0,NETWORKDAYS.INTL($E205,J205,رمز_العطلة,أيام_الأجازات)-1))</f>
        <v/>
      </c>
      <c r="M205" s="26" t="str">
        <f aca="false">IF($G205="","",MAX(0,L205-مهلة_المراجعة))</f>
        <v/>
      </c>
      <c r="N205" s="30" t="str">
        <f aca="false">IF($A205="",IF(OR($D205&lt;&gt;"",$E205&lt;&gt;""),"رقم المخرج ناقص",""),IF(ISNA(MATCH($A205,قائمة_المخرجات,0)),"رقم مخرج غير موجود",IF($D205="","نوع الحركة ناقص",IF(NOT(ISNUMBER($E205)),"التاريخ ناقص",IF($E205&gt;تاريخ_الاحتساب,"تاريخ بعد تاريخ الاحتساب",IF(AND($D205&lt;&gt;"تسليم",COUNTIFS($A$5:$A$1504,$A205,$D$5:$D$1504,"تسليم",$E$5:$E$1504,"&lt;="&amp;$E205)=0),"لا يوجد تسليم قبل الحركة دي",""))))))</f>
        <v/>
      </c>
    </row>
    <row r="206" customFormat="false" ht="15" hidden="false" customHeight="false" outlineLevel="0" collapsed="false">
      <c r="A206" s="20"/>
      <c r="B206" s="35" t="str">
        <f aca="false">IF($A206="","",IFERROR(INDEX(مخرج_البند,MATCH($A206,قائمة_المخرجات,0)),""))</f>
        <v/>
      </c>
      <c r="C206" s="30" t="str">
        <f aca="false">IF($A206="","",IFERROR(INDEX(مخرج_الوصف,MATCH($A206,قائمة_المخرجات,0)),""))</f>
        <v/>
      </c>
      <c r="D206" s="20"/>
      <c r="E206" s="31"/>
      <c r="F206" s="22"/>
      <c r="G206" s="36" t="str">
        <f aca="false">IF(OR($A206="",$D206&lt;&gt;"تسليم",NOT(ISNUMBER($E206))),"",COUNTIFS($A$5:$A$1504,$A206,$D$5:$D$1504,"تسليم",$E$5:$E$1504,"&lt;"&amp;$E206)+1)</f>
        <v/>
      </c>
      <c r="H206" s="33" t="str">
        <f aca="false">IF($G206="","",_xlfn.MINIFS($E$5:$E$1504,$A$5:$A$1504,$A206,$D$5:$D$1504,"&lt;&gt;تسليم",$E$5:$E$1504,"&gt;="&amp;$E206))</f>
        <v/>
      </c>
      <c r="I206" s="33" t="str">
        <f aca="false">IF($G206="","",_xlfn.MINIFS($E$5:$E$1504,$A$5:$A$1504,$A206,$D$5:$D$1504,"تسليم",$E$5:$E$1504,"&gt;"&amp;$E206))</f>
        <v/>
      </c>
      <c r="J206" s="33" t="str">
        <f aca="false">IF($G206="","",IF(H206&gt;0,IF(I206&gt;0,MIN(H206,I206),H206),IF(I206&gt;0,I206,تاريخ_الاحتساب)))</f>
        <v/>
      </c>
      <c r="K206" s="34" t="str">
        <f aca="false">IF($G206="","",IF(AND(H206=0,I206=0),"جارية","مغلقة"))</f>
        <v/>
      </c>
      <c r="L206" s="26" t="str">
        <f aca="false">IF($G206="","",MAX(0,NETWORKDAYS.INTL($E206,J206,رمز_العطلة,أيام_الأجازات)-1))</f>
        <v/>
      </c>
      <c r="M206" s="26" t="str">
        <f aca="false">IF($G206="","",MAX(0,L206-مهلة_المراجعة))</f>
        <v/>
      </c>
      <c r="N206" s="30" t="str">
        <f aca="false">IF($A206="",IF(OR($D206&lt;&gt;"",$E206&lt;&gt;""),"رقم المخرج ناقص",""),IF(ISNA(MATCH($A206,قائمة_المخرجات,0)),"رقم مخرج غير موجود",IF($D206="","نوع الحركة ناقص",IF(NOT(ISNUMBER($E206)),"التاريخ ناقص",IF($E206&gt;تاريخ_الاحتساب,"تاريخ بعد تاريخ الاحتساب",IF(AND($D206&lt;&gt;"تسليم",COUNTIFS($A$5:$A$1504,$A206,$D$5:$D$1504,"تسليم",$E$5:$E$1504,"&lt;="&amp;$E206)=0),"لا يوجد تسليم قبل الحركة دي",""))))))</f>
        <v/>
      </c>
    </row>
    <row r="207" customFormat="false" ht="15" hidden="false" customHeight="false" outlineLevel="0" collapsed="false">
      <c r="A207" s="20"/>
      <c r="B207" s="35" t="str">
        <f aca="false">IF($A207="","",IFERROR(INDEX(مخرج_البند,MATCH($A207,قائمة_المخرجات,0)),""))</f>
        <v/>
      </c>
      <c r="C207" s="30" t="str">
        <f aca="false">IF($A207="","",IFERROR(INDEX(مخرج_الوصف,MATCH($A207,قائمة_المخرجات,0)),""))</f>
        <v/>
      </c>
      <c r="D207" s="20"/>
      <c r="E207" s="31"/>
      <c r="F207" s="22"/>
      <c r="G207" s="36" t="str">
        <f aca="false">IF(OR($A207="",$D207&lt;&gt;"تسليم",NOT(ISNUMBER($E207))),"",COUNTIFS($A$5:$A$1504,$A207,$D$5:$D$1504,"تسليم",$E$5:$E$1504,"&lt;"&amp;$E207)+1)</f>
        <v/>
      </c>
      <c r="H207" s="33" t="str">
        <f aca="false">IF($G207="","",_xlfn.MINIFS($E$5:$E$1504,$A$5:$A$1504,$A207,$D$5:$D$1504,"&lt;&gt;تسليم",$E$5:$E$1504,"&gt;="&amp;$E207))</f>
        <v/>
      </c>
      <c r="I207" s="33" t="str">
        <f aca="false">IF($G207="","",_xlfn.MINIFS($E$5:$E$1504,$A$5:$A$1504,$A207,$D$5:$D$1504,"تسليم",$E$5:$E$1504,"&gt;"&amp;$E207))</f>
        <v/>
      </c>
      <c r="J207" s="33" t="str">
        <f aca="false">IF($G207="","",IF(H207&gt;0,IF(I207&gt;0,MIN(H207,I207),H207),IF(I207&gt;0,I207,تاريخ_الاحتساب)))</f>
        <v/>
      </c>
      <c r="K207" s="34" t="str">
        <f aca="false">IF($G207="","",IF(AND(H207=0,I207=0),"جارية","مغلقة"))</f>
        <v/>
      </c>
      <c r="L207" s="26" t="str">
        <f aca="false">IF($G207="","",MAX(0,NETWORKDAYS.INTL($E207,J207,رمز_العطلة,أيام_الأجازات)-1))</f>
        <v/>
      </c>
      <c r="M207" s="26" t="str">
        <f aca="false">IF($G207="","",MAX(0,L207-مهلة_المراجعة))</f>
        <v/>
      </c>
      <c r="N207" s="30" t="str">
        <f aca="false">IF($A207="",IF(OR($D207&lt;&gt;"",$E207&lt;&gt;""),"رقم المخرج ناقص",""),IF(ISNA(MATCH($A207,قائمة_المخرجات,0)),"رقم مخرج غير موجود",IF($D207="","نوع الحركة ناقص",IF(NOT(ISNUMBER($E207)),"التاريخ ناقص",IF($E207&gt;تاريخ_الاحتساب,"تاريخ بعد تاريخ الاحتساب",IF(AND($D207&lt;&gt;"تسليم",COUNTIFS($A$5:$A$1504,$A207,$D$5:$D$1504,"تسليم",$E$5:$E$1504,"&lt;="&amp;$E207)=0),"لا يوجد تسليم قبل الحركة دي",""))))))</f>
        <v/>
      </c>
    </row>
    <row r="208" customFormat="false" ht="15" hidden="false" customHeight="false" outlineLevel="0" collapsed="false">
      <c r="A208" s="20"/>
      <c r="B208" s="35" t="str">
        <f aca="false">IF($A208="","",IFERROR(INDEX(مخرج_البند,MATCH($A208,قائمة_المخرجات,0)),""))</f>
        <v/>
      </c>
      <c r="C208" s="30" t="str">
        <f aca="false">IF($A208="","",IFERROR(INDEX(مخرج_الوصف,MATCH($A208,قائمة_المخرجات,0)),""))</f>
        <v/>
      </c>
      <c r="D208" s="20"/>
      <c r="E208" s="31"/>
      <c r="F208" s="22"/>
      <c r="G208" s="36" t="str">
        <f aca="false">IF(OR($A208="",$D208&lt;&gt;"تسليم",NOT(ISNUMBER($E208))),"",COUNTIFS($A$5:$A$1504,$A208,$D$5:$D$1504,"تسليم",$E$5:$E$1504,"&lt;"&amp;$E208)+1)</f>
        <v/>
      </c>
      <c r="H208" s="33" t="str">
        <f aca="false">IF($G208="","",_xlfn.MINIFS($E$5:$E$1504,$A$5:$A$1504,$A208,$D$5:$D$1504,"&lt;&gt;تسليم",$E$5:$E$1504,"&gt;="&amp;$E208))</f>
        <v/>
      </c>
      <c r="I208" s="33" t="str">
        <f aca="false">IF($G208="","",_xlfn.MINIFS($E$5:$E$1504,$A$5:$A$1504,$A208,$D$5:$D$1504,"تسليم",$E$5:$E$1504,"&gt;"&amp;$E208))</f>
        <v/>
      </c>
      <c r="J208" s="33" t="str">
        <f aca="false">IF($G208="","",IF(H208&gt;0,IF(I208&gt;0,MIN(H208,I208),H208),IF(I208&gt;0,I208,تاريخ_الاحتساب)))</f>
        <v/>
      </c>
      <c r="K208" s="34" t="str">
        <f aca="false">IF($G208="","",IF(AND(H208=0,I208=0),"جارية","مغلقة"))</f>
        <v/>
      </c>
      <c r="L208" s="26" t="str">
        <f aca="false">IF($G208="","",MAX(0,NETWORKDAYS.INTL($E208,J208,رمز_العطلة,أيام_الأجازات)-1))</f>
        <v/>
      </c>
      <c r="M208" s="26" t="str">
        <f aca="false">IF($G208="","",MAX(0,L208-مهلة_المراجعة))</f>
        <v/>
      </c>
      <c r="N208" s="30" t="str">
        <f aca="false">IF($A208="",IF(OR($D208&lt;&gt;"",$E208&lt;&gt;""),"رقم المخرج ناقص",""),IF(ISNA(MATCH($A208,قائمة_المخرجات,0)),"رقم مخرج غير موجود",IF($D208="","نوع الحركة ناقص",IF(NOT(ISNUMBER($E208)),"التاريخ ناقص",IF($E208&gt;تاريخ_الاحتساب,"تاريخ بعد تاريخ الاحتساب",IF(AND($D208&lt;&gt;"تسليم",COUNTIFS($A$5:$A$1504,$A208,$D$5:$D$1504,"تسليم",$E$5:$E$1504,"&lt;="&amp;$E208)=0),"لا يوجد تسليم قبل الحركة دي",""))))))</f>
        <v/>
      </c>
    </row>
    <row r="209" customFormat="false" ht="15" hidden="false" customHeight="false" outlineLevel="0" collapsed="false">
      <c r="A209" s="20"/>
      <c r="B209" s="35" t="str">
        <f aca="false">IF($A209="","",IFERROR(INDEX(مخرج_البند,MATCH($A209,قائمة_المخرجات,0)),""))</f>
        <v/>
      </c>
      <c r="C209" s="30" t="str">
        <f aca="false">IF($A209="","",IFERROR(INDEX(مخرج_الوصف,MATCH($A209,قائمة_المخرجات,0)),""))</f>
        <v/>
      </c>
      <c r="D209" s="20"/>
      <c r="E209" s="31"/>
      <c r="F209" s="22"/>
      <c r="G209" s="36" t="str">
        <f aca="false">IF(OR($A209="",$D209&lt;&gt;"تسليم",NOT(ISNUMBER($E209))),"",COUNTIFS($A$5:$A$1504,$A209,$D$5:$D$1504,"تسليم",$E$5:$E$1504,"&lt;"&amp;$E209)+1)</f>
        <v/>
      </c>
      <c r="H209" s="33" t="str">
        <f aca="false">IF($G209="","",_xlfn.MINIFS($E$5:$E$1504,$A$5:$A$1504,$A209,$D$5:$D$1504,"&lt;&gt;تسليم",$E$5:$E$1504,"&gt;="&amp;$E209))</f>
        <v/>
      </c>
      <c r="I209" s="33" t="str">
        <f aca="false">IF($G209="","",_xlfn.MINIFS($E$5:$E$1504,$A$5:$A$1504,$A209,$D$5:$D$1504,"تسليم",$E$5:$E$1504,"&gt;"&amp;$E209))</f>
        <v/>
      </c>
      <c r="J209" s="33" t="str">
        <f aca="false">IF($G209="","",IF(H209&gt;0,IF(I209&gt;0,MIN(H209,I209),H209),IF(I209&gt;0,I209,تاريخ_الاحتساب)))</f>
        <v/>
      </c>
      <c r="K209" s="34" t="str">
        <f aca="false">IF($G209="","",IF(AND(H209=0,I209=0),"جارية","مغلقة"))</f>
        <v/>
      </c>
      <c r="L209" s="26" t="str">
        <f aca="false">IF($G209="","",MAX(0,NETWORKDAYS.INTL($E209,J209,رمز_العطلة,أيام_الأجازات)-1))</f>
        <v/>
      </c>
      <c r="M209" s="26" t="str">
        <f aca="false">IF($G209="","",MAX(0,L209-مهلة_المراجعة))</f>
        <v/>
      </c>
      <c r="N209" s="30" t="str">
        <f aca="false">IF($A209="",IF(OR($D209&lt;&gt;"",$E209&lt;&gt;""),"رقم المخرج ناقص",""),IF(ISNA(MATCH($A209,قائمة_المخرجات,0)),"رقم مخرج غير موجود",IF($D209="","نوع الحركة ناقص",IF(NOT(ISNUMBER($E209)),"التاريخ ناقص",IF($E209&gt;تاريخ_الاحتساب,"تاريخ بعد تاريخ الاحتساب",IF(AND($D209&lt;&gt;"تسليم",COUNTIFS($A$5:$A$1504,$A209,$D$5:$D$1504,"تسليم",$E$5:$E$1504,"&lt;="&amp;$E209)=0),"لا يوجد تسليم قبل الحركة دي",""))))))</f>
        <v/>
      </c>
    </row>
    <row r="210" customFormat="false" ht="15" hidden="false" customHeight="false" outlineLevel="0" collapsed="false">
      <c r="A210" s="20"/>
      <c r="B210" s="35" t="str">
        <f aca="false">IF($A210="","",IFERROR(INDEX(مخرج_البند,MATCH($A210,قائمة_المخرجات,0)),""))</f>
        <v/>
      </c>
      <c r="C210" s="30" t="str">
        <f aca="false">IF($A210="","",IFERROR(INDEX(مخرج_الوصف,MATCH($A210,قائمة_المخرجات,0)),""))</f>
        <v/>
      </c>
      <c r="D210" s="20"/>
      <c r="E210" s="31"/>
      <c r="F210" s="22"/>
      <c r="G210" s="36" t="str">
        <f aca="false">IF(OR($A210="",$D210&lt;&gt;"تسليم",NOT(ISNUMBER($E210))),"",COUNTIFS($A$5:$A$1504,$A210,$D$5:$D$1504,"تسليم",$E$5:$E$1504,"&lt;"&amp;$E210)+1)</f>
        <v/>
      </c>
      <c r="H210" s="33" t="str">
        <f aca="false">IF($G210="","",_xlfn.MINIFS($E$5:$E$1504,$A$5:$A$1504,$A210,$D$5:$D$1504,"&lt;&gt;تسليم",$E$5:$E$1504,"&gt;="&amp;$E210))</f>
        <v/>
      </c>
      <c r="I210" s="33" t="str">
        <f aca="false">IF($G210="","",_xlfn.MINIFS($E$5:$E$1504,$A$5:$A$1504,$A210,$D$5:$D$1504,"تسليم",$E$5:$E$1504,"&gt;"&amp;$E210))</f>
        <v/>
      </c>
      <c r="J210" s="33" t="str">
        <f aca="false">IF($G210="","",IF(H210&gt;0,IF(I210&gt;0,MIN(H210,I210),H210),IF(I210&gt;0,I210,تاريخ_الاحتساب)))</f>
        <v/>
      </c>
      <c r="K210" s="34" t="str">
        <f aca="false">IF($G210="","",IF(AND(H210=0,I210=0),"جارية","مغلقة"))</f>
        <v/>
      </c>
      <c r="L210" s="26" t="str">
        <f aca="false">IF($G210="","",MAX(0,NETWORKDAYS.INTL($E210,J210,رمز_العطلة,أيام_الأجازات)-1))</f>
        <v/>
      </c>
      <c r="M210" s="26" t="str">
        <f aca="false">IF($G210="","",MAX(0,L210-مهلة_المراجعة))</f>
        <v/>
      </c>
      <c r="N210" s="30" t="str">
        <f aca="false">IF($A210="",IF(OR($D210&lt;&gt;"",$E210&lt;&gt;""),"رقم المخرج ناقص",""),IF(ISNA(MATCH($A210,قائمة_المخرجات,0)),"رقم مخرج غير موجود",IF($D210="","نوع الحركة ناقص",IF(NOT(ISNUMBER($E210)),"التاريخ ناقص",IF($E210&gt;تاريخ_الاحتساب,"تاريخ بعد تاريخ الاحتساب",IF(AND($D210&lt;&gt;"تسليم",COUNTIFS($A$5:$A$1504,$A210,$D$5:$D$1504,"تسليم",$E$5:$E$1504,"&lt;="&amp;$E210)=0),"لا يوجد تسليم قبل الحركة دي",""))))))</f>
        <v/>
      </c>
    </row>
    <row r="211" customFormat="false" ht="15" hidden="false" customHeight="false" outlineLevel="0" collapsed="false">
      <c r="A211" s="20"/>
      <c r="B211" s="35" t="str">
        <f aca="false">IF($A211="","",IFERROR(INDEX(مخرج_البند,MATCH($A211,قائمة_المخرجات,0)),""))</f>
        <v/>
      </c>
      <c r="C211" s="30" t="str">
        <f aca="false">IF($A211="","",IFERROR(INDEX(مخرج_الوصف,MATCH($A211,قائمة_المخرجات,0)),""))</f>
        <v/>
      </c>
      <c r="D211" s="20"/>
      <c r="E211" s="31"/>
      <c r="F211" s="22"/>
      <c r="G211" s="36" t="str">
        <f aca="false">IF(OR($A211="",$D211&lt;&gt;"تسليم",NOT(ISNUMBER($E211))),"",COUNTIFS($A$5:$A$1504,$A211,$D$5:$D$1504,"تسليم",$E$5:$E$1504,"&lt;"&amp;$E211)+1)</f>
        <v/>
      </c>
      <c r="H211" s="33" t="str">
        <f aca="false">IF($G211="","",_xlfn.MINIFS($E$5:$E$1504,$A$5:$A$1504,$A211,$D$5:$D$1504,"&lt;&gt;تسليم",$E$5:$E$1504,"&gt;="&amp;$E211))</f>
        <v/>
      </c>
      <c r="I211" s="33" t="str">
        <f aca="false">IF($G211="","",_xlfn.MINIFS($E$5:$E$1504,$A$5:$A$1504,$A211,$D$5:$D$1504,"تسليم",$E$5:$E$1504,"&gt;"&amp;$E211))</f>
        <v/>
      </c>
      <c r="J211" s="33" t="str">
        <f aca="false">IF($G211="","",IF(H211&gt;0,IF(I211&gt;0,MIN(H211,I211),H211),IF(I211&gt;0,I211,تاريخ_الاحتساب)))</f>
        <v/>
      </c>
      <c r="K211" s="34" t="str">
        <f aca="false">IF($G211="","",IF(AND(H211=0,I211=0),"جارية","مغلقة"))</f>
        <v/>
      </c>
      <c r="L211" s="26" t="str">
        <f aca="false">IF($G211="","",MAX(0,NETWORKDAYS.INTL($E211,J211,رمز_العطلة,أيام_الأجازات)-1))</f>
        <v/>
      </c>
      <c r="M211" s="26" t="str">
        <f aca="false">IF($G211="","",MAX(0,L211-مهلة_المراجعة))</f>
        <v/>
      </c>
      <c r="N211" s="30" t="str">
        <f aca="false">IF($A211="",IF(OR($D211&lt;&gt;"",$E211&lt;&gt;""),"رقم المخرج ناقص",""),IF(ISNA(MATCH($A211,قائمة_المخرجات,0)),"رقم مخرج غير موجود",IF($D211="","نوع الحركة ناقص",IF(NOT(ISNUMBER($E211)),"التاريخ ناقص",IF($E211&gt;تاريخ_الاحتساب,"تاريخ بعد تاريخ الاحتساب",IF(AND($D211&lt;&gt;"تسليم",COUNTIFS($A$5:$A$1504,$A211,$D$5:$D$1504,"تسليم",$E$5:$E$1504,"&lt;="&amp;$E211)=0),"لا يوجد تسليم قبل الحركة دي",""))))))</f>
        <v/>
      </c>
    </row>
    <row r="212" customFormat="false" ht="15" hidden="false" customHeight="false" outlineLevel="0" collapsed="false">
      <c r="A212" s="20"/>
      <c r="B212" s="35" t="str">
        <f aca="false">IF($A212="","",IFERROR(INDEX(مخرج_البند,MATCH($A212,قائمة_المخرجات,0)),""))</f>
        <v/>
      </c>
      <c r="C212" s="30" t="str">
        <f aca="false">IF($A212="","",IFERROR(INDEX(مخرج_الوصف,MATCH($A212,قائمة_المخرجات,0)),""))</f>
        <v/>
      </c>
      <c r="D212" s="20"/>
      <c r="E212" s="31"/>
      <c r="F212" s="22"/>
      <c r="G212" s="36" t="str">
        <f aca="false">IF(OR($A212="",$D212&lt;&gt;"تسليم",NOT(ISNUMBER($E212))),"",COUNTIFS($A$5:$A$1504,$A212,$D$5:$D$1504,"تسليم",$E$5:$E$1504,"&lt;"&amp;$E212)+1)</f>
        <v/>
      </c>
      <c r="H212" s="33" t="str">
        <f aca="false">IF($G212="","",_xlfn.MINIFS($E$5:$E$1504,$A$5:$A$1504,$A212,$D$5:$D$1504,"&lt;&gt;تسليم",$E$5:$E$1504,"&gt;="&amp;$E212))</f>
        <v/>
      </c>
      <c r="I212" s="33" t="str">
        <f aca="false">IF($G212="","",_xlfn.MINIFS($E$5:$E$1504,$A$5:$A$1504,$A212,$D$5:$D$1504,"تسليم",$E$5:$E$1504,"&gt;"&amp;$E212))</f>
        <v/>
      </c>
      <c r="J212" s="33" t="str">
        <f aca="false">IF($G212="","",IF(H212&gt;0,IF(I212&gt;0,MIN(H212,I212),H212),IF(I212&gt;0,I212,تاريخ_الاحتساب)))</f>
        <v/>
      </c>
      <c r="K212" s="34" t="str">
        <f aca="false">IF($G212="","",IF(AND(H212=0,I212=0),"جارية","مغلقة"))</f>
        <v/>
      </c>
      <c r="L212" s="26" t="str">
        <f aca="false">IF($G212="","",MAX(0,NETWORKDAYS.INTL($E212,J212,رمز_العطلة,أيام_الأجازات)-1))</f>
        <v/>
      </c>
      <c r="M212" s="26" t="str">
        <f aca="false">IF($G212="","",MAX(0,L212-مهلة_المراجعة))</f>
        <v/>
      </c>
      <c r="N212" s="30" t="str">
        <f aca="false">IF($A212="",IF(OR($D212&lt;&gt;"",$E212&lt;&gt;""),"رقم المخرج ناقص",""),IF(ISNA(MATCH($A212,قائمة_المخرجات,0)),"رقم مخرج غير موجود",IF($D212="","نوع الحركة ناقص",IF(NOT(ISNUMBER($E212)),"التاريخ ناقص",IF($E212&gt;تاريخ_الاحتساب,"تاريخ بعد تاريخ الاحتساب",IF(AND($D212&lt;&gt;"تسليم",COUNTIFS($A$5:$A$1504,$A212,$D$5:$D$1504,"تسليم",$E$5:$E$1504,"&lt;="&amp;$E212)=0),"لا يوجد تسليم قبل الحركة دي",""))))))</f>
        <v/>
      </c>
    </row>
    <row r="213" customFormat="false" ht="15" hidden="false" customHeight="false" outlineLevel="0" collapsed="false">
      <c r="A213" s="20"/>
      <c r="B213" s="35" t="str">
        <f aca="false">IF($A213="","",IFERROR(INDEX(مخرج_البند,MATCH($A213,قائمة_المخرجات,0)),""))</f>
        <v/>
      </c>
      <c r="C213" s="30" t="str">
        <f aca="false">IF($A213="","",IFERROR(INDEX(مخرج_الوصف,MATCH($A213,قائمة_المخرجات,0)),""))</f>
        <v/>
      </c>
      <c r="D213" s="20"/>
      <c r="E213" s="31"/>
      <c r="F213" s="22"/>
      <c r="G213" s="36" t="str">
        <f aca="false">IF(OR($A213="",$D213&lt;&gt;"تسليم",NOT(ISNUMBER($E213))),"",COUNTIFS($A$5:$A$1504,$A213,$D$5:$D$1504,"تسليم",$E$5:$E$1504,"&lt;"&amp;$E213)+1)</f>
        <v/>
      </c>
      <c r="H213" s="33" t="str">
        <f aca="false">IF($G213="","",_xlfn.MINIFS($E$5:$E$1504,$A$5:$A$1504,$A213,$D$5:$D$1504,"&lt;&gt;تسليم",$E$5:$E$1504,"&gt;="&amp;$E213))</f>
        <v/>
      </c>
      <c r="I213" s="33" t="str">
        <f aca="false">IF($G213="","",_xlfn.MINIFS($E$5:$E$1504,$A$5:$A$1504,$A213,$D$5:$D$1504,"تسليم",$E$5:$E$1504,"&gt;"&amp;$E213))</f>
        <v/>
      </c>
      <c r="J213" s="33" t="str">
        <f aca="false">IF($G213="","",IF(H213&gt;0,IF(I213&gt;0,MIN(H213,I213),H213),IF(I213&gt;0,I213,تاريخ_الاحتساب)))</f>
        <v/>
      </c>
      <c r="K213" s="34" t="str">
        <f aca="false">IF($G213="","",IF(AND(H213=0,I213=0),"جارية","مغلقة"))</f>
        <v/>
      </c>
      <c r="L213" s="26" t="str">
        <f aca="false">IF($G213="","",MAX(0,NETWORKDAYS.INTL($E213,J213,رمز_العطلة,أيام_الأجازات)-1))</f>
        <v/>
      </c>
      <c r="M213" s="26" t="str">
        <f aca="false">IF($G213="","",MAX(0,L213-مهلة_المراجعة))</f>
        <v/>
      </c>
      <c r="N213" s="30" t="str">
        <f aca="false">IF($A213="",IF(OR($D213&lt;&gt;"",$E213&lt;&gt;""),"رقم المخرج ناقص",""),IF(ISNA(MATCH($A213,قائمة_المخرجات,0)),"رقم مخرج غير موجود",IF($D213="","نوع الحركة ناقص",IF(NOT(ISNUMBER($E213)),"التاريخ ناقص",IF($E213&gt;تاريخ_الاحتساب,"تاريخ بعد تاريخ الاحتساب",IF(AND($D213&lt;&gt;"تسليم",COUNTIFS($A$5:$A$1504,$A213,$D$5:$D$1504,"تسليم",$E$5:$E$1504,"&lt;="&amp;$E213)=0),"لا يوجد تسليم قبل الحركة دي",""))))))</f>
        <v/>
      </c>
    </row>
    <row r="214" customFormat="false" ht="15" hidden="false" customHeight="false" outlineLevel="0" collapsed="false">
      <c r="A214" s="20"/>
      <c r="B214" s="35" t="str">
        <f aca="false">IF($A214="","",IFERROR(INDEX(مخرج_البند,MATCH($A214,قائمة_المخرجات,0)),""))</f>
        <v/>
      </c>
      <c r="C214" s="30" t="str">
        <f aca="false">IF($A214="","",IFERROR(INDEX(مخرج_الوصف,MATCH($A214,قائمة_المخرجات,0)),""))</f>
        <v/>
      </c>
      <c r="D214" s="20"/>
      <c r="E214" s="31"/>
      <c r="F214" s="22"/>
      <c r="G214" s="36" t="str">
        <f aca="false">IF(OR($A214="",$D214&lt;&gt;"تسليم",NOT(ISNUMBER($E214))),"",COUNTIFS($A$5:$A$1504,$A214,$D$5:$D$1504,"تسليم",$E$5:$E$1504,"&lt;"&amp;$E214)+1)</f>
        <v/>
      </c>
      <c r="H214" s="33" t="str">
        <f aca="false">IF($G214="","",_xlfn.MINIFS($E$5:$E$1504,$A$5:$A$1504,$A214,$D$5:$D$1504,"&lt;&gt;تسليم",$E$5:$E$1504,"&gt;="&amp;$E214))</f>
        <v/>
      </c>
      <c r="I214" s="33" t="str">
        <f aca="false">IF($G214="","",_xlfn.MINIFS($E$5:$E$1504,$A$5:$A$1504,$A214,$D$5:$D$1504,"تسليم",$E$5:$E$1504,"&gt;"&amp;$E214))</f>
        <v/>
      </c>
      <c r="J214" s="33" t="str">
        <f aca="false">IF($G214="","",IF(H214&gt;0,IF(I214&gt;0,MIN(H214,I214),H214),IF(I214&gt;0,I214,تاريخ_الاحتساب)))</f>
        <v/>
      </c>
      <c r="K214" s="34" t="str">
        <f aca="false">IF($G214="","",IF(AND(H214=0,I214=0),"جارية","مغلقة"))</f>
        <v/>
      </c>
      <c r="L214" s="26" t="str">
        <f aca="false">IF($G214="","",MAX(0,NETWORKDAYS.INTL($E214,J214,رمز_العطلة,أيام_الأجازات)-1))</f>
        <v/>
      </c>
      <c r="M214" s="26" t="str">
        <f aca="false">IF($G214="","",MAX(0,L214-مهلة_المراجعة))</f>
        <v/>
      </c>
      <c r="N214" s="30" t="str">
        <f aca="false">IF($A214="",IF(OR($D214&lt;&gt;"",$E214&lt;&gt;""),"رقم المخرج ناقص",""),IF(ISNA(MATCH($A214,قائمة_المخرجات,0)),"رقم مخرج غير موجود",IF($D214="","نوع الحركة ناقص",IF(NOT(ISNUMBER($E214)),"التاريخ ناقص",IF($E214&gt;تاريخ_الاحتساب,"تاريخ بعد تاريخ الاحتساب",IF(AND($D214&lt;&gt;"تسليم",COUNTIFS($A$5:$A$1504,$A214,$D$5:$D$1504,"تسليم",$E$5:$E$1504,"&lt;="&amp;$E214)=0),"لا يوجد تسليم قبل الحركة دي",""))))))</f>
        <v/>
      </c>
    </row>
    <row r="215" customFormat="false" ht="15" hidden="false" customHeight="false" outlineLevel="0" collapsed="false">
      <c r="A215" s="20"/>
      <c r="B215" s="35" t="str">
        <f aca="false">IF($A215="","",IFERROR(INDEX(مخرج_البند,MATCH($A215,قائمة_المخرجات,0)),""))</f>
        <v/>
      </c>
      <c r="C215" s="30" t="str">
        <f aca="false">IF($A215="","",IFERROR(INDEX(مخرج_الوصف,MATCH($A215,قائمة_المخرجات,0)),""))</f>
        <v/>
      </c>
      <c r="D215" s="20"/>
      <c r="E215" s="31"/>
      <c r="F215" s="22"/>
      <c r="G215" s="36" t="str">
        <f aca="false">IF(OR($A215="",$D215&lt;&gt;"تسليم",NOT(ISNUMBER($E215))),"",COUNTIFS($A$5:$A$1504,$A215,$D$5:$D$1504,"تسليم",$E$5:$E$1504,"&lt;"&amp;$E215)+1)</f>
        <v/>
      </c>
      <c r="H215" s="33" t="str">
        <f aca="false">IF($G215="","",_xlfn.MINIFS($E$5:$E$1504,$A$5:$A$1504,$A215,$D$5:$D$1504,"&lt;&gt;تسليم",$E$5:$E$1504,"&gt;="&amp;$E215))</f>
        <v/>
      </c>
      <c r="I215" s="33" t="str">
        <f aca="false">IF($G215="","",_xlfn.MINIFS($E$5:$E$1504,$A$5:$A$1504,$A215,$D$5:$D$1504,"تسليم",$E$5:$E$1504,"&gt;"&amp;$E215))</f>
        <v/>
      </c>
      <c r="J215" s="33" t="str">
        <f aca="false">IF($G215="","",IF(H215&gt;0,IF(I215&gt;0,MIN(H215,I215),H215),IF(I215&gt;0,I215,تاريخ_الاحتساب)))</f>
        <v/>
      </c>
      <c r="K215" s="34" t="str">
        <f aca="false">IF($G215="","",IF(AND(H215=0,I215=0),"جارية","مغلقة"))</f>
        <v/>
      </c>
      <c r="L215" s="26" t="str">
        <f aca="false">IF($G215="","",MAX(0,NETWORKDAYS.INTL($E215,J215,رمز_العطلة,أيام_الأجازات)-1))</f>
        <v/>
      </c>
      <c r="M215" s="26" t="str">
        <f aca="false">IF($G215="","",MAX(0,L215-مهلة_المراجعة))</f>
        <v/>
      </c>
      <c r="N215" s="30" t="str">
        <f aca="false">IF($A215="",IF(OR($D215&lt;&gt;"",$E215&lt;&gt;""),"رقم المخرج ناقص",""),IF(ISNA(MATCH($A215,قائمة_المخرجات,0)),"رقم مخرج غير موجود",IF($D215="","نوع الحركة ناقص",IF(NOT(ISNUMBER($E215)),"التاريخ ناقص",IF($E215&gt;تاريخ_الاحتساب,"تاريخ بعد تاريخ الاحتساب",IF(AND($D215&lt;&gt;"تسليم",COUNTIFS($A$5:$A$1504,$A215,$D$5:$D$1504,"تسليم",$E$5:$E$1504,"&lt;="&amp;$E215)=0),"لا يوجد تسليم قبل الحركة دي",""))))))</f>
        <v/>
      </c>
    </row>
    <row r="216" customFormat="false" ht="15" hidden="false" customHeight="false" outlineLevel="0" collapsed="false">
      <c r="A216" s="20"/>
      <c r="B216" s="35" t="str">
        <f aca="false">IF($A216="","",IFERROR(INDEX(مخرج_البند,MATCH($A216,قائمة_المخرجات,0)),""))</f>
        <v/>
      </c>
      <c r="C216" s="30" t="str">
        <f aca="false">IF($A216="","",IFERROR(INDEX(مخرج_الوصف,MATCH($A216,قائمة_المخرجات,0)),""))</f>
        <v/>
      </c>
      <c r="D216" s="20"/>
      <c r="E216" s="31"/>
      <c r="F216" s="22"/>
      <c r="G216" s="36" t="str">
        <f aca="false">IF(OR($A216="",$D216&lt;&gt;"تسليم",NOT(ISNUMBER($E216))),"",COUNTIFS($A$5:$A$1504,$A216,$D$5:$D$1504,"تسليم",$E$5:$E$1504,"&lt;"&amp;$E216)+1)</f>
        <v/>
      </c>
      <c r="H216" s="33" t="str">
        <f aca="false">IF($G216="","",_xlfn.MINIFS($E$5:$E$1504,$A$5:$A$1504,$A216,$D$5:$D$1504,"&lt;&gt;تسليم",$E$5:$E$1504,"&gt;="&amp;$E216))</f>
        <v/>
      </c>
      <c r="I216" s="33" t="str">
        <f aca="false">IF($G216="","",_xlfn.MINIFS($E$5:$E$1504,$A$5:$A$1504,$A216,$D$5:$D$1504,"تسليم",$E$5:$E$1504,"&gt;"&amp;$E216))</f>
        <v/>
      </c>
      <c r="J216" s="33" t="str">
        <f aca="false">IF($G216="","",IF(H216&gt;0,IF(I216&gt;0,MIN(H216,I216),H216),IF(I216&gt;0,I216,تاريخ_الاحتساب)))</f>
        <v/>
      </c>
      <c r="K216" s="34" t="str">
        <f aca="false">IF($G216="","",IF(AND(H216=0,I216=0),"جارية","مغلقة"))</f>
        <v/>
      </c>
      <c r="L216" s="26" t="str">
        <f aca="false">IF($G216="","",MAX(0,NETWORKDAYS.INTL($E216,J216,رمز_العطلة,أيام_الأجازات)-1))</f>
        <v/>
      </c>
      <c r="M216" s="26" t="str">
        <f aca="false">IF($G216="","",MAX(0,L216-مهلة_المراجعة))</f>
        <v/>
      </c>
      <c r="N216" s="30" t="str">
        <f aca="false">IF($A216="",IF(OR($D216&lt;&gt;"",$E216&lt;&gt;""),"رقم المخرج ناقص",""),IF(ISNA(MATCH($A216,قائمة_المخرجات,0)),"رقم مخرج غير موجود",IF($D216="","نوع الحركة ناقص",IF(NOT(ISNUMBER($E216)),"التاريخ ناقص",IF($E216&gt;تاريخ_الاحتساب,"تاريخ بعد تاريخ الاحتساب",IF(AND($D216&lt;&gt;"تسليم",COUNTIFS($A$5:$A$1504,$A216,$D$5:$D$1504,"تسليم",$E$5:$E$1504,"&lt;="&amp;$E216)=0),"لا يوجد تسليم قبل الحركة دي",""))))))</f>
        <v/>
      </c>
    </row>
    <row r="217" customFormat="false" ht="15" hidden="false" customHeight="false" outlineLevel="0" collapsed="false">
      <c r="A217" s="20"/>
      <c r="B217" s="35" t="str">
        <f aca="false">IF($A217="","",IFERROR(INDEX(مخرج_البند,MATCH($A217,قائمة_المخرجات,0)),""))</f>
        <v/>
      </c>
      <c r="C217" s="30" t="str">
        <f aca="false">IF($A217="","",IFERROR(INDEX(مخرج_الوصف,MATCH($A217,قائمة_المخرجات,0)),""))</f>
        <v/>
      </c>
      <c r="D217" s="20"/>
      <c r="E217" s="31"/>
      <c r="F217" s="22"/>
      <c r="G217" s="36" t="str">
        <f aca="false">IF(OR($A217="",$D217&lt;&gt;"تسليم",NOT(ISNUMBER($E217))),"",COUNTIFS($A$5:$A$1504,$A217,$D$5:$D$1504,"تسليم",$E$5:$E$1504,"&lt;"&amp;$E217)+1)</f>
        <v/>
      </c>
      <c r="H217" s="33" t="str">
        <f aca="false">IF($G217="","",_xlfn.MINIFS($E$5:$E$1504,$A$5:$A$1504,$A217,$D$5:$D$1504,"&lt;&gt;تسليم",$E$5:$E$1504,"&gt;="&amp;$E217))</f>
        <v/>
      </c>
      <c r="I217" s="33" t="str">
        <f aca="false">IF($G217="","",_xlfn.MINIFS($E$5:$E$1504,$A$5:$A$1504,$A217,$D$5:$D$1504,"تسليم",$E$5:$E$1504,"&gt;"&amp;$E217))</f>
        <v/>
      </c>
      <c r="J217" s="33" t="str">
        <f aca="false">IF($G217="","",IF(H217&gt;0,IF(I217&gt;0,MIN(H217,I217),H217),IF(I217&gt;0,I217,تاريخ_الاحتساب)))</f>
        <v/>
      </c>
      <c r="K217" s="34" t="str">
        <f aca="false">IF($G217="","",IF(AND(H217=0,I217=0),"جارية","مغلقة"))</f>
        <v/>
      </c>
      <c r="L217" s="26" t="str">
        <f aca="false">IF($G217="","",MAX(0,NETWORKDAYS.INTL($E217,J217,رمز_العطلة,أيام_الأجازات)-1))</f>
        <v/>
      </c>
      <c r="M217" s="26" t="str">
        <f aca="false">IF($G217="","",MAX(0,L217-مهلة_المراجعة))</f>
        <v/>
      </c>
      <c r="N217" s="30" t="str">
        <f aca="false">IF($A217="",IF(OR($D217&lt;&gt;"",$E217&lt;&gt;""),"رقم المخرج ناقص",""),IF(ISNA(MATCH($A217,قائمة_المخرجات,0)),"رقم مخرج غير موجود",IF($D217="","نوع الحركة ناقص",IF(NOT(ISNUMBER($E217)),"التاريخ ناقص",IF($E217&gt;تاريخ_الاحتساب,"تاريخ بعد تاريخ الاحتساب",IF(AND($D217&lt;&gt;"تسليم",COUNTIFS($A$5:$A$1504,$A217,$D$5:$D$1504,"تسليم",$E$5:$E$1504,"&lt;="&amp;$E217)=0),"لا يوجد تسليم قبل الحركة دي",""))))))</f>
        <v/>
      </c>
    </row>
    <row r="218" customFormat="false" ht="15" hidden="false" customHeight="false" outlineLevel="0" collapsed="false">
      <c r="A218" s="20"/>
      <c r="B218" s="35" t="str">
        <f aca="false">IF($A218="","",IFERROR(INDEX(مخرج_البند,MATCH($A218,قائمة_المخرجات,0)),""))</f>
        <v/>
      </c>
      <c r="C218" s="30" t="str">
        <f aca="false">IF($A218="","",IFERROR(INDEX(مخرج_الوصف,MATCH($A218,قائمة_المخرجات,0)),""))</f>
        <v/>
      </c>
      <c r="D218" s="20"/>
      <c r="E218" s="31"/>
      <c r="F218" s="22"/>
      <c r="G218" s="36" t="str">
        <f aca="false">IF(OR($A218="",$D218&lt;&gt;"تسليم",NOT(ISNUMBER($E218))),"",COUNTIFS($A$5:$A$1504,$A218,$D$5:$D$1504,"تسليم",$E$5:$E$1504,"&lt;"&amp;$E218)+1)</f>
        <v/>
      </c>
      <c r="H218" s="33" t="str">
        <f aca="false">IF($G218="","",_xlfn.MINIFS($E$5:$E$1504,$A$5:$A$1504,$A218,$D$5:$D$1504,"&lt;&gt;تسليم",$E$5:$E$1504,"&gt;="&amp;$E218))</f>
        <v/>
      </c>
      <c r="I218" s="33" t="str">
        <f aca="false">IF($G218="","",_xlfn.MINIFS($E$5:$E$1504,$A$5:$A$1504,$A218,$D$5:$D$1504,"تسليم",$E$5:$E$1504,"&gt;"&amp;$E218))</f>
        <v/>
      </c>
      <c r="J218" s="33" t="str">
        <f aca="false">IF($G218="","",IF(H218&gt;0,IF(I218&gt;0,MIN(H218,I218),H218),IF(I218&gt;0,I218,تاريخ_الاحتساب)))</f>
        <v/>
      </c>
      <c r="K218" s="34" t="str">
        <f aca="false">IF($G218="","",IF(AND(H218=0,I218=0),"جارية","مغلقة"))</f>
        <v/>
      </c>
      <c r="L218" s="26" t="str">
        <f aca="false">IF($G218="","",MAX(0,NETWORKDAYS.INTL($E218,J218,رمز_العطلة,أيام_الأجازات)-1))</f>
        <v/>
      </c>
      <c r="M218" s="26" t="str">
        <f aca="false">IF($G218="","",MAX(0,L218-مهلة_المراجعة))</f>
        <v/>
      </c>
      <c r="N218" s="30" t="str">
        <f aca="false">IF($A218="",IF(OR($D218&lt;&gt;"",$E218&lt;&gt;""),"رقم المخرج ناقص",""),IF(ISNA(MATCH($A218,قائمة_المخرجات,0)),"رقم مخرج غير موجود",IF($D218="","نوع الحركة ناقص",IF(NOT(ISNUMBER($E218)),"التاريخ ناقص",IF($E218&gt;تاريخ_الاحتساب,"تاريخ بعد تاريخ الاحتساب",IF(AND($D218&lt;&gt;"تسليم",COUNTIFS($A$5:$A$1504,$A218,$D$5:$D$1504,"تسليم",$E$5:$E$1504,"&lt;="&amp;$E218)=0),"لا يوجد تسليم قبل الحركة دي",""))))))</f>
        <v/>
      </c>
    </row>
    <row r="219" customFormat="false" ht="15" hidden="false" customHeight="false" outlineLevel="0" collapsed="false">
      <c r="A219" s="20"/>
      <c r="B219" s="35" t="str">
        <f aca="false">IF($A219="","",IFERROR(INDEX(مخرج_البند,MATCH($A219,قائمة_المخرجات,0)),""))</f>
        <v/>
      </c>
      <c r="C219" s="30" t="str">
        <f aca="false">IF($A219="","",IFERROR(INDEX(مخرج_الوصف,MATCH($A219,قائمة_المخرجات,0)),""))</f>
        <v/>
      </c>
      <c r="D219" s="20"/>
      <c r="E219" s="31"/>
      <c r="F219" s="22"/>
      <c r="G219" s="36" t="str">
        <f aca="false">IF(OR($A219="",$D219&lt;&gt;"تسليم",NOT(ISNUMBER($E219))),"",COUNTIFS($A$5:$A$1504,$A219,$D$5:$D$1504,"تسليم",$E$5:$E$1504,"&lt;"&amp;$E219)+1)</f>
        <v/>
      </c>
      <c r="H219" s="33" t="str">
        <f aca="false">IF($G219="","",_xlfn.MINIFS($E$5:$E$1504,$A$5:$A$1504,$A219,$D$5:$D$1504,"&lt;&gt;تسليم",$E$5:$E$1504,"&gt;="&amp;$E219))</f>
        <v/>
      </c>
      <c r="I219" s="33" t="str">
        <f aca="false">IF($G219="","",_xlfn.MINIFS($E$5:$E$1504,$A$5:$A$1504,$A219,$D$5:$D$1504,"تسليم",$E$5:$E$1504,"&gt;"&amp;$E219))</f>
        <v/>
      </c>
      <c r="J219" s="33" t="str">
        <f aca="false">IF($G219="","",IF(H219&gt;0,IF(I219&gt;0,MIN(H219,I219),H219),IF(I219&gt;0,I219,تاريخ_الاحتساب)))</f>
        <v/>
      </c>
      <c r="K219" s="34" t="str">
        <f aca="false">IF($G219="","",IF(AND(H219=0,I219=0),"جارية","مغلقة"))</f>
        <v/>
      </c>
      <c r="L219" s="26" t="str">
        <f aca="false">IF($G219="","",MAX(0,NETWORKDAYS.INTL($E219,J219,رمز_العطلة,أيام_الأجازات)-1))</f>
        <v/>
      </c>
      <c r="M219" s="26" t="str">
        <f aca="false">IF($G219="","",MAX(0,L219-مهلة_المراجعة))</f>
        <v/>
      </c>
      <c r="N219" s="30" t="str">
        <f aca="false">IF($A219="",IF(OR($D219&lt;&gt;"",$E219&lt;&gt;""),"رقم المخرج ناقص",""),IF(ISNA(MATCH($A219,قائمة_المخرجات,0)),"رقم مخرج غير موجود",IF($D219="","نوع الحركة ناقص",IF(NOT(ISNUMBER($E219)),"التاريخ ناقص",IF($E219&gt;تاريخ_الاحتساب,"تاريخ بعد تاريخ الاحتساب",IF(AND($D219&lt;&gt;"تسليم",COUNTIFS($A$5:$A$1504,$A219,$D$5:$D$1504,"تسليم",$E$5:$E$1504,"&lt;="&amp;$E219)=0),"لا يوجد تسليم قبل الحركة دي",""))))))</f>
        <v/>
      </c>
    </row>
    <row r="220" customFormat="false" ht="15" hidden="false" customHeight="false" outlineLevel="0" collapsed="false">
      <c r="A220" s="20"/>
      <c r="B220" s="35" t="str">
        <f aca="false">IF($A220="","",IFERROR(INDEX(مخرج_البند,MATCH($A220,قائمة_المخرجات,0)),""))</f>
        <v/>
      </c>
      <c r="C220" s="30" t="str">
        <f aca="false">IF($A220="","",IFERROR(INDEX(مخرج_الوصف,MATCH($A220,قائمة_المخرجات,0)),""))</f>
        <v/>
      </c>
      <c r="D220" s="20"/>
      <c r="E220" s="31"/>
      <c r="F220" s="22"/>
      <c r="G220" s="36" t="str">
        <f aca="false">IF(OR($A220="",$D220&lt;&gt;"تسليم",NOT(ISNUMBER($E220))),"",COUNTIFS($A$5:$A$1504,$A220,$D$5:$D$1504,"تسليم",$E$5:$E$1504,"&lt;"&amp;$E220)+1)</f>
        <v/>
      </c>
      <c r="H220" s="33" t="str">
        <f aca="false">IF($G220="","",_xlfn.MINIFS($E$5:$E$1504,$A$5:$A$1504,$A220,$D$5:$D$1504,"&lt;&gt;تسليم",$E$5:$E$1504,"&gt;="&amp;$E220))</f>
        <v/>
      </c>
      <c r="I220" s="33" t="str">
        <f aca="false">IF($G220="","",_xlfn.MINIFS($E$5:$E$1504,$A$5:$A$1504,$A220,$D$5:$D$1504,"تسليم",$E$5:$E$1504,"&gt;"&amp;$E220))</f>
        <v/>
      </c>
      <c r="J220" s="33" t="str">
        <f aca="false">IF($G220="","",IF(H220&gt;0,IF(I220&gt;0,MIN(H220,I220),H220),IF(I220&gt;0,I220,تاريخ_الاحتساب)))</f>
        <v/>
      </c>
      <c r="K220" s="34" t="str">
        <f aca="false">IF($G220="","",IF(AND(H220=0,I220=0),"جارية","مغلقة"))</f>
        <v/>
      </c>
      <c r="L220" s="26" t="str">
        <f aca="false">IF($G220="","",MAX(0,NETWORKDAYS.INTL($E220,J220,رمز_العطلة,أيام_الأجازات)-1))</f>
        <v/>
      </c>
      <c r="M220" s="26" t="str">
        <f aca="false">IF($G220="","",MAX(0,L220-مهلة_المراجعة))</f>
        <v/>
      </c>
      <c r="N220" s="30" t="str">
        <f aca="false">IF($A220="",IF(OR($D220&lt;&gt;"",$E220&lt;&gt;""),"رقم المخرج ناقص",""),IF(ISNA(MATCH($A220,قائمة_المخرجات,0)),"رقم مخرج غير موجود",IF($D220="","نوع الحركة ناقص",IF(NOT(ISNUMBER($E220)),"التاريخ ناقص",IF($E220&gt;تاريخ_الاحتساب,"تاريخ بعد تاريخ الاحتساب",IF(AND($D220&lt;&gt;"تسليم",COUNTIFS($A$5:$A$1504,$A220,$D$5:$D$1504,"تسليم",$E$5:$E$1504,"&lt;="&amp;$E220)=0),"لا يوجد تسليم قبل الحركة دي",""))))))</f>
        <v/>
      </c>
    </row>
    <row r="221" customFormat="false" ht="15" hidden="false" customHeight="false" outlineLevel="0" collapsed="false">
      <c r="A221" s="20"/>
      <c r="B221" s="35" t="str">
        <f aca="false">IF($A221="","",IFERROR(INDEX(مخرج_البند,MATCH($A221,قائمة_المخرجات,0)),""))</f>
        <v/>
      </c>
      <c r="C221" s="30" t="str">
        <f aca="false">IF($A221="","",IFERROR(INDEX(مخرج_الوصف,MATCH($A221,قائمة_المخرجات,0)),""))</f>
        <v/>
      </c>
      <c r="D221" s="20"/>
      <c r="E221" s="31"/>
      <c r="F221" s="22"/>
      <c r="G221" s="36" t="str">
        <f aca="false">IF(OR($A221="",$D221&lt;&gt;"تسليم",NOT(ISNUMBER($E221))),"",COUNTIFS($A$5:$A$1504,$A221,$D$5:$D$1504,"تسليم",$E$5:$E$1504,"&lt;"&amp;$E221)+1)</f>
        <v/>
      </c>
      <c r="H221" s="33" t="str">
        <f aca="false">IF($G221="","",_xlfn.MINIFS($E$5:$E$1504,$A$5:$A$1504,$A221,$D$5:$D$1504,"&lt;&gt;تسليم",$E$5:$E$1504,"&gt;="&amp;$E221))</f>
        <v/>
      </c>
      <c r="I221" s="33" t="str">
        <f aca="false">IF($G221="","",_xlfn.MINIFS($E$5:$E$1504,$A$5:$A$1504,$A221,$D$5:$D$1504,"تسليم",$E$5:$E$1504,"&gt;"&amp;$E221))</f>
        <v/>
      </c>
      <c r="J221" s="33" t="str">
        <f aca="false">IF($G221="","",IF(H221&gt;0,IF(I221&gt;0,MIN(H221,I221),H221),IF(I221&gt;0,I221,تاريخ_الاحتساب)))</f>
        <v/>
      </c>
      <c r="K221" s="34" t="str">
        <f aca="false">IF($G221="","",IF(AND(H221=0,I221=0),"جارية","مغلقة"))</f>
        <v/>
      </c>
      <c r="L221" s="26" t="str">
        <f aca="false">IF($G221="","",MAX(0,NETWORKDAYS.INTL($E221,J221,رمز_العطلة,أيام_الأجازات)-1))</f>
        <v/>
      </c>
      <c r="M221" s="26" t="str">
        <f aca="false">IF($G221="","",MAX(0,L221-مهلة_المراجعة))</f>
        <v/>
      </c>
      <c r="N221" s="30" t="str">
        <f aca="false">IF($A221="",IF(OR($D221&lt;&gt;"",$E221&lt;&gt;""),"رقم المخرج ناقص",""),IF(ISNA(MATCH($A221,قائمة_المخرجات,0)),"رقم مخرج غير موجود",IF($D221="","نوع الحركة ناقص",IF(NOT(ISNUMBER($E221)),"التاريخ ناقص",IF($E221&gt;تاريخ_الاحتساب,"تاريخ بعد تاريخ الاحتساب",IF(AND($D221&lt;&gt;"تسليم",COUNTIFS($A$5:$A$1504,$A221,$D$5:$D$1504,"تسليم",$E$5:$E$1504,"&lt;="&amp;$E221)=0),"لا يوجد تسليم قبل الحركة دي",""))))))</f>
        <v/>
      </c>
    </row>
    <row r="222" customFormat="false" ht="15" hidden="false" customHeight="false" outlineLevel="0" collapsed="false">
      <c r="A222" s="20"/>
      <c r="B222" s="35" t="str">
        <f aca="false">IF($A222="","",IFERROR(INDEX(مخرج_البند,MATCH($A222,قائمة_المخرجات,0)),""))</f>
        <v/>
      </c>
      <c r="C222" s="30" t="str">
        <f aca="false">IF($A222="","",IFERROR(INDEX(مخرج_الوصف,MATCH($A222,قائمة_المخرجات,0)),""))</f>
        <v/>
      </c>
      <c r="D222" s="20"/>
      <c r="E222" s="31"/>
      <c r="F222" s="22"/>
      <c r="G222" s="36" t="str">
        <f aca="false">IF(OR($A222="",$D222&lt;&gt;"تسليم",NOT(ISNUMBER($E222))),"",COUNTIFS($A$5:$A$1504,$A222,$D$5:$D$1504,"تسليم",$E$5:$E$1504,"&lt;"&amp;$E222)+1)</f>
        <v/>
      </c>
      <c r="H222" s="33" t="str">
        <f aca="false">IF($G222="","",_xlfn.MINIFS($E$5:$E$1504,$A$5:$A$1504,$A222,$D$5:$D$1504,"&lt;&gt;تسليم",$E$5:$E$1504,"&gt;="&amp;$E222))</f>
        <v/>
      </c>
      <c r="I222" s="33" t="str">
        <f aca="false">IF($G222="","",_xlfn.MINIFS($E$5:$E$1504,$A$5:$A$1504,$A222,$D$5:$D$1504,"تسليم",$E$5:$E$1504,"&gt;"&amp;$E222))</f>
        <v/>
      </c>
      <c r="J222" s="33" t="str">
        <f aca="false">IF($G222="","",IF(H222&gt;0,IF(I222&gt;0,MIN(H222,I222),H222),IF(I222&gt;0,I222,تاريخ_الاحتساب)))</f>
        <v/>
      </c>
      <c r="K222" s="34" t="str">
        <f aca="false">IF($G222="","",IF(AND(H222=0,I222=0),"جارية","مغلقة"))</f>
        <v/>
      </c>
      <c r="L222" s="26" t="str">
        <f aca="false">IF($G222="","",MAX(0,NETWORKDAYS.INTL($E222,J222,رمز_العطلة,أيام_الأجازات)-1))</f>
        <v/>
      </c>
      <c r="M222" s="26" t="str">
        <f aca="false">IF($G222="","",MAX(0,L222-مهلة_المراجعة))</f>
        <v/>
      </c>
      <c r="N222" s="30" t="str">
        <f aca="false">IF($A222="",IF(OR($D222&lt;&gt;"",$E222&lt;&gt;""),"رقم المخرج ناقص",""),IF(ISNA(MATCH($A222,قائمة_المخرجات,0)),"رقم مخرج غير موجود",IF($D222="","نوع الحركة ناقص",IF(NOT(ISNUMBER($E222)),"التاريخ ناقص",IF($E222&gt;تاريخ_الاحتساب,"تاريخ بعد تاريخ الاحتساب",IF(AND($D222&lt;&gt;"تسليم",COUNTIFS($A$5:$A$1504,$A222,$D$5:$D$1504,"تسليم",$E$5:$E$1504,"&lt;="&amp;$E222)=0),"لا يوجد تسليم قبل الحركة دي",""))))))</f>
        <v/>
      </c>
    </row>
    <row r="223" customFormat="false" ht="15" hidden="false" customHeight="false" outlineLevel="0" collapsed="false">
      <c r="A223" s="20"/>
      <c r="B223" s="35" t="str">
        <f aca="false">IF($A223="","",IFERROR(INDEX(مخرج_البند,MATCH($A223,قائمة_المخرجات,0)),""))</f>
        <v/>
      </c>
      <c r="C223" s="30" t="str">
        <f aca="false">IF($A223="","",IFERROR(INDEX(مخرج_الوصف,MATCH($A223,قائمة_المخرجات,0)),""))</f>
        <v/>
      </c>
      <c r="D223" s="20"/>
      <c r="E223" s="31"/>
      <c r="F223" s="22"/>
      <c r="G223" s="36" t="str">
        <f aca="false">IF(OR($A223="",$D223&lt;&gt;"تسليم",NOT(ISNUMBER($E223))),"",COUNTIFS($A$5:$A$1504,$A223,$D$5:$D$1504,"تسليم",$E$5:$E$1504,"&lt;"&amp;$E223)+1)</f>
        <v/>
      </c>
      <c r="H223" s="33" t="str">
        <f aca="false">IF($G223="","",_xlfn.MINIFS($E$5:$E$1504,$A$5:$A$1504,$A223,$D$5:$D$1504,"&lt;&gt;تسليم",$E$5:$E$1504,"&gt;="&amp;$E223))</f>
        <v/>
      </c>
      <c r="I223" s="33" t="str">
        <f aca="false">IF($G223="","",_xlfn.MINIFS($E$5:$E$1504,$A$5:$A$1504,$A223,$D$5:$D$1504,"تسليم",$E$5:$E$1504,"&gt;"&amp;$E223))</f>
        <v/>
      </c>
      <c r="J223" s="33" t="str">
        <f aca="false">IF($G223="","",IF(H223&gt;0,IF(I223&gt;0,MIN(H223,I223),H223),IF(I223&gt;0,I223,تاريخ_الاحتساب)))</f>
        <v/>
      </c>
      <c r="K223" s="34" t="str">
        <f aca="false">IF($G223="","",IF(AND(H223=0,I223=0),"جارية","مغلقة"))</f>
        <v/>
      </c>
      <c r="L223" s="26" t="str">
        <f aca="false">IF($G223="","",MAX(0,NETWORKDAYS.INTL($E223,J223,رمز_العطلة,أيام_الأجازات)-1))</f>
        <v/>
      </c>
      <c r="M223" s="26" t="str">
        <f aca="false">IF($G223="","",MAX(0,L223-مهلة_المراجعة))</f>
        <v/>
      </c>
      <c r="N223" s="30" t="str">
        <f aca="false">IF($A223="",IF(OR($D223&lt;&gt;"",$E223&lt;&gt;""),"رقم المخرج ناقص",""),IF(ISNA(MATCH($A223,قائمة_المخرجات,0)),"رقم مخرج غير موجود",IF($D223="","نوع الحركة ناقص",IF(NOT(ISNUMBER($E223)),"التاريخ ناقص",IF($E223&gt;تاريخ_الاحتساب,"تاريخ بعد تاريخ الاحتساب",IF(AND($D223&lt;&gt;"تسليم",COUNTIFS($A$5:$A$1504,$A223,$D$5:$D$1504,"تسليم",$E$5:$E$1504,"&lt;="&amp;$E223)=0),"لا يوجد تسليم قبل الحركة دي",""))))))</f>
        <v/>
      </c>
    </row>
    <row r="224" customFormat="false" ht="15" hidden="false" customHeight="false" outlineLevel="0" collapsed="false">
      <c r="A224" s="20"/>
      <c r="B224" s="35" t="str">
        <f aca="false">IF($A224="","",IFERROR(INDEX(مخرج_البند,MATCH($A224,قائمة_المخرجات,0)),""))</f>
        <v/>
      </c>
      <c r="C224" s="30" t="str">
        <f aca="false">IF($A224="","",IFERROR(INDEX(مخرج_الوصف,MATCH($A224,قائمة_المخرجات,0)),""))</f>
        <v/>
      </c>
      <c r="D224" s="20"/>
      <c r="E224" s="31"/>
      <c r="F224" s="22"/>
      <c r="G224" s="36" t="str">
        <f aca="false">IF(OR($A224="",$D224&lt;&gt;"تسليم",NOT(ISNUMBER($E224))),"",COUNTIFS($A$5:$A$1504,$A224,$D$5:$D$1504,"تسليم",$E$5:$E$1504,"&lt;"&amp;$E224)+1)</f>
        <v/>
      </c>
      <c r="H224" s="33" t="str">
        <f aca="false">IF($G224="","",_xlfn.MINIFS($E$5:$E$1504,$A$5:$A$1504,$A224,$D$5:$D$1504,"&lt;&gt;تسليم",$E$5:$E$1504,"&gt;="&amp;$E224))</f>
        <v/>
      </c>
      <c r="I224" s="33" t="str">
        <f aca="false">IF($G224="","",_xlfn.MINIFS($E$5:$E$1504,$A$5:$A$1504,$A224,$D$5:$D$1504,"تسليم",$E$5:$E$1504,"&gt;"&amp;$E224))</f>
        <v/>
      </c>
      <c r="J224" s="33" t="str">
        <f aca="false">IF($G224="","",IF(H224&gt;0,IF(I224&gt;0,MIN(H224,I224),H224),IF(I224&gt;0,I224,تاريخ_الاحتساب)))</f>
        <v/>
      </c>
      <c r="K224" s="34" t="str">
        <f aca="false">IF($G224="","",IF(AND(H224=0,I224=0),"جارية","مغلقة"))</f>
        <v/>
      </c>
      <c r="L224" s="26" t="str">
        <f aca="false">IF($G224="","",MAX(0,NETWORKDAYS.INTL($E224,J224,رمز_العطلة,أيام_الأجازات)-1))</f>
        <v/>
      </c>
      <c r="M224" s="26" t="str">
        <f aca="false">IF($G224="","",MAX(0,L224-مهلة_المراجعة))</f>
        <v/>
      </c>
      <c r="N224" s="30" t="str">
        <f aca="false">IF($A224="",IF(OR($D224&lt;&gt;"",$E224&lt;&gt;""),"رقم المخرج ناقص",""),IF(ISNA(MATCH($A224,قائمة_المخرجات,0)),"رقم مخرج غير موجود",IF($D224="","نوع الحركة ناقص",IF(NOT(ISNUMBER($E224)),"التاريخ ناقص",IF($E224&gt;تاريخ_الاحتساب,"تاريخ بعد تاريخ الاحتساب",IF(AND($D224&lt;&gt;"تسليم",COUNTIFS($A$5:$A$1504,$A224,$D$5:$D$1504,"تسليم",$E$5:$E$1504,"&lt;="&amp;$E224)=0),"لا يوجد تسليم قبل الحركة دي",""))))))</f>
        <v/>
      </c>
    </row>
    <row r="225" customFormat="false" ht="15" hidden="false" customHeight="false" outlineLevel="0" collapsed="false">
      <c r="A225" s="20"/>
      <c r="B225" s="35" t="str">
        <f aca="false">IF($A225="","",IFERROR(INDEX(مخرج_البند,MATCH($A225,قائمة_المخرجات,0)),""))</f>
        <v/>
      </c>
      <c r="C225" s="30" t="str">
        <f aca="false">IF($A225="","",IFERROR(INDEX(مخرج_الوصف,MATCH($A225,قائمة_المخرجات,0)),""))</f>
        <v/>
      </c>
      <c r="D225" s="20"/>
      <c r="E225" s="31"/>
      <c r="F225" s="22"/>
      <c r="G225" s="36" t="str">
        <f aca="false">IF(OR($A225="",$D225&lt;&gt;"تسليم",NOT(ISNUMBER($E225))),"",COUNTIFS($A$5:$A$1504,$A225,$D$5:$D$1504,"تسليم",$E$5:$E$1504,"&lt;"&amp;$E225)+1)</f>
        <v/>
      </c>
      <c r="H225" s="33" t="str">
        <f aca="false">IF($G225="","",_xlfn.MINIFS($E$5:$E$1504,$A$5:$A$1504,$A225,$D$5:$D$1504,"&lt;&gt;تسليم",$E$5:$E$1504,"&gt;="&amp;$E225))</f>
        <v/>
      </c>
      <c r="I225" s="33" t="str">
        <f aca="false">IF($G225="","",_xlfn.MINIFS($E$5:$E$1504,$A$5:$A$1504,$A225,$D$5:$D$1504,"تسليم",$E$5:$E$1504,"&gt;"&amp;$E225))</f>
        <v/>
      </c>
      <c r="J225" s="33" t="str">
        <f aca="false">IF($G225="","",IF(H225&gt;0,IF(I225&gt;0,MIN(H225,I225),H225),IF(I225&gt;0,I225,تاريخ_الاحتساب)))</f>
        <v/>
      </c>
      <c r="K225" s="34" t="str">
        <f aca="false">IF($G225="","",IF(AND(H225=0,I225=0),"جارية","مغلقة"))</f>
        <v/>
      </c>
      <c r="L225" s="26" t="str">
        <f aca="false">IF($G225="","",MAX(0,NETWORKDAYS.INTL($E225,J225,رمز_العطلة,أيام_الأجازات)-1))</f>
        <v/>
      </c>
      <c r="M225" s="26" t="str">
        <f aca="false">IF($G225="","",MAX(0,L225-مهلة_المراجعة))</f>
        <v/>
      </c>
      <c r="N225" s="30" t="str">
        <f aca="false">IF($A225="",IF(OR($D225&lt;&gt;"",$E225&lt;&gt;""),"رقم المخرج ناقص",""),IF(ISNA(MATCH($A225,قائمة_المخرجات,0)),"رقم مخرج غير موجود",IF($D225="","نوع الحركة ناقص",IF(NOT(ISNUMBER($E225)),"التاريخ ناقص",IF($E225&gt;تاريخ_الاحتساب,"تاريخ بعد تاريخ الاحتساب",IF(AND($D225&lt;&gt;"تسليم",COUNTIFS($A$5:$A$1504,$A225,$D$5:$D$1504,"تسليم",$E$5:$E$1504,"&lt;="&amp;$E225)=0),"لا يوجد تسليم قبل الحركة دي",""))))))</f>
        <v/>
      </c>
    </row>
    <row r="226" customFormat="false" ht="15" hidden="false" customHeight="false" outlineLevel="0" collapsed="false">
      <c r="A226" s="20"/>
      <c r="B226" s="35" t="str">
        <f aca="false">IF($A226="","",IFERROR(INDEX(مخرج_البند,MATCH($A226,قائمة_المخرجات,0)),""))</f>
        <v/>
      </c>
      <c r="C226" s="30" t="str">
        <f aca="false">IF($A226="","",IFERROR(INDEX(مخرج_الوصف,MATCH($A226,قائمة_المخرجات,0)),""))</f>
        <v/>
      </c>
      <c r="D226" s="20"/>
      <c r="E226" s="31"/>
      <c r="F226" s="22"/>
      <c r="G226" s="36" t="str">
        <f aca="false">IF(OR($A226="",$D226&lt;&gt;"تسليم",NOT(ISNUMBER($E226))),"",COUNTIFS($A$5:$A$1504,$A226,$D$5:$D$1504,"تسليم",$E$5:$E$1504,"&lt;"&amp;$E226)+1)</f>
        <v/>
      </c>
      <c r="H226" s="33" t="str">
        <f aca="false">IF($G226="","",_xlfn.MINIFS($E$5:$E$1504,$A$5:$A$1504,$A226,$D$5:$D$1504,"&lt;&gt;تسليم",$E$5:$E$1504,"&gt;="&amp;$E226))</f>
        <v/>
      </c>
      <c r="I226" s="33" t="str">
        <f aca="false">IF($G226="","",_xlfn.MINIFS($E$5:$E$1504,$A$5:$A$1504,$A226,$D$5:$D$1504,"تسليم",$E$5:$E$1504,"&gt;"&amp;$E226))</f>
        <v/>
      </c>
      <c r="J226" s="33" t="str">
        <f aca="false">IF($G226="","",IF(H226&gt;0,IF(I226&gt;0,MIN(H226,I226),H226),IF(I226&gt;0,I226,تاريخ_الاحتساب)))</f>
        <v/>
      </c>
      <c r="K226" s="34" t="str">
        <f aca="false">IF($G226="","",IF(AND(H226=0,I226=0),"جارية","مغلقة"))</f>
        <v/>
      </c>
      <c r="L226" s="26" t="str">
        <f aca="false">IF($G226="","",MAX(0,NETWORKDAYS.INTL($E226,J226,رمز_العطلة,أيام_الأجازات)-1))</f>
        <v/>
      </c>
      <c r="M226" s="26" t="str">
        <f aca="false">IF($G226="","",MAX(0,L226-مهلة_المراجعة))</f>
        <v/>
      </c>
      <c r="N226" s="30" t="str">
        <f aca="false">IF($A226="",IF(OR($D226&lt;&gt;"",$E226&lt;&gt;""),"رقم المخرج ناقص",""),IF(ISNA(MATCH($A226,قائمة_المخرجات,0)),"رقم مخرج غير موجود",IF($D226="","نوع الحركة ناقص",IF(NOT(ISNUMBER($E226)),"التاريخ ناقص",IF($E226&gt;تاريخ_الاحتساب,"تاريخ بعد تاريخ الاحتساب",IF(AND($D226&lt;&gt;"تسليم",COUNTIFS($A$5:$A$1504,$A226,$D$5:$D$1504,"تسليم",$E$5:$E$1504,"&lt;="&amp;$E226)=0),"لا يوجد تسليم قبل الحركة دي",""))))))</f>
        <v/>
      </c>
    </row>
    <row r="227" customFormat="false" ht="15" hidden="false" customHeight="false" outlineLevel="0" collapsed="false">
      <c r="A227" s="20"/>
      <c r="B227" s="35" t="str">
        <f aca="false">IF($A227="","",IFERROR(INDEX(مخرج_البند,MATCH($A227,قائمة_المخرجات,0)),""))</f>
        <v/>
      </c>
      <c r="C227" s="30" t="str">
        <f aca="false">IF($A227="","",IFERROR(INDEX(مخرج_الوصف,MATCH($A227,قائمة_المخرجات,0)),""))</f>
        <v/>
      </c>
      <c r="D227" s="20"/>
      <c r="E227" s="31"/>
      <c r="F227" s="22"/>
      <c r="G227" s="36" t="str">
        <f aca="false">IF(OR($A227="",$D227&lt;&gt;"تسليم",NOT(ISNUMBER($E227))),"",COUNTIFS($A$5:$A$1504,$A227,$D$5:$D$1504,"تسليم",$E$5:$E$1504,"&lt;"&amp;$E227)+1)</f>
        <v/>
      </c>
      <c r="H227" s="33" t="str">
        <f aca="false">IF($G227="","",_xlfn.MINIFS($E$5:$E$1504,$A$5:$A$1504,$A227,$D$5:$D$1504,"&lt;&gt;تسليم",$E$5:$E$1504,"&gt;="&amp;$E227))</f>
        <v/>
      </c>
      <c r="I227" s="33" t="str">
        <f aca="false">IF($G227="","",_xlfn.MINIFS($E$5:$E$1504,$A$5:$A$1504,$A227,$D$5:$D$1504,"تسليم",$E$5:$E$1504,"&gt;"&amp;$E227))</f>
        <v/>
      </c>
      <c r="J227" s="33" t="str">
        <f aca="false">IF($G227="","",IF(H227&gt;0,IF(I227&gt;0,MIN(H227,I227),H227),IF(I227&gt;0,I227,تاريخ_الاحتساب)))</f>
        <v/>
      </c>
      <c r="K227" s="34" t="str">
        <f aca="false">IF($G227="","",IF(AND(H227=0,I227=0),"جارية","مغلقة"))</f>
        <v/>
      </c>
      <c r="L227" s="26" t="str">
        <f aca="false">IF($G227="","",MAX(0,NETWORKDAYS.INTL($E227,J227,رمز_العطلة,أيام_الأجازات)-1))</f>
        <v/>
      </c>
      <c r="M227" s="26" t="str">
        <f aca="false">IF($G227="","",MAX(0,L227-مهلة_المراجعة))</f>
        <v/>
      </c>
      <c r="N227" s="30" t="str">
        <f aca="false">IF($A227="",IF(OR($D227&lt;&gt;"",$E227&lt;&gt;""),"رقم المخرج ناقص",""),IF(ISNA(MATCH($A227,قائمة_المخرجات,0)),"رقم مخرج غير موجود",IF($D227="","نوع الحركة ناقص",IF(NOT(ISNUMBER($E227)),"التاريخ ناقص",IF($E227&gt;تاريخ_الاحتساب,"تاريخ بعد تاريخ الاحتساب",IF(AND($D227&lt;&gt;"تسليم",COUNTIFS($A$5:$A$1504,$A227,$D$5:$D$1504,"تسليم",$E$5:$E$1504,"&lt;="&amp;$E227)=0),"لا يوجد تسليم قبل الحركة دي",""))))))</f>
        <v/>
      </c>
    </row>
    <row r="228" customFormat="false" ht="15" hidden="false" customHeight="false" outlineLevel="0" collapsed="false">
      <c r="A228" s="20"/>
      <c r="B228" s="35" t="str">
        <f aca="false">IF($A228="","",IFERROR(INDEX(مخرج_البند,MATCH($A228,قائمة_المخرجات,0)),""))</f>
        <v/>
      </c>
      <c r="C228" s="30" t="str">
        <f aca="false">IF($A228="","",IFERROR(INDEX(مخرج_الوصف,MATCH($A228,قائمة_المخرجات,0)),""))</f>
        <v/>
      </c>
      <c r="D228" s="20"/>
      <c r="E228" s="31"/>
      <c r="F228" s="22"/>
      <c r="G228" s="36" t="str">
        <f aca="false">IF(OR($A228="",$D228&lt;&gt;"تسليم",NOT(ISNUMBER($E228))),"",COUNTIFS($A$5:$A$1504,$A228,$D$5:$D$1504,"تسليم",$E$5:$E$1504,"&lt;"&amp;$E228)+1)</f>
        <v/>
      </c>
      <c r="H228" s="33" t="str">
        <f aca="false">IF($G228="","",_xlfn.MINIFS($E$5:$E$1504,$A$5:$A$1504,$A228,$D$5:$D$1504,"&lt;&gt;تسليم",$E$5:$E$1504,"&gt;="&amp;$E228))</f>
        <v/>
      </c>
      <c r="I228" s="33" t="str">
        <f aca="false">IF($G228="","",_xlfn.MINIFS($E$5:$E$1504,$A$5:$A$1504,$A228,$D$5:$D$1504,"تسليم",$E$5:$E$1504,"&gt;"&amp;$E228))</f>
        <v/>
      </c>
      <c r="J228" s="33" t="str">
        <f aca="false">IF($G228="","",IF(H228&gt;0,IF(I228&gt;0,MIN(H228,I228),H228),IF(I228&gt;0,I228,تاريخ_الاحتساب)))</f>
        <v/>
      </c>
      <c r="K228" s="34" t="str">
        <f aca="false">IF($G228="","",IF(AND(H228=0,I228=0),"جارية","مغلقة"))</f>
        <v/>
      </c>
      <c r="L228" s="26" t="str">
        <f aca="false">IF($G228="","",MAX(0,NETWORKDAYS.INTL($E228,J228,رمز_العطلة,أيام_الأجازات)-1))</f>
        <v/>
      </c>
      <c r="M228" s="26" t="str">
        <f aca="false">IF($G228="","",MAX(0,L228-مهلة_المراجعة))</f>
        <v/>
      </c>
      <c r="N228" s="30" t="str">
        <f aca="false">IF($A228="",IF(OR($D228&lt;&gt;"",$E228&lt;&gt;""),"رقم المخرج ناقص",""),IF(ISNA(MATCH($A228,قائمة_المخرجات,0)),"رقم مخرج غير موجود",IF($D228="","نوع الحركة ناقص",IF(NOT(ISNUMBER($E228)),"التاريخ ناقص",IF($E228&gt;تاريخ_الاحتساب,"تاريخ بعد تاريخ الاحتساب",IF(AND($D228&lt;&gt;"تسليم",COUNTIFS($A$5:$A$1504,$A228,$D$5:$D$1504,"تسليم",$E$5:$E$1504,"&lt;="&amp;$E228)=0),"لا يوجد تسليم قبل الحركة دي",""))))))</f>
        <v/>
      </c>
    </row>
    <row r="229" customFormat="false" ht="15" hidden="false" customHeight="false" outlineLevel="0" collapsed="false">
      <c r="A229" s="20"/>
      <c r="B229" s="35" t="str">
        <f aca="false">IF($A229="","",IFERROR(INDEX(مخرج_البند,MATCH($A229,قائمة_المخرجات,0)),""))</f>
        <v/>
      </c>
      <c r="C229" s="30" t="str">
        <f aca="false">IF($A229="","",IFERROR(INDEX(مخرج_الوصف,MATCH($A229,قائمة_المخرجات,0)),""))</f>
        <v/>
      </c>
      <c r="D229" s="20"/>
      <c r="E229" s="31"/>
      <c r="F229" s="22"/>
      <c r="G229" s="36" t="str">
        <f aca="false">IF(OR($A229="",$D229&lt;&gt;"تسليم",NOT(ISNUMBER($E229))),"",COUNTIFS($A$5:$A$1504,$A229,$D$5:$D$1504,"تسليم",$E$5:$E$1504,"&lt;"&amp;$E229)+1)</f>
        <v/>
      </c>
      <c r="H229" s="33" t="str">
        <f aca="false">IF($G229="","",_xlfn.MINIFS($E$5:$E$1504,$A$5:$A$1504,$A229,$D$5:$D$1504,"&lt;&gt;تسليم",$E$5:$E$1504,"&gt;="&amp;$E229))</f>
        <v/>
      </c>
      <c r="I229" s="33" t="str">
        <f aca="false">IF($G229="","",_xlfn.MINIFS($E$5:$E$1504,$A$5:$A$1504,$A229,$D$5:$D$1504,"تسليم",$E$5:$E$1504,"&gt;"&amp;$E229))</f>
        <v/>
      </c>
      <c r="J229" s="33" t="str">
        <f aca="false">IF($G229="","",IF(H229&gt;0,IF(I229&gt;0,MIN(H229,I229),H229),IF(I229&gt;0,I229,تاريخ_الاحتساب)))</f>
        <v/>
      </c>
      <c r="K229" s="34" t="str">
        <f aca="false">IF($G229="","",IF(AND(H229=0,I229=0),"جارية","مغلقة"))</f>
        <v/>
      </c>
      <c r="L229" s="26" t="str">
        <f aca="false">IF($G229="","",MAX(0,NETWORKDAYS.INTL($E229,J229,رمز_العطلة,أيام_الأجازات)-1))</f>
        <v/>
      </c>
      <c r="M229" s="26" t="str">
        <f aca="false">IF($G229="","",MAX(0,L229-مهلة_المراجعة))</f>
        <v/>
      </c>
      <c r="N229" s="30" t="str">
        <f aca="false">IF($A229="",IF(OR($D229&lt;&gt;"",$E229&lt;&gt;""),"رقم المخرج ناقص",""),IF(ISNA(MATCH($A229,قائمة_المخرجات,0)),"رقم مخرج غير موجود",IF($D229="","نوع الحركة ناقص",IF(NOT(ISNUMBER($E229)),"التاريخ ناقص",IF($E229&gt;تاريخ_الاحتساب,"تاريخ بعد تاريخ الاحتساب",IF(AND($D229&lt;&gt;"تسليم",COUNTIFS($A$5:$A$1504,$A229,$D$5:$D$1504,"تسليم",$E$5:$E$1504,"&lt;="&amp;$E229)=0),"لا يوجد تسليم قبل الحركة دي",""))))))</f>
        <v/>
      </c>
    </row>
    <row r="230" customFormat="false" ht="15" hidden="false" customHeight="false" outlineLevel="0" collapsed="false">
      <c r="A230" s="20"/>
      <c r="B230" s="35" t="str">
        <f aca="false">IF($A230="","",IFERROR(INDEX(مخرج_البند,MATCH($A230,قائمة_المخرجات,0)),""))</f>
        <v/>
      </c>
      <c r="C230" s="30" t="str">
        <f aca="false">IF($A230="","",IFERROR(INDEX(مخرج_الوصف,MATCH($A230,قائمة_المخرجات,0)),""))</f>
        <v/>
      </c>
      <c r="D230" s="20"/>
      <c r="E230" s="31"/>
      <c r="F230" s="22"/>
      <c r="G230" s="36" t="str">
        <f aca="false">IF(OR($A230="",$D230&lt;&gt;"تسليم",NOT(ISNUMBER($E230))),"",COUNTIFS($A$5:$A$1504,$A230,$D$5:$D$1504,"تسليم",$E$5:$E$1504,"&lt;"&amp;$E230)+1)</f>
        <v/>
      </c>
      <c r="H230" s="33" t="str">
        <f aca="false">IF($G230="","",_xlfn.MINIFS($E$5:$E$1504,$A$5:$A$1504,$A230,$D$5:$D$1504,"&lt;&gt;تسليم",$E$5:$E$1504,"&gt;="&amp;$E230))</f>
        <v/>
      </c>
      <c r="I230" s="33" t="str">
        <f aca="false">IF($G230="","",_xlfn.MINIFS($E$5:$E$1504,$A$5:$A$1504,$A230,$D$5:$D$1504,"تسليم",$E$5:$E$1504,"&gt;"&amp;$E230))</f>
        <v/>
      </c>
      <c r="J230" s="33" t="str">
        <f aca="false">IF($G230="","",IF(H230&gt;0,IF(I230&gt;0,MIN(H230,I230),H230),IF(I230&gt;0,I230,تاريخ_الاحتساب)))</f>
        <v/>
      </c>
      <c r="K230" s="34" t="str">
        <f aca="false">IF($G230="","",IF(AND(H230=0,I230=0),"جارية","مغلقة"))</f>
        <v/>
      </c>
      <c r="L230" s="26" t="str">
        <f aca="false">IF($G230="","",MAX(0,NETWORKDAYS.INTL($E230,J230,رمز_العطلة,أيام_الأجازات)-1))</f>
        <v/>
      </c>
      <c r="M230" s="26" t="str">
        <f aca="false">IF($G230="","",MAX(0,L230-مهلة_المراجعة))</f>
        <v/>
      </c>
      <c r="N230" s="30" t="str">
        <f aca="false">IF($A230="",IF(OR($D230&lt;&gt;"",$E230&lt;&gt;""),"رقم المخرج ناقص",""),IF(ISNA(MATCH($A230,قائمة_المخرجات,0)),"رقم مخرج غير موجود",IF($D230="","نوع الحركة ناقص",IF(NOT(ISNUMBER($E230)),"التاريخ ناقص",IF($E230&gt;تاريخ_الاحتساب,"تاريخ بعد تاريخ الاحتساب",IF(AND($D230&lt;&gt;"تسليم",COUNTIFS($A$5:$A$1504,$A230,$D$5:$D$1504,"تسليم",$E$5:$E$1504,"&lt;="&amp;$E230)=0),"لا يوجد تسليم قبل الحركة دي",""))))))</f>
        <v/>
      </c>
    </row>
    <row r="231" customFormat="false" ht="15" hidden="false" customHeight="false" outlineLevel="0" collapsed="false">
      <c r="A231" s="20"/>
      <c r="B231" s="35" t="str">
        <f aca="false">IF($A231="","",IFERROR(INDEX(مخرج_البند,MATCH($A231,قائمة_المخرجات,0)),""))</f>
        <v/>
      </c>
      <c r="C231" s="30" t="str">
        <f aca="false">IF($A231="","",IFERROR(INDEX(مخرج_الوصف,MATCH($A231,قائمة_المخرجات,0)),""))</f>
        <v/>
      </c>
      <c r="D231" s="20"/>
      <c r="E231" s="31"/>
      <c r="F231" s="22"/>
      <c r="G231" s="36" t="str">
        <f aca="false">IF(OR($A231="",$D231&lt;&gt;"تسليم",NOT(ISNUMBER($E231))),"",COUNTIFS($A$5:$A$1504,$A231,$D$5:$D$1504,"تسليم",$E$5:$E$1504,"&lt;"&amp;$E231)+1)</f>
        <v/>
      </c>
      <c r="H231" s="33" t="str">
        <f aca="false">IF($G231="","",_xlfn.MINIFS($E$5:$E$1504,$A$5:$A$1504,$A231,$D$5:$D$1504,"&lt;&gt;تسليم",$E$5:$E$1504,"&gt;="&amp;$E231))</f>
        <v/>
      </c>
      <c r="I231" s="33" t="str">
        <f aca="false">IF($G231="","",_xlfn.MINIFS($E$5:$E$1504,$A$5:$A$1504,$A231,$D$5:$D$1504,"تسليم",$E$5:$E$1504,"&gt;"&amp;$E231))</f>
        <v/>
      </c>
      <c r="J231" s="33" t="str">
        <f aca="false">IF($G231="","",IF(H231&gt;0,IF(I231&gt;0,MIN(H231,I231),H231),IF(I231&gt;0,I231,تاريخ_الاحتساب)))</f>
        <v/>
      </c>
      <c r="K231" s="34" t="str">
        <f aca="false">IF($G231="","",IF(AND(H231=0,I231=0),"جارية","مغلقة"))</f>
        <v/>
      </c>
      <c r="L231" s="26" t="str">
        <f aca="false">IF($G231="","",MAX(0,NETWORKDAYS.INTL($E231,J231,رمز_العطلة,أيام_الأجازات)-1))</f>
        <v/>
      </c>
      <c r="M231" s="26" t="str">
        <f aca="false">IF($G231="","",MAX(0,L231-مهلة_المراجعة))</f>
        <v/>
      </c>
      <c r="N231" s="30" t="str">
        <f aca="false">IF($A231="",IF(OR($D231&lt;&gt;"",$E231&lt;&gt;""),"رقم المخرج ناقص",""),IF(ISNA(MATCH($A231,قائمة_المخرجات,0)),"رقم مخرج غير موجود",IF($D231="","نوع الحركة ناقص",IF(NOT(ISNUMBER($E231)),"التاريخ ناقص",IF($E231&gt;تاريخ_الاحتساب,"تاريخ بعد تاريخ الاحتساب",IF(AND($D231&lt;&gt;"تسليم",COUNTIFS($A$5:$A$1504,$A231,$D$5:$D$1504,"تسليم",$E$5:$E$1504,"&lt;="&amp;$E231)=0),"لا يوجد تسليم قبل الحركة دي",""))))))</f>
        <v/>
      </c>
    </row>
    <row r="232" customFormat="false" ht="15" hidden="false" customHeight="false" outlineLevel="0" collapsed="false">
      <c r="A232" s="20"/>
      <c r="B232" s="35" t="str">
        <f aca="false">IF($A232="","",IFERROR(INDEX(مخرج_البند,MATCH($A232,قائمة_المخرجات,0)),""))</f>
        <v/>
      </c>
      <c r="C232" s="30" t="str">
        <f aca="false">IF($A232="","",IFERROR(INDEX(مخرج_الوصف,MATCH($A232,قائمة_المخرجات,0)),""))</f>
        <v/>
      </c>
      <c r="D232" s="20"/>
      <c r="E232" s="31"/>
      <c r="F232" s="22"/>
      <c r="G232" s="36" t="str">
        <f aca="false">IF(OR($A232="",$D232&lt;&gt;"تسليم",NOT(ISNUMBER($E232))),"",COUNTIFS($A$5:$A$1504,$A232,$D$5:$D$1504,"تسليم",$E$5:$E$1504,"&lt;"&amp;$E232)+1)</f>
        <v/>
      </c>
      <c r="H232" s="33" t="str">
        <f aca="false">IF($G232="","",_xlfn.MINIFS($E$5:$E$1504,$A$5:$A$1504,$A232,$D$5:$D$1504,"&lt;&gt;تسليم",$E$5:$E$1504,"&gt;="&amp;$E232))</f>
        <v/>
      </c>
      <c r="I232" s="33" t="str">
        <f aca="false">IF($G232="","",_xlfn.MINIFS($E$5:$E$1504,$A$5:$A$1504,$A232,$D$5:$D$1504,"تسليم",$E$5:$E$1504,"&gt;"&amp;$E232))</f>
        <v/>
      </c>
      <c r="J232" s="33" t="str">
        <f aca="false">IF($G232="","",IF(H232&gt;0,IF(I232&gt;0,MIN(H232,I232),H232),IF(I232&gt;0,I232,تاريخ_الاحتساب)))</f>
        <v/>
      </c>
      <c r="K232" s="34" t="str">
        <f aca="false">IF($G232="","",IF(AND(H232=0,I232=0),"جارية","مغلقة"))</f>
        <v/>
      </c>
      <c r="L232" s="26" t="str">
        <f aca="false">IF($G232="","",MAX(0,NETWORKDAYS.INTL($E232,J232,رمز_العطلة,أيام_الأجازات)-1))</f>
        <v/>
      </c>
      <c r="M232" s="26" t="str">
        <f aca="false">IF($G232="","",MAX(0,L232-مهلة_المراجعة))</f>
        <v/>
      </c>
      <c r="N232" s="30" t="str">
        <f aca="false">IF($A232="",IF(OR($D232&lt;&gt;"",$E232&lt;&gt;""),"رقم المخرج ناقص",""),IF(ISNA(MATCH($A232,قائمة_المخرجات,0)),"رقم مخرج غير موجود",IF($D232="","نوع الحركة ناقص",IF(NOT(ISNUMBER($E232)),"التاريخ ناقص",IF($E232&gt;تاريخ_الاحتساب,"تاريخ بعد تاريخ الاحتساب",IF(AND($D232&lt;&gt;"تسليم",COUNTIFS($A$5:$A$1504,$A232,$D$5:$D$1504,"تسليم",$E$5:$E$1504,"&lt;="&amp;$E232)=0),"لا يوجد تسليم قبل الحركة دي",""))))))</f>
        <v/>
      </c>
    </row>
    <row r="233" customFormat="false" ht="15" hidden="false" customHeight="false" outlineLevel="0" collapsed="false">
      <c r="A233" s="20"/>
      <c r="B233" s="35" t="str">
        <f aca="false">IF($A233="","",IFERROR(INDEX(مخرج_البند,MATCH($A233,قائمة_المخرجات,0)),""))</f>
        <v/>
      </c>
      <c r="C233" s="30" t="str">
        <f aca="false">IF($A233="","",IFERROR(INDEX(مخرج_الوصف,MATCH($A233,قائمة_المخرجات,0)),""))</f>
        <v/>
      </c>
      <c r="D233" s="20"/>
      <c r="E233" s="31"/>
      <c r="F233" s="22"/>
      <c r="G233" s="36" t="str">
        <f aca="false">IF(OR($A233="",$D233&lt;&gt;"تسليم",NOT(ISNUMBER($E233))),"",COUNTIFS($A$5:$A$1504,$A233,$D$5:$D$1504,"تسليم",$E$5:$E$1504,"&lt;"&amp;$E233)+1)</f>
        <v/>
      </c>
      <c r="H233" s="33" t="str">
        <f aca="false">IF($G233="","",_xlfn.MINIFS($E$5:$E$1504,$A$5:$A$1504,$A233,$D$5:$D$1504,"&lt;&gt;تسليم",$E$5:$E$1504,"&gt;="&amp;$E233))</f>
        <v/>
      </c>
      <c r="I233" s="33" t="str">
        <f aca="false">IF($G233="","",_xlfn.MINIFS($E$5:$E$1504,$A$5:$A$1504,$A233,$D$5:$D$1504,"تسليم",$E$5:$E$1504,"&gt;"&amp;$E233))</f>
        <v/>
      </c>
      <c r="J233" s="33" t="str">
        <f aca="false">IF($G233="","",IF(H233&gt;0,IF(I233&gt;0,MIN(H233,I233),H233),IF(I233&gt;0,I233,تاريخ_الاحتساب)))</f>
        <v/>
      </c>
      <c r="K233" s="34" t="str">
        <f aca="false">IF($G233="","",IF(AND(H233=0,I233=0),"جارية","مغلقة"))</f>
        <v/>
      </c>
      <c r="L233" s="26" t="str">
        <f aca="false">IF($G233="","",MAX(0,NETWORKDAYS.INTL($E233,J233,رمز_العطلة,أيام_الأجازات)-1))</f>
        <v/>
      </c>
      <c r="M233" s="26" t="str">
        <f aca="false">IF($G233="","",MAX(0,L233-مهلة_المراجعة))</f>
        <v/>
      </c>
      <c r="N233" s="30" t="str">
        <f aca="false">IF($A233="",IF(OR($D233&lt;&gt;"",$E233&lt;&gt;""),"رقم المخرج ناقص",""),IF(ISNA(MATCH($A233,قائمة_المخرجات,0)),"رقم مخرج غير موجود",IF($D233="","نوع الحركة ناقص",IF(NOT(ISNUMBER($E233)),"التاريخ ناقص",IF($E233&gt;تاريخ_الاحتساب,"تاريخ بعد تاريخ الاحتساب",IF(AND($D233&lt;&gt;"تسليم",COUNTIFS($A$5:$A$1504,$A233,$D$5:$D$1504,"تسليم",$E$5:$E$1504,"&lt;="&amp;$E233)=0),"لا يوجد تسليم قبل الحركة دي",""))))))</f>
        <v/>
      </c>
    </row>
    <row r="234" customFormat="false" ht="15" hidden="false" customHeight="false" outlineLevel="0" collapsed="false">
      <c r="A234" s="20"/>
      <c r="B234" s="35" t="str">
        <f aca="false">IF($A234="","",IFERROR(INDEX(مخرج_البند,MATCH($A234,قائمة_المخرجات,0)),""))</f>
        <v/>
      </c>
      <c r="C234" s="30" t="str">
        <f aca="false">IF($A234="","",IFERROR(INDEX(مخرج_الوصف,MATCH($A234,قائمة_المخرجات,0)),""))</f>
        <v/>
      </c>
      <c r="D234" s="20"/>
      <c r="E234" s="31"/>
      <c r="F234" s="22"/>
      <c r="G234" s="36" t="str">
        <f aca="false">IF(OR($A234="",$D234&lt;&gt;"تسليم",NOT(ISNUMBER($E234))),"",COUNTIFS($A$5:$A$1504,$A234,$D$5:$D$1504,"تسليم",$E$5:$E$1504,"&lt;"&amp;$E234)+1)</f>
        <v/>
      </c>
      <c r="H234" s="33" t="str">
        <f aca="false">IF($G234="","",_xlfn.MINIFS($E$5:$E$1504,$A$5:$A$1504,$A234,$D$5:$D$1504,"&lt;&gt;تسليم",$E$5:$E$1504,"&gt;="&amp;$E234))</f>
        <v/>
      </c>
      <c r="I234" s="33" t="str">
        <f aca="false">IF($G234="","",_xlfn.MINIFS($E$5:$E$1504,$A$5:$A$1504,$A234,$D$5:$D$1504,"تسليم",$E$5:$E$1504,"&gt;"&amp;$E234))</f>
        <v/>
      </c>
      <c r="J234" s="33" t="str">
        <f aca="false">IF($G234="","",IF(H234&gt;0,IF(I234&gt;0,MIN(H234,I234),H234),IF(I234&gt;0,I234,تاريخ_الاحتساب)))</f>
        <v/>
      </c>
      <c r="K234" s="34" t="str">
        <f aca="false">IF($G234="","",IF(AND(H234=0,I234=0),"جارية","مغلقة"))</f>
        <v/>
      </c>
      <c r="L234" s="26" t="str">
        <f aca="false">IF($G234="","",MAX(0,NETWORKDAYS.INTL($E234,J234,رمز_العطلة,أيام_الأجازات)-1))</f>
        <v/>
      </c>
      <c r="M234" s="26" t="str">
        <f aca="false">IF($G234="","",MAX(0,L234-مهلة_المراجعة))</f>
        <v/>
      </c>
      <c r="N234" s="30" t="str">
        <f aca="false">IF($A234="",IF(OR($D234&lt;&gt;"",$E234&lt;&gt;""),"رقم المخرج ناقص",""),IF(ISNA(MATCH($A234,قائمة_المخرجات,0)),"رقم مخرج غير موجود",IF($D234="","نوع الحركة ناقص",IF(NOT(ISNUMBER($E234)),"التاريخ ناقص",IF($E234&gt;تاريخ_الاحتساب,"تاريخ بعد تاريخ الاحتساب",IF(AND($D234&lt;&gt;"تسليم",COUNTIFS($A$5:$A$1504,$A234,$D$5:$D$1504,"تسليم",$E$5:$E$1504,"&lt;="&amp;$E234)=0),"لا يوجد تسليم قبل الحركة دي",""))))))</f>
        <v/>
      </c>
    </row>
    <row r="235" customFormat="false" ht="15" hidden="false" customHeight="false" outlineLevel="0" collapsed="false">
      <c r="A235" s="20"/>
      <c r="B235" s="35" t="str">
        <f aca="false">IF($A235="","",IFERROR(INDEX(مخرج_البند,MATCH($A235,قائمة_المخرجات,0)),""))</f>
        <v/>
      </c>
      <c r="C235" s="30" t="str">
        <f aca="false">IF($A235="","",IFERROR(INDEX(مخرج_الوصف,MATCH($A235,قائمة_المخرجات,0)),""))</f>
        <v/>
      </c>
      <c r="D235" s="20"/>
      <c r="E235" s="31"/>
      <c r="F235" s="22"/>
      <c r="G235" s="36" t="str">
        <f aca="false">IF(OR($A235="",$D235&lt;&gt;"تسليم",NOT(ISNUMBER($E235))),"",COUNTIFS($A$5:$A$1504,$A235,$D$5:$D$1504,"تسليم",$E$5:$E$1504,"&lt;"&amp;$E235)+1)</f>
        <v/>
      </c>
      <c r="H235" s="33" t="str">
        <f aca="false">IF($G235="","",_xlfn.MINIFS($E$5:$E$1504,$A$5:$A$1504,$A235,$D$5:$D$1504,"&lt;&gt;تسليم",$E$5:$E$1504,"&gt;="&amp;$E235))</f>
        <v/>
      </c>
      <c r="I235" s="33" t="str">
        <f aca="false">IF($G235="","",_xlfn.MINIFS($E$5:$E$1504,$A$5:$A$1504,$A235,$D$5:$D$1504,"تسليم",$E$5:$E$1504,"&gt;"&amp;$E235))</f>
        <v/>
      </c>
      <c r="J235" s="33" t="str">
        <f aca="false">IF($G235="","",IF(H235&gt;0,IF(I235&gt;0,MIN(H235,I235),H235),IF(I235&gt;0,I235,تاريخ_الاحتساب)))</f>
        <v/>
      </c>
      <c r="K235" s="34" t="str">
        <f aca="false">IF($G235="","",IF(AND(H235=0,I235=0),"جارية","مغلقة"))</f>
        <v/>
      </c>
      <c r="L235" s="26" t="str">
        <f aca="false">IF($G235="","",MAX(0,NETWORKDAYS.INTL($E235,J235,رمز_العطلة,أيام_الأجازات)-1))</f>
        <v/>
      </c>
      <c r="M235" s="26" t="str">
        <f aca="false">IF($G235="","",MAX(0,L235-مهلة_المراجعة))</f>
        <v/>
      </c>
      <c r="N235" s="30" t="str">
        <f aca="false">IF($A235="",IF(OR($D235&lt;&gt;"",$E235&lt;&gt;""),"رقم المخرج ناقص",""),IF(ISNA(MATCH($A235,قائمة_المخرجات,0)),"رقم مخرج غير موجود",IF($D235="","نوع الحركة ناقص",IF(NOT(ISNUMBER($E235)),"التاريخ ناقص",IF($E235&gt;تاريخ_الاحتساب,"تاريخ بعد تاريخ الاحتساب",IF(AND($D235&lt;&gt;"تسليم",COUNTIFS($A$5:$A$1504,$A235,$D$5:$D$1504,"تسليم",$E$5:$E$1504,"&lt;="&amp;$E235)=0),"لا يوجد تسليم قبل الحركة دي",""))))))</f>
        <v/>
      </c>
    </row>
    <row r="236" customFormat="false" ht="15" hidden="false" customHeight="false" outlineLevel="0" collapsed="false">
      <c r="A236" s="20"/>
      <c r="B236" s="35" t="str">
        <f aca="false">IF($A236="","",IFERROR(INDEX(مخرج_البند,MATCH($A236,قائمة_المخرجات,0)),""))</f>
        <v/>
      </c>
      <c r="C236" s="30" t="str">
        <f aca="false">IF($A236="","",IFERROR(INDEX(مخرج_الوصف,MATCH($A236,قائمة_المخرجات,0)),""))</f>
        <v/>
      </c>
      <c r="D236" s="20"/>
      <c r="E236" s="31"/>
      <c r="F236" s="22"/>
      <c r="G236" s="36" t="str">
        <f aca="false">IF(OR($A236="",$D236&lt;&gt;"تسليم",NOT(ISNUMBER($E236))),"",COUNTIFS($A$5:$A$1504,$A236,$D$5:$D$1504,"تسليم",$E$5:$E$1504,"&lt;"&amp;$E236)+1)</f>
        <v/>
      </c>
      <c r="H236" s="33" t="str">
        <f aca="false">IF($G236="","",_xlfn.MINIFS($E$5:$E$1504,$A$5:$A$1504,$A236,$D$5:$D$1504,"&lt;&gt;تسليم",$E$5:$E$1504,"&gt;="&amp;$E236))</f>
        <v/>
      </c>
      <c r="I236" s="33" t="str">
        <f aca="false">IF($G236="","",_xlfn.MINIFS($E$5:$E$1504,$A$5:$A$1504,$A236,$D$5:$D$1504,"تسليم",$E$5:$E$1504,"&gt;"&amp;$E236))</f>
        <v/>
      </c>
      <c r="J236" s="33" t="str">
        <f aca="false">IF($G236="","",IF(H236&gt;0,IF(I236&gt;0,MIN(H236,I236),H236),IF(I236&gt;0,I236,تاريخ_الاحتساب)))</f>
        <v/>
      </c>
      <c r="K236" s="34" t="str">
        <f aca="false">IF($G236="","",IF(AND(H236=0,I236=0),"جارية","مغلقة"))</f>
        <v/>
      </c>
      <c r="L236" s="26" t="str">
        <f aca="false">IF($G236="","",MAX(0,NETWORKDAYS.INTL($E236,J236,رمز_العطلة,أيام_الأجازات)-1))</f>
        <v/>
      </c>
      <c r="M236" s="26" t="str">
        <f aca="false">IF($G236="","",MAX(0,L236-مهلة_المراجعة))</f>
        <v/>
      </c>
      <c r="N236" s="30" t="str">
        <f aca="false">IF($A236="",IF(OR($D236&lt;&gt;"",$E236&lt;&gt;""),"رقم المخرج ناقص",""),IF(ISNA(MATCH($A236,قائمة_المخرجات,0)),"رقم مخرج غير موجود",IF($D236="","نوع الحركة ناقص",IF(NOT(ISNUMBER($E236)),"التاريخ ناقص",IF($E236&gt;تاريخ_الاحتساب,"تاريخ بعد تاريخ الاحتساب",IF(AND($D236&lt;&gt;"تسليم",COUNTIFS($A$5:$A$1504,$A236,$D$5:$D$1504,"تسليم",$E$5:$E$1504,"&lt;="&amp;$E236)=0),"لا يوجد تسليم قبل الحركة دي",""))))))</f>
        <v/>
      </c>
    </row>
    <row r="237" customFormat="false" ht="15" hidden="false" customHeight="false" outlineLevel="0" collapsed="false">
      <c r="A237" s="20"/>
      <c r="B237" s="35" t="str">
        <f aca="false">IF($A237="","",IFERROR(INDEX(مخرج_البند,MATCH($A237,قائمة_المخرجات,0)),""))</f>
        <v/>
      </c>
      <c r="C237" s="30" t="str">
        <f aca="false">IF($A237="","",IFERROR(INDEX(مخرج_الوصف,MATCH($A237,قائمة_المخرجات,0)),""))</f>
        <v/>
      </c>
      <c r="D237" s="20"/>
      <c r="E237" s="31"/>
      <c r="F237" s="22"/>
      <c r="G237" s="36" t="str">
        <f aca="false">IF(OR($A237="",$D237&lt;&gt;"تسليم",NOT(ISNUMBER($E237))),"",COUNTIFS($A$5:$A$1504,$A237,$D$5:$D$1504,"تسليم",$E$5:$E$1504,"&lt;"&amp;$E237)+1)</f>
        <v/>
      </c>
      <c r="H237" s="33" t="str">
        <f aca="false">IF($G237="","",_xlfn.MINIFS($E$5:$E$1504,$A$5:$A$1504,$A237,$D$5:$D$1504,"&lt;&gt;تسليم",$E$5:$E$1504,"&gt;="&amp;$E237))</f>
        <v/>
      </c>
      <c r="I237" s="33" t="str">
        <f aca="false">IF($G237="","",_xlfn.MINIFS($E$5:$E$1504,$A$5:$A$1504,$A237,$D$5:$D$1504,"تسليم",$E$5:$E$1504,"&gt;"&amp;$E237))</f>
        <v/>
      </c>
      <c r="J237" s="33" t="str">
        <f aca="false">IF($G237="","",IF(H237&gt;0,IF(I237&gt;0,MIN(H237,I237),H237),IF(I237&gt;0,I237,تاريخ_الاحتساب)))</f>
        <v/>
      </c>
      <c r="K237" s="34" t="str">
        <f aca="false">IF($G237="","",IF(AND(H237=0,I237=0),"جارية","مغلقة"))</f>
        <v/>
      </c>
      <c r="L237" s="26" t="str">
        <f aca="false">IF($G237="","",MAX(0,NETWORKDAYS.INTL($E237,J237,رمز_العطلة,أيام_الأجازات)-1))</f>
        <v/>
      </c>
      <c r="M237" s="26" t="str">
        <f aca="false">IF($G237="","",MAX(0,L237-مهلة_المراجعة))</f>
        <v/>
      </c>
      <c r="N237" s="30" t="str">
        <f aca="false">IF($A237="",IF(OR($D237&lt;&gt;"",$E237&lt;&gt;""),"رقم المخرج ناقص",""),IF(ISNA(MATCH($A237,قائمة_المخرجات,0)),"رقم مخرج غير موجود",IF($D237="","نوع الحركة ناقص",IF(NOT(ISNUMBER($E237)),"التاريخ ناقص",IF($E237&gt;تاريخ_الاحتساب,"تاريخ بعد تاريخ الاحتساب",IF(AND($D237&lt;&gt;"تسليم",COUNTIFS($A$5:$A$1504,$A237,$D$5:$D$1504,"تسليم",$E$5:$E$1504,"&lt;="&amp;$E237)=0),"لا يوجد تسليم قبل الحركة دي",""))))))</f>
        <v/>
      </c>
    </row>
    <row r="238" customFormat="false" ht="15" hidden="false" customHeight="false" outlineLevel="0" collapsed="false">
      <c r="A238" s="20"/>
      <c r="B238" s="35" t="str">
        <f aca="false">IF($A238="","",IFERROR(INDEX(مخرج_البند,MATCH($A238,قائمة_المخرجات,0)),""))</f>
        <v/>
      </c>
      <c r="C238" s="30" t="str">
        <f aca="false">IF($A238="","",IFERROR(INDEX(مخرج_الوصف,MATCH($A238,قائمة_المخرجات,0)),""))</f>
        <v/>
      </c>
      <c r="D238" s="20"/>
      <c r="E238" s="31"/>
      <c r="F238" s="22"/>
      <c r="G238" s="36" t="str">
        <f aca="false">IF(OR($A238="",$D238&lt;&gt;"تسليم",NOT(ISNUMBER($E238))),"",COUNTIFS($A$5:$A$1504,$A238,$D$5:$D$1504,"تسليم",$E$5:$E$1504,"&lt;"&amp;$E238)+1)</f>
        <v/>
      </c>
      <c r="H238" s="33" t="str">
        <f aca="false">IF($G238="","",_xlfn.MINIFS($E$5:$E$1504,$A$5:$A$1504,$A238,$D$5:$D$1504,"&lt;&gt;تسليم",$E$5:$E$1504,"&gt;="&amp;$E238))</f>
        <v/>
      </c>
      <c r="I238" s="33" t="str">
        <f aca="false">IF($G238="","",_xlfn.MINIFS($E$5:$E$1504,$A$5:$A$1504,$A238,$D$5:$D$1504,"تسليم",$E$5:$E$1504,"&gt;"&amp;$E238))</f>
        <v/>
      </c>
      <c r="J238" s="33" t="str">
        <f aca="false">IF($G238="","",IF(H238&gt;0,IF(I238&gt;0,MIN(H238,I238),H238),IF(I238&gt;0,I238,تاريخ_الاحتساب)))</f>
        <v/>
      </c>
      <c r="K238" s="34" t="str">
        <f aca="false">IF($G238="","",IF(AND(H238=0,I238=0),"جارية","مغلقة"))</f>
        <v/>
      </c>
      <c r="L238" s="26" t="str">
        <f aca="false">IF($G238="","",MAX(0,NETWORKDAYS.INTL($E238,J238,رمز_العطلة,أيام_الأجازات)-1))</f>
        <v/>
      </c>
      <c r="M238" s="26" t="str">
        <f aca="false">IF($G238="","",MAX(0,L238-مهلة_المراجعة))</f>
        <v/>
      </c>
      <c r="N238" s="30" t="str">
        <f aca="false">IF($A238="",IF(OR($D238&lt;&gt;"",$E238&lt;&gt;""),"رقم المخرج ناقص",""),IF(ISNA(MATCH($A238,قائمة_المخرجات,0)),"رقم مخرج غير موجود",IF($D238="","نوع الحركة ناقص",IF(NOT(ISNUMBER($E238)),"التاريخ ناقص",IF($E238&gt;تاريخ_الاحتساب,"تاريخ بعد تاريخ الاحتساب",IF(AND($D238&lt;&gt;"تسليم",COUNTIFS($A$5:$A$1504,$A238,$D$5:$D$1504,"تسليم",$E$5:$E$1504,"&lt;="&amp;$E238)=0),"لا يوجد تسليم قبل الحركة دي",""))))))</f>
        <v/>
      </c>
    </row>
    <row r="239" customFormat="false" ht="15" hidden="false" customHeight="false" outlineLevel="0" collapsed="false">
      <c r="A239" s="20"/>
      <c r="B239" s="35" t="str">
        <f aca="false">IF($A239="","",IFERROR(INDEX(مخرج_البند,MATCH($A239,قائمة_المخرجات,0)),""))</f>
        <v/>
      </c>
      <c r="C239" s="30" t="str">
        <f aca="false">IF($A239="","",IFERROR(INDEX(مخرج_الوصف,MATCH($A239,قائمة_المخرجات,0)),""))</f>
        <v/>
      </c>
      <c r="D239" s="20"/>
      <c r="E239" s="31"/>
      <c r="F239" s="22"/>
      <c r="G239" s="36" t="str">
        <f aca="false">IF(OR($A239="",$D239&lt;&gt;"تسليم",NOT(ISNUMBER($E239))),"",COUNTIFS($A$5:$A$1504,$A239,$D$5:$D$1504,"تسليم",$E$5:$E$1504,"&lt;"&amp;$E239)+1)</f>
        <v/>
      </c>
      <c r="H239" s="33" t="str">
        <f aca="false">IF($G239="","",_xlfn.MINIFS($E$5:$E$1504,$A$5:$A$1504,$A239,$D$5:$D$1504,"&lt;&gt;تسليم",$E$5:$E$1504,"&gt;="&amp;$E239))</f>
        <v/>
      </c>
      <c r="I239" s="33" t="str">
        <f aca="false">IF($G239="","",_xlfn.MINIFS($E$5:$E$1504,$A$5:$A$1504,$A239,$D$5:$D$1504,"تسليم",$E$5:$E$1504,"&gt;"&amp;$E239))</f>
        <v/>
      </c>
      <c r="J239" s="33" t="str">
        <f aca="false">IF($G239="","",IF(H239&gt;0,IF(I239&gt;0,MIN(H239,I239),H239),IF(I239&gt;0,I239,تاريخ_الاحتساب)))</f>
        <v/>
      </c>
      <c r="K239" s="34" t="str">
        <f aca="false">IF($G239="","",IF(AND(H239=0,I239=0),"جارية","مغلقة"))</f>
        <v/>
      </c>
      <c r="L239" s="26" t="str">
        <f aca="false">IF($G239="","",MAX(0,NETWORKDAYS.INTL($E239,J239,رمز_العطلة,أيام_الأجازات)-1))</f>
        <v/>
      </c>
      <c r="M239" s="26" t="str">
        <f aca="false">IF($G239="","",MAX(0,L239-مهلة_المراجعة))</f>
        <v/>
      </c>
      <c r="N239" s="30" t="str">
        <f aca="false">IF($A239="",IF(OR($D239&lt;&gt;"",$E239&lt;&gt;""),"رقم المخرج ناقص",""),IF(ISNA(MATCH($A239,قائمة_المخرجات,0)),"رقم مخرج غير موجود",IF($D239="","نوع الحركة ناقص",IF(NOT(ISNUMBER($E239)),"التاريخ ناقص",IF($E239&gt;تاريخ_الاحتساب,"تاريخ بعد تاريخ الاحتساب",IF(AND($D239&lt;&gt;"تسليم",COUNTIFS($A$5:$A$1504,$A239,$D$5:$D$1504,"تسليم",$E$5:$E$1504,"&lt;="&amp;$E239)=0),"لا يوجد تسليم قبل الحركة دي",""))))))</f>
        <v/>
      </c>
    </row>
    <row r="240" customFormat="false" ht="15" hidden="false" customHeight="false" outlineLevel="0" collapsed="false">
      <c r="A240" s="20"/>
      <c r="B240" s="35" t="str">
        <f aca="false">IF($A240="","",IFERROR(INDEX(مخرج_البند,MATCH($A240,قائمة_المخرجات,0)),""))</f>
        <v/>
      </c>
      <c r="C240" s="30" t="str">
        <f aca="false">IF($A240="","",IFERROR(INDEX(مخرج_الوصف,MATCH($A240,قائمة_المخرجات,0)),""))</f>
        <v/>
      </c>
      <c r="D240" s="20"/>
      <c r="E240" s="31"/>
      <c r="F240" s="22"/>
      <c r="G240" s="36" t="str">
        <f aca="false">IF(OR($A240="",$D240&lt;&gt;"تسليم",NOT(ISNUMBER($E240))),"",COUNTIFS($A$5:$A$1504,$A240,$D$5:$D$1504,"تسليم",$E$5:$E$1504,"&lt;"&amp;$E240)+1)</f>
        <v/>
      </c>
      <c r="H240" s="33" t="str">
        <f aca="false">IF($G240="","",_xlfn.MINIFS($E$5:$E$1504,$A$5:$A$1504,$A240,$D$5:$D$1504,"&lt;&gt;تسليم",$E$5:$E$1504,"&gt;="&amp;$E240))</f>
        <v/>
      </c>
      <c r="I240" s="33" t="str">
        <f aca="false">IF($G240="","",_xlfn.MINIFS($E$5:$E$1504,$A$5:$A$1504,$A240,$D$5:$D$1504,"تسليم",$E$5:$E$1504,"&gt;"&amp;$E240))</f>
        <v/>
      </c>
      <c r="J240" s="33" t="str">
        <f aca="false">IF($G240="","",IF(H240&gt;0,IF(I240&gt;0,MIN(H240,I240),H240),IF(I240&gt;0,I240,تاريخ_الاحتساب)))</f>
        <v/>
      </c>
      <c r="K240" s="34" t="str">
        <f aca="false">IF($G240="","",IF(AND(H240=0,I240=0),"جارية","مغلقة"))</f>
        <v/>
      </c>
      <c r="L240" s="26" t="str">
        <f aca="false">IF($G240="","",MAX(0,NETWORKDAYS.INTL($E240,J240,رمز_العطلة,أيام_الأجازات)-1))</f>
        <v/>
      </c>
      <c r="M240" s="26" t="str">
        <f aca="false">IF($G240="","",MAX(0,L240-مهلة_المراجعة))</f>
        <v/>
      </c>
      <c r="N240" s="30" t="str">
        <f aca="false">IF($A240="",IF(OR($D240&lt;&gt;"",$E240&lt;&gt;""),"رقم المخرج ناقص",""),IF(ISNA(MATCH($A240,قائمة_المخرجات,0)),"رقم مخرج غير موجود",IF($D240="","نوع الحركة ناقص",IF(NOT(ISNUMBER($E240)),"التاريخ ناقص",IF($E240&gt;تاريخ_الاحتساب,"تاريخ بعد تاريخ الاحتساب",IF(AND($D240&lt;&gt;"تسليم",COUNTIFS($A$5:$A$1504,$A240,$D$5:$D$1504,"تسليم",$E$5:$E$1504,"&lt;="&amp;$E240)=0),"لا يوجد تسليم قبل الحركة دي",""))))))</f>
        <v/>
      </c>
    </row>
    <row r="241" customFormat="false" ht="15" hidden="false" customHeight="false" outlineLevel="0" collapsed="false">
      <c r="A241" s="20"/>
      <c r="B241" s="35" t="str">
        <f aca="false">IF($A241="","",IFERROR(INDEX(مخرج_البند,MATCH($A241,قائمة_المخرجات,0)),""))</f>
        <v/>
      </c>
      <c r="C241" s="30" t="str">
        <f aca="false">IF($A241="","",IFERROR(INDEX(مخرج_الوصف,MATCH($A241,قائمة_المخرجات,0)),""))</f>
        <v/>
      </c>
      <c r="D241" s="20"/>
      <c r="E241" s="31"/>
      <c r="F241" s="22"/>
      <c r="G241" s="36" t="str">
        <f aca="false">IF(OR($A241="",$D241&lt;&gt;"تسليم",NOT(ISNUMBER($E241))),"",COUNTIFS($A$5:$A$1504,$A241,$D$5:$D$1504,"تسليم",$E$5:$E$1504,"&lt;"&amp;$E241)+1)</f>
        <v/>
      </c>
      <c r="H241" s="33" t="str">
        <f aca="false">IF($G241="","",_xlfn.MINIFS($E$5:$E$1504,$A$5:$A$1504,$A241,$D$5:$D$1504,"&lt;&gt;تسليم",$E$5:$E$1504,"&gt;="&amp;$E241))</f>
        <v/>
      </c>
      <c r="I241" s="33" t="str">
        <f aca="false">IF($G241="","",_xlfn.MINIFS($E$5:$E$1504,$A$5:$A$1504,$A241,$D$5:$D$1504,"تسليم",$E$5:$E$1504,"&gt;"&amp;$E241))</f>
        <v/>
      </c>
      <c r="J241" s="33" t="str">
        <f aca="false">IF($G241="","",IF(H241&gt;0,IF(I241&gt;0,MIN(H241,I241),H241),IF(I241&gt;0,I241,تاريخ_الاحتساب)))</f>
        <v/>
      </c>
      <c r="K241" s="34" t="str">
        <f aca="false">IF($G241="","",IF(AND(H241=0,I241=0),"جارية","مغلقة"))</f>
        <v/>
      </c>
      <c r="L241" s="26" t="str">
        <f aca="false">IF($G241="","",MAX(0,NETWORKDAYS.INTL($E241,J241,رمز_العطلة,أيام_الأجازات)-1))</f>
        <v/>
      </c>
      <c r="M241" s="26" t="str">
        <f aca="false">IF($G241="","",MAX(0,L241-مهلة_المراجعة))</f>
        <v/>
      </c>
      <c r="N241" s="30" t="str">
        <f aca="false">IF($A241="",IF(OR($D241&lt;&gt;"",$E241&lt;&gt;""),"رقم المخرج ناقص",""),IF(ISNA(MATCH($A241,قائمة_المخرجات,0)),"رقم مخرج غير موجود",IF($D241="","نوع الحركة ناقص",IF(NOT(ISNUMBER($E241)),"التاريخ ناقص",IF($E241&gt;تاريخ_الاحتساب,"تاريخ بعد تاريخ الاحتساب",IF(AND($D241&lt;&gt;"تسليم",COUNTIFS($A$5:$A$1504,$A241,$D$5:$D$1504,"تسليم",$E$5:$E$1504,"&lt;="&amp;$E241)=0),"لا يوجد تسليم قبل الحركة دي",""))))))</f>
        <v/>
      </c>
    </row>
    <row r="242" customFormat="false" ht="15" hidden="false" customHeight="false" outlineLevel="0" collapsed="false">
      <c r="A242" s="20"/>
      <c r="B242" s="35" t="str">
        <f aca="false">IF($A242="","",IFERROR(INDEX(مخرج_البند,MATCH($A242,قائمة_المخرجات,0)),""))</f>
        <v/>
      </c>
      <c r="C242" s="30" t="str">
        <f aca="false">IF($A242="","",IFERROR(INDEX(مخرج_الوصف,MATCH($A242,قائمة_المخرجات,0)),""))</f>
        <v/>
      </c>
      <c r="D242" s="20"/>
      <c r="E242" s="31"/>
      <c r="F242" s="22"/>
      <c r="G242" s="36" t="str">
        <f aca="false">IF(OR($A242="",$D242&lt;&gt;"تسليم",NOT(ISNUMBER($E242))),"",COUNTIFS($A$5:$A$1504,$A242,$D$5:$D$1504,"تسليم",$E$5:$E$1504,"&lt;"&amp;$E242)+1)</f>
        <v/>
      </c>
      <c r="H242" s="33" t="str">
        <f aca="false">IF($G242="","",_xlfn.MINIFS($E$5:$E$1504,$A$5:$A$1504,$A242,$D$5:$D$1504,"&lt;&gt;تسليم",$E$5:$E$1504,"&gt;="&amp;$E242))</f>
        <v/>
      </c>
      <c r="I242" s="33" t="str">
        <f aca="false">IF($G242="","",_xlfn.MINIFS($E$5:$E$1504,$A$5:$A$1504,$A242,$D$5:$D$1504,"تسليم",$E$5:$E$1504,"&gt;"&amp;$E242))</f>
        <v/>
      </c>
      <c r="J242" s="33" t="str">
        <f aca="false">IF($G242="","",IF(H242&gt;0,IF(I242&gt;0,MIN(H242,I242),H242),IF(I242&gt;0,I242,تاريخ_الاحتساب)))</f>
        <v/>
      </c>
      <c r="K242" s="34" t="str">
        <f aca="false">IF($G242="","",IF(AND(H242=0,I242=0),"جارية","مغلقة"))</f>
        <v/>
      </c>
      <c r="L242" s="26" t="str">
        <f aca="false">IF($G242="","",MAX(0,NETWORKDAYS.INTL($E242,J242,رمز_العطلة,أيام_الأجازات)-1))</f>
        <v/>
      </c>
      <c r="M242" s="26" t="str">
        <f aca="false">IF($G242="","",MAX(0,L242-مهلة_المراجعة))</f>
        <v/>
      </c>
      <c r="N242" s="30" t="str">
        <f aca="false">IF($A242="",IF(OR($D242&lt;&gt;"",$E242&lt;&gt;""),"رقم المخرج ناقص",""),IF(ISNA(MATCH($A242,قائمة_المخرجات,0)),"رقم مخرج غير موجود",IF($D242="","نوع الحركة ناقص",IF(NOT(ISNUMBER($E242)),"التاريخ ناقص",IF($E242&gt;تاريخ_الاحتساب,"تاريخ بعد تاريخ الاحتساب",IF(AND($D242&lt;&gt;"تسليم",COUNTIFS($A$5:$A$1504,$A242,$D$5:$D$1504,"تسليم",$E$5:$E$1504,"&lt;="&amp;$E242)=0),"لا يوجد تسليم قبل الحركة دي",""))))))</f>
        <v/>
      </c>
    </row>
    <row r="243" customFormat="false" ht="15" hidden="false" customHeight="false" outlineLevel="0" collapsed="false">
      <c r="A243" s="20"/>
      <c r="B243" s="35" t="str">
        <f aca="false">IF($A243="","",IFERROR(INDEX(مخرج_البند,MATCH($A243,قائمة_المخرجات,0)),""))</f>
        <v/>
      </c>
      <c r="C243" s="30" t="str">
        <f aca="false">IF($A243="","",IFERROR(INDEX(مخرج_الوصف,MATCH($A243,قائمة_المخرجات,0)),""))</f>
        <v/>
      </c>
      <c r="D243" s="20"/>
      <c r="E243" s="31"/>
      <c r="F243" s="22"/>
      <c r="G243" s="36" t="str">
        <f aca="false">IF(OR($A243="",$D243&lt;&gt;"تسليم",NOT(ISNUMBER($E243))),"",COUNTIFS($A$5:$A$1504,$A243,$D$5:$D$1504,"تسليم",$E$5:$E$1504,"&lt;"&amp;$E243)+1)</f>
        <v/>
      </c>
      <c r="H243" s="33" t="str">
        <f aca="false">IF($G243="","",_xlfn.MINIFS($E$5:$E$1504,$A$5:$A$1504,$A243,$D$5:$D$1504,"&lt;&gt;تسليم",$E$5:$E$1504,"&gt;="&amp;$E243))</f>
        <v/>
      </c>
      <c r="I243" s="33" t="str">
        <f aca="false">IF($G243="","",_xlfn.MINIFS($E$5:$E$1504,$A$5:$A$1504,$A243,$D$5:$D$1504,"تسليم",$E$5:$E$1504,"&gt;"&amp;$E243))</f>
        <v/>
      </c>
      <c r="J243" s="33" t="str">
        <f aca="false">IF($G243="","",IF(H243&gt;0,IF(I243&gt;0,MIN(H243,I243),H243),IF(I243&gt;0,I243,تاريخ_الاحتساب)))</f>
        <v/>
      </c>
      <c r="K243" s="34" t="str">
        <f aca="false">IF($G243="","",IF(AND(H243=0,I243=0),"جارية","مغلقة"))</f>
        <v/>
      </c>
      <c r="L243" s="26" t="str">
        <f aca="false">IF($G243="","",MAX(0,NETWORKDAYS.INTL($E243,J243,رمز_العطلة,أيام_الأجازات)-1))</f>
        <v/>
      </c>
      <c r="M243" s="26" t="str">
        <f aca="false">IF($G243="","",MAX(0,L243-مهلة_المراجعة))</f>
        <v/>
      </c>
      <c r="N243" s="30" t="str">
        <f aca="false">IF($A243="",IF(OR($D243&lt;&gt;"",$E243&lt;&gt;""),"رقم المخرج ناقص",""),IF(ISNA(MATCH($A243,قائمة_المخرجات,0)),"رقم مخرج غير موجود",IF($D243="","نوع الحركة ناقص",IF(NOT(ISNUMBER($E243)),"التاريخ ناقص",IF($E243&gt;تاريخ_الاحتساب,"تاريخ بعد تاريخ الاحتساب",IF(AND($D243&lt;&gt;"تسليم",COUNTIFS($A$5:$A$1504,$A243,$D$5:$D$1504,"تسليم",$E$5:$E$1504,"&lt;="&amp;$E243)=0),"لا يوجد تسليم قبل الحركة دي",""))))))</f>
        <v/>
      </c>
    </row>
    <row r="244" customFormat="false" ht="15" hidden="false" customHeight="false" outlineLevel="0" collapsed="false">
      <c r="A244" s="20"/>
      <c r="B244" s="35" t="str">
        <f aca="false">IF($A244="","",IFERROR(INDEX(مخرج_البند,MATCH($A244,قائمة_المخرجات,0)),""))</f>
        <v/>
      </c>
      <c r="C244" s="30" t="str">
        <f aca="false">IF($A244="","",IFERROR(INDEX(مخرج_الوصف,MATCH($A244,قائمة_المخرجات,0)),""))</f>
        <v/>
      </c>
      <c r="D244" s="20"/>
      <c r="E244" s="31"/>
      <c r="F244" s="22"/>
      <c r="G244" s="36" t="str">
        <f aca="false">IF(OR($A244="",$D244&lt;&gt;"تسليم",NOT(ISNUMBER($E244))),"",COUNTIFS($A$5:$A$1504,$A244,$D$5:$D$1504,"تسليم",$E$5:$E$1504,"&lt;"&amp;$E244)+1)</f>
        <v/>
      </c>
      <c r="H244" s="33" t="str">
        <f aca="false">IF($G244="","",_xlfn.MINIFS($E$5:$E$1504,$A$5:$A$1504,$A244,$D$5:$D$1504,"&lt;&gt;تسليم",$E$5:$E$1504,"&gt;="&amp;$E244))</f>
        <v/>
      </c>
      <c r="I244" s="33" t="str">
        <f aca="false">IF($G244="","",_xlfn.MINIFS($E$5:$E$1504,$A$5:$A$1504,$A244,$D$5:$D$1504,"تسليم",$E$5:$E$1504,"&gt;"&amp;$E244))</f>
        <v/>
      </c>
      <c r="J244" s="33" t="str">
        <f aca="false">IF($G244="","",IF(H244&gt;0,IF(I244&gt;0,MIN(H244,I244),H244),IF(I244&gt;0,I244,تاريخ_الاحتساب)))</f>
        <v/>
      </c>
      <c r="K244" s="34" t="str">
        <f aca="false">IF($G244="","",IF(AND(H244=0,I244=0),"جارية","مغلقة"))</f>
        <v/>
      </c>
      <c r="L244" s="26" t="str">
        <f aca="false">IF($G244="","",MAX(0,NETWORKDAYS.INTL($E244,J244,رمز_العطلة,أيام_الأجازات)-1))</f>
        <v/>
      </c>
      <c r="M244" s="26" t="str">
        <f aca="false">IF($G244="","",MAX(0,L244-مهلة_المراجعة))</f>
        <v/>
      </c>
      <c r="N244" s="30" t="str">
        <f aca="false">IF($A244="",IF(OR($D244&lt;&gt;"",$E244&lt;&gt;""),"رقم المخرج ناقص",""),IF(ISNA(MATCH($A244,قائمة_المخرجات,0)),"رقم مخرج غير موجود",IF($D244="","نوع الحركة ناقص",IF(NOT(ISNUMBER($E244)),"التاريخ ناقص",IF($E244&gt;تاريخ_الاحتساب,"تاريخ بعد تاريخ الاحتساب",IF(AND($D244&lt;&gt;"تسليم",COUNTIFS($A$5:$A$1504,$A244,$D$5:$D$1504,"تسليم",$E$5:$E$1504,"&lt;="&amp;$E244)=0),"لا يوجد تسليم قبل الحركة دي",""))))))</f>
        <v/>
      </c>
    </row>
    <row r="245" customFormat="false" ht="15" hidden="false" customHeight="false" outlineLevel="0" collapsed="false">
      <c r="A245" s="20"/>
      <c r="B245" s="35" t="str">
        <f aca="false">IF($A245="","",IFERROR(INDEX(مخرج_البند,MATCH($A245,قائمة_المخرجات,0)),""))</f>
        <v/>
      </c>
      <c r="C245" s="30" t="str">
        <f aca="false">IF($A245="","",IFERROR(INDEX(مخرج_الوصف,MATCH($A245,قائمة_المخرجات,0)),""))</f>
        <v/>
      </c>
      <c r="D245" s="20"/>
      <c r="E245" s="31"/>
      <c r="F245" s="22"/>
      <c r="G245" s="36" t="str">
        <f aca="false">IF(OR($A245="",$D245&lt;&gt;"تسليم",NOT(ISNUMBER($E245))),"",COUNTIFS($A$5:$A$1504,$A245,$D$5:$D$1504,"تسليم",$E$5:$E$1504,"&lt;"&amp;$E245)+1)</f>
        <v/>
      </c>
      <c r="H245" s="33" t="str">
        <f aca="false">IF($G245="","",_xlfn.MINIFS($E$5:$E$1504,$A$5:$A$1504,$A245,$D$5:$D$1504,"&lt;&gt;تسليم",$E$5:$E$1504,"&gt;="&amp;$E245))</f>
        <v/>
      </c>
      <c r="I245" s="33" t="str">
        <f aca="false">IF($G245="","",_xlfn.MINIFS($E$5:$E$1504,$A$5:$A$1504,$A245,$D$5:$D$1504,"تسليم",$E$5:$E$1504,"&gt;"&amp;$E245))</f>
        <v/>
      </c>
      <c r="J245" s="33" t="str">
        <f aca="false">IF($G245="","",IF(H245&gt;0,IF(I245&gt;0,MIN(H245,I245),H245),IF(I245&gt;0,I245,تاريخ_الاحتساب)))</f>
        <v/>
      </c>
      <c r="K245" s="34" t="str">
        <f aca="false">IF($G245="","",IF(AND(H245=0,I245=0),"جارية","مغلقة"))</f>
        <v/>
      </c>
      <c r="L245" s="26" t="str">
        <f aca="false">IF($G245="","",MAX(0,NETWORKDAYS.INTL($E245,J245,رمز_العطلة,أيام_الأجازات)-1))</f>
        <v/>
      </c>
      <c r="M245" s="26" t="str">
        <f aca="false">IF($G245="","",MAX(0,L245-مهلة_المراجعة))</f>
        <v/>
      </c>
      <c r="N245" s="30" t="str">
        <f aca="false">IF($A245="",IF(OR($D245&lt;&gt;"",$E245&lt;&gt;""),"رقم المخرج ناقص",""),IF(ISNA(MATCH($A245,قائمة_المخرجات,0)),"رقم مخرج غير موجود",IF($D245="","نوع الحركة ناقص",IF(NOT(ISNUMBER($E245)),"التاريخ ناقص",IF($E245&gt;تاريخ_الاحتساب,"تاريخ بعد تاريخ الاحتساب",IF(AND($D245&lt;&gt;"تسليم",COUNTIFS($A$5:$A$1504,$A245,$D$5:$D$1504,"تسليم",$E$5:$E$1504,"&lt;="&amp;$E245)=0),"لا يوجد تسليم قبل الحركة دي",""))))))</f>
        <v/>
      </c>
    </row>
    <row r="246" customFormat="false" ht="15" hidden="false" customHeight="false" outlineLevel="0" collapsed="false">
      <c r="A246" s="20"/>
      <c r="B246" s="35" t="str">
        <f aca="false">IF($A246="","",IFERROR(INDEX(مخرج_البند,MATCH($A246,قائمة_المخرجات,0)),""))</f>
        <v/>
      </c>
      <c r="C246" s="30" t="str">
        <f aca="false">IF($A246="","",IFERROR(INDEX(مخرج_الوصف,MATCH($A246,قائمة_المخرجات,0)),""))</f>
        <v/>
      </c>
      <c r="D246" s="20"/>
      <c r="E246" s="31"/>
      <c r="F246" s="22"/>
      <c r="G246" s="36" t="str">
        <f aca="false">IF(OR($A246="",$D246&lt;&gt;"تسليم",NOT(ISNUMBER($E246))),"",COUNTIFS($A$5:$A$1504,$A246,$D$5:$D$1504,"تسليم",$E$5:$E$1504,"&lt;"&amp;$E246)+1)</f>
        <v/>
      </c>
      <c r="H246" s="33" t="str">
        <f aca="false">IF($G246="","",_xlfn.MINIFS($E$5:$E$1504,$A$5:$A$1504,$A246,$D$5:$D$1504,"&lt;&gt;تسليم",$E$5:$E$1504,"&gt;="&amp;$E246))</f>
        <v/>
      </c>
      <c r="I246" s="33" t="str">
        <f aca="false">IF($G246="","",_xlfn.MINIFS($E$5:$E$1504,$A$5:$A$1504,$A246,$D$5:$D$1504,"تسليم",$E$5:$E$1504,"&gt;"&amp;$E246))</f>
        <v/>
      </c>
      <c r="J246" s="33" t="str">
        <f aca="false">IF($G246="","",IF(H246&gt;0,IF(I246&gt;0,MIN(H246,I246),H246),IF(I246&gt;0,I246,تاريخ_الاحتساب)))</f>
        <v/>
      </c>
      <c r="K246" s="34" t="str">
        <f aca="false">IF($G246="","",IF(AND(H246=0,I246=0),"جارية","مغلقة"))</f>
        <v/>
      </c>
      <c r="L246" s="26" t="str">
        <f aca="false">IF($G246="","",MAX(0,NETWORKDAYS.INTL($E246,J246,رمز_العطلة,أيام_الأجازات)-1))</f>
        <v/>
      </c>
      <c r="M246" s="26" t="str">
        <f aca="false">IF($G246="","",MAX(0,L246-مهلة_المراجعة))</f>
        <v/>
      </c>
      <c r="N246" s="30" t="str">
        <f aca="false">IF($A246="",IF(OR($D246&lt;&gt;"",$E246&lt;&gt;""),"رقم المخرج ناقص",""),IF(ISNA(MATCH($A246,قائمة_المخرجات,0)),"رقم مخرج غير موجود",IF($D246="","نوع الحركة ناقص",IF(NOT(ISNUMBER($E246)),"التاريخ ناقص",IF($E246&gt;تاريخ_الاحتساب,"تاريخ بعد تاريخ الاحتساب",IF(AND($D246&lt;&gt;"تسليم",COUNTIFS($A$5:$A$1504,$A246,$D$5:$D$1504,"تسليم",$E$5:$E$1504,"&lt;="&amp;$E246)=0),"لا يوجد تسليم قبل الحركة دي",""))))))</f>
        <v/>
      </c>
    </row>
    <row r="247" customFormat="false" ht="15" hidden="false" customHeight="false" outlineLevel="0" collapsed="false">
      <c r="A247" s="20"/>
      <c r="B247" s="35" t="str">
        <f aca="false">IF($A247="","",IFERROR(INDEX(مخرج_البند,MATCH($A247,قائمة_المخرجات,0)),""))</f>
        <v/>
      </c>
      <c r="C247" s="30" t="str">
        <f aca="false">IF($A247="","",IFERROR(INDEX(مخرج_الوصف,MATCH($A247,قائمة_المخرجات,0)),""))</f>
        <v/>
      </c>
      <c r="D247" s="20"/>
      <c r="E247" s="31"/>
      <c r="F247" s="22"/>
      <c r="G247" s="36" t="str">
        <f aca="false">IF(OR($A247="",$D247&lt;&gt;"تسليم",NOT(ISNUMBER($E247))),"",COUNTIFS($A$5:$A$1504,$A247,$D$5:$D$1504,"تسليم",$E$5:$E$1504,"&lt;"&amp;$E247)+1)</f>
        <v/>
      </c>
      <c r="H247" s="33" t="str">
        <f aca="false">IF($G247="","",_xlfn.MINIFS($E$5:$E$1504,$A$5:$A$1504,$A247,$D$5:$D$1504,"&lt;&gt;تسليم",$E$5:$E$1504,"&gt;="&amp;$E247))</f>
        <v/>
      </c>
      <c r="I247" s="33" t="str">
        <f aca="false">IF($G247="","",_xlfn.MINIFS($E$5:$E$1504,$A$5:$A$1504,$A247,$D$5:$D$1504,"تسليم",$E$5:$E$1504,"&gt;"&amp;$E247))</f>
        <v/>
      </c>
      <c r="J247" s="33" t="str">
        <f aca="false">IF($G247="","",IF(H247&gt;0,IF(I247&gt;0,MIN(H247,I247),H247),IF(I247&gt;0,I247,تاريخ_الاحتساب)))</f>
        <v/>
      </c>
      <c r="K247" s="34" t="str">
        <f aca="false">IF($G247="","",IF(AND(H247=0,I247=0),"جارية","مغلقة"))</f>
        <v/>
      </c>
      <c r="L247" s="26" t="str">
        <f aca="false">IF($G247="","",MAX(0,NETWORKDAYS.INTL($E247,J247,رمز_العطلة,أيام_الأجازات)-1))</f>
        <v/>
      </c>
      <c r="M247" s="26" t="str">
        <f aca="false">IF($G247="","",MAX(0,L247-مهلة_المراجعة))</f>
        <v/>
      </c>
      <c r="N247" s="30" t="str">
        <f aca="false">IF($A247="",IF(OR($D247&lt;&gt;"",$E247&lt;&gt;""),"رقم المخرج ناقص",""),IF(ISNA(MATCH($A247,قائمة_المخرجات,0)),"رقم مخرج غير موجود",IF($D247="","نوع الحركة ناقص",IF(NOT(ISNUMBER($E247)),"التاريخ ناقص",IF($E247&gt;تاريخ_الاحتساب,"تاريخ بعد تاريخ الاحتساب",IF(AND($D247&lt;&gt;"تسليم",COUNTIFS($A$5:$A$1504,$A247,$D$5:$D$1504,"تسليم",$E$5:$E$1504,"&lt;="&amp;$E247)=0),"لا يوجد تسليم قبل الحركة دي",""))))))</f>
        <v/>
      </c>
    </row>
    <row r="248" customFormat="false" ht="15" hidden="false" customHeight="false" outlineLevel="0" collapsed="false">
      <c r="A248" s="20"/>
      <c r="B248" s="35" t="str">
        <f aca="false">IF($A248="","",IFERROR(INDEX(مخرج_البند,MATCH($A248,قائمة_المخرجات,0)),""))</f>
        <v/>
      </c>
      <c r="C248" s="30" t="str">
        <f aca="false">IF($A248="","",IFERROR(INDEX(مخرج_الوصف,MATCH($A248,قائمة_المخرجات,0)),""))</f>
        <v/>
      </c>
      <c r="D248" s="20"/>
      <c r="E248" s="31"/>
      <c r="F248" s="22"/>
      <c r="G248" s="36" t="str">
        <f aca="false">IF(OR($A248="",$D248&lt;&gt;"تسليم",NOT(ISNUMBER($E248))),"",COUNTIFS($A$5:$A$1504,$A248,$D$5:$D$1504,"تسليم",$E$5:$E$1504,"&lt;"&amp;$E248)+1)</f>
        <v/>
      </c>
      <c r="H248" s="33" t="str">
        <f aca="false">IF($G248="","",_xlfn.MINIFS($E$5:$E$1504,$A$5:$A$1504,$A248,$D$5:$D$1504,"&lt;&gt;تسليم",$E$5:$E$1504,"&gt;="&amp;$E248))</f>
        <v/>
      </c>
      <c r="I248" s="33" t="str">
        <f aca="false">IF($G248="","",_xlfn.MINIFS($E$5:$E$1504,$A$5:$A$1504,$A248,$D$5:$D$1504,"تسليم",$E$5:$E$1504,"&gt;"&amp;$E248))</f>
        <v/>
      </c>
      <c r="J248" s="33" t="str">
        <f aca="false">IF($G248="","",IF(H248&gt;0,IF(I248&gt;0,MIN(H248,I248),H248),IF(I248&gt;0,I248,تاريخ_الاحتساب)))</f>
        <v/>
      </c>
      <c r="K248" s="34" t="str">
        <f aca="false">IF($G248="","",IF(AND(H248=0,I248=0),"جارية","مغلقة"))</f>
        <v/>
      </c>
      <c r="L248" s="26" t="str">
        <f aca="false">IF($G248="","",MAX(0,NETWORKDAYS.INTL($E248,J248,رمز_العطلة,أيام_الأجازات)-1))</f>
        <v/>
      </c>
      <c r="M248" s="26" t="str">
        <f aca="false">IF($G248="","",MAX(0,L248-مهلة_المراجعة))</f>
        <v/>
      </c>
      <c r="N248" s="30" t="str">
        <f aca="false">IF($A248="",IF(OR($D248&lt;&gt;"",$E248&lt;&gt;""),"رقم المخرج ناقص",""),IF(ISNA(MATCH($A248,قائمة_المخرجات,0)),"رقم مخرج غير موجود",IF($D248="","نوع الحركة ناقص",IF(NOT(ISNUMBER($E248)),"التاريخ ناقص",IF($E248&gt;تاريخ_الاحتساب,"تاريخ بعد تاريخ الاحتساب",IF(AND($D248&lt;&gt;"تسليم",COUNTIFS($A$5:$A$1504,$A248,$D$5:$D$1504,"تسليم",$E$5:$E$1504,"&lt;="&amp;$E248)=0),"لا يوجد تسليم قبل الحركة دي",""))))))</f>
        <v/>
      </c>
    </row>
    <row r="249" customFormat="false" ht="15" hidden="false" customHeight="false" outlineLevel="0" collapsed="false">
      <c r="A249" s="20"/>
      <c r="B249" s="35" t="str">
        <f aca="false">IF($A249="","",IFERROR(INDEX(مخرج_البند,MATCH($A249,قائمة_المخرجات,0)),""))</f>
        <v/>
      </c>
      <c r="C249" s="30" t="str">
        <f aca="false">IF($A249="","",IFERROR(INDEX(مخرج_الوصف,MATCH($A249,قائمة_المخرجات,0)),""))</f>
        <v/>
      </c>
      <c r="D249" s="20"/>
      <c r="E249" s="31"/>
      <c r="F249" s="22"/>
      <c r="G249" s="36" t="str">
        <f aca="false">IF(OR($A249="",$D249&lt;&gt;"تسليم",NOT(ISNUMBER($E249))),"",COUNTIFS($A$5:$A$1504,$A249,$D$5:$D$1504,"تسليم",$E$5:$E$1504,"&lt;"&amp;$E249)+1)</f>
        <v/>
      </c>
      <c r="H249" s="33" t="str">
        <f aca="false">IF($G249="","",_xlfn.MINIFS($E$5:$E$1504,$A$5:$A$1504,$A249,$D$5:$D$1504,"&lt;&gt;تسليم",$E$5:$E$1504,"&gt;="&amp;$E249))</f>
        <v/>
      </c>
      <c r="I249" s="33" t="str">
        <f aca="false">IF($G249="","",_xlfn.MINIFS($E$5:$E$1504,$A$5:$A$1504,$A249,$D$5:$D$1504,"تسليم",$E$5:$E$1504,"&gt;"&amp;$E249))</f>
        <v/>
      </c>
      <c r="J249" s="33" t="str">
        <f aca="false">IF($G249="","",IF(H249&gt;0,IF(I249&gt;0,MIN(H249,I249),H249),IF(I249&gt;0,I249,تاريخ_الاحتساب)))</f>
        <v/>
      </c>
      <c r="K249" s="34" t="str">
        <f aca="false">IF($G249="","",IF(AND(H249=0,I249=0),"جارية","مغلقة"))</f>
        <v/>
      </c>
      <c r="L249" s="26" t="str">
        <f aca="false">IF($G249="","",MAX(0,NETWORKDAYS.INTL($E249,J249,رمز_العطلة,أيام_الأجازات)-1))</f>
        <v/>
      </c>
      <c r="M249" s="26" t="str">
        <f aca="false">IF($G249="","",MAX(0,L249-مهلة_المراجعة))</f>
        <v/>
      </c>
      <c r="N249" s="30" t="str">
        <f aca="false">IF($A249="",IF(OR($D249&lt;&gt;"",$E249&lt;&gt;""),"رقم المخرج ناقص",""),IF(ISNA(MATCH($A249,قائمة_المخرجات,0)),"رقم مخرج غير موجود",IF($D249="","نوع الحركة ناقص",IF(NOT(ISNUMBER($E249)),"التاريخ ناقص",IF($E249&gt;تاريخ_الاحتساب,"تاريخ بعد تاريخ الاحتساب",IF(AND($D249&lt;&gt;"تسليم",COUNTIFS($A$5:$A$1504,$A249,$D$5:$D$1504,"تسليم",$E$5:$E$1504,"&lt;="&amp;$E249)=0),"لا يوجد تسليم قبل الحركة دي",""))))))</f>
        <v/>
      </c>
    </row>
    <row r="250" customFormat="false" ht="15" hidden="false" customHeight="false" outlineLevel="0" collapsed="false">
      <c r="A250" s="20"/>
      <c r="B250" s="35" t="str">
        <f aca="false">IF($A250="","",IFERROR(INDEX(مخرج_البند,MATCH($A250,قائمة_المخرجات,0)),""))</f>
        <v/>
      </c>
      <c r="C250" s="30" t="str">
        <f aca="false">IF($A250="","",IFERROR(INDEX(مخرج_الوصف,MATCH($A250,قائمة_المخرجات,0)),""))</f>
        <v/>
      </c>
      <c r="D250" s="20"/>
      <c r="E250" s="31"/>
      <c r="F250" s="22"/>
      <c r="G250" s="36" t="str">
        <f aca="false">IF(OR($A250="",$D250&lt;&gt;"تسليم",NOT(ISNUMBER($E250))),"",COUNTIFS($A$5:$A$1504,$A250,$D$5:$D$1504,"تسليم",$E$5:$E$1504,"&lt;"&amp;$E250)+1)</f>
        <v/>
      </c>
      <c r="H250" s="33" t="str">
        <f aca="false">IF($G250="","",_xlfn.MINIFS($E$5:$E$1504,$A$5:$A$1504,$A250,$D$5:$D$1504,"&lt;&gt;تسليم",$E$5:$E$1504,"&gt;="&amp;$E250))</f>
        <v/>
      </c>
      <c r="I250" s="33" t="str">
        <f aca="false">IF($G250="","",_xlfn.MINIFS($E$5:$E$1504,$A$5:$A$1504,$A250,$D$5:$D$1504,"تسليم",$E$5:$E$1504,"&gt;"&amp;$E250))</f>
        <v/>
      </c>
      <c r="J250" s="33" t="str">
        <f aca="false">IF($G250="","",IF(H250&gt;0,IF(I250&gt;0,MIN(H250,I250),H250),IF(I250&gt;0,I250,تاريخ_الاحتساب)))</f>
        <v/>
      </c>
      <c r="K250" s="34" t="str">
        <f aca="false">IF($G250="","",IF(AND(H250=0,I250=0),"جارية","مغلقة"))</f>
        <v/>
      </c>
      <c r="L250" s="26" t="str">
        <f aca="false">IF($G250="","",MAX(0,NETWORKDAYS.INTL($E250,J250,رمز_العطلة,أيام_الأجازات)-1))</f>
        <v/>
      </c>
      <c r="M250" s="26" t="str">
        <f aca="false">IF($G250="","",MAX(0,L250-مهلة_المراجعة))</f>
        <v/>
      </c>
      <c r="N250" s="30" t="str">
        <f aca="false">IF($A250="",IF(OR($D250&lt;&gt;"",$E250&lt;&gt;""),"رقم المخرج ناقص",""),IF(ISNA(MATCH($A250,قائمة_المخرجات,0)),"رقم مخرج غير موجود",IF($D250="","نوع الحركة ناقص",IF(NOT(ISNUMBER($E250)),"التاريخ ناقص",IF($E250&gt;تاريخ_الاحتساب,"تاريخ بعد تاريخ الاحتساب",IF(AND($D250&lt;&gt;"تسليم",COUNTIFS($A$5:$A$1504,$A250,$D$5:$D$1504,"تسليم",$E$5:$E$1504,"&lt;="&amp;$E250)=0),"لا يوجد تسليم قبل الحركة دي",""))))))</f>
        <v/>
      </c>
    </row>
    <row r="251" customFormat="false" ht="15" hidden="false" customHeight="false" outlineLevel="0" collapsed="false">
      <c r="A251" s="20"/>
      <c r="B251" s="35" t="str">
        <f aca="false">IF($A251="","",IFERROR(INDEX(مخرج_البند,MATCH($A251,قائمة_المخرجات,0)),""))</f>
        <v/>
      </c>
      <c r="C251" s="30" t="str">
        <f aca="false">IF($A251="","",IFERROR(INDEX(مخرج_الوصف,MATCH($A251,قائمة_المخرجات,0)),""))</f>
        <v/>
      </c>
      <c r="D251" s="20"/>
      <c r="E251" s="31"/>
      <c r="F251" s="22"/>
      <c r="G251" s="36" t="str">
        <f aca="false">IF(OR($A251="",$D251&lt;&gt;"تسليم",NOT(ISNUMBER($E251))),"",COUNTIFS($A$5:$A$1504,$A251,$D$5:$D$1504,"تسليم",$E$5:$E$1504,"&lt;"&amp;$E251)+1)</f>
        <v/>
      </c>
      <c r="H251" s="33" t="str">
        <f aca="false">IF($G251="","",_xlfn.MINIFS($E$5:$E$1504,$A$5:$A$1504,$A251,$D$5:$D$1504,"&lt;&gt;تسليم",$E$5:$E$1504,"&gt;="&amp;$E251))</f>
        <v/>
      </c>
      <c r="I251" s="33" t="str">
        <f aca="false">IF($G251="","",_xlfn.MINIFS($E$5:$E$1504,$A$5:$A$1504,$A251,$D$5:$D$1504,"تسليم",$E$5:$E$1504,"&gt;"&amp;$E251))</f>
        <v/>
      </c>
      <c r="J251" s="33" t="str">
        <f aca="false">IF($G251="","",IF(H251&gt;0,IF(I251&gt;0,MIN(H251,I251),H251),IF(I251&gt;0,I251,تاريخ_الاحتساب)))</f>
        <v/>
      </c>
      <c r="K251" s="34" t="str">
        <f aca="false">IF($G251="","",IF(AND(H251=0,I251=0),"جارية","مغلقة"))</f>
        <v/>
      </c>
      <c r="L251" s="26" t="str">
        <f aca="false">IF($G251="","",MAX(0,NETWORKDAYS.INTL($E251,J251,رمز_العطلة,أيام_الأجازات)-1))</f>
        <v/>
      </c>
      <c r="M251" s="26" t="str">
        <f aca="false">IF($G251="","",MAX(0,L251-مهلة_المراجعة))</f>
        <v/>
      </c>
      <c r="N251" s="30" t="str">
        <f aca="false">IF($A251="",IF(OR($D251&lt;&gt;"",$E251&lt;&gt;""),"رقم المخرج ناقص",""),IF(ISNA(MATCH($A251,قائمة_المخرجات,0)),"رقم مخرج غير موجود",IF($D251="","نوع الحركة ناقص",IF(NOT(ISNUMBER($E251)),"التاريخ ناقص",IF($E251&gt;تاريخ_الاحتساب,"تاريخ بعد تاريخ الاحتساب",IF(AND($D251&lt;&gt;"تسليم",COUNTIFS($A$5:$A$1504,$A251,$D$5:$D$1504,"تسليم",$E$5:$E$1504,"&lt;="&amp;$E251)=0),"لا يوجد تسليم قبل الحركة دي",""))))))</f>
        <v/>
      </c>
    </row>
    <row r="252" customFormat="false" ht="15" hidden="false" customHeight="false" outlineLevel="0" collapsed="false">
      <c r="A252" s="20"/>
      <c r="B252" s="35" t="str">
        <f aca="false">IF($A252="","",IFERROR(INDEX(مخرج_البند,MATCH($A252,قائمة_المخرجات,0)),""))</f>
        <v/>
      </c>
      <c r="C252" s="30" t="str">
        <f aca="false">IF($A252="","",IFERROR(INDEX(مخرج_الوصف,MATCH($A252,قائمة_المخرجات,0)),""))</f>
        <v/>
      </c>
      <c r="D252" s="20"/>
      <c r="E252" s="31"/>
      <c r="F252" s="22"/>
      <c r="G252" s="36" t="str">
        <f aca="false">IF(OR($A252="",$D252&lt;&gt;"تسليم",NOT(ISNUMBER($E252))),"",COUNTIFS($A$5:$A$1504,$A252,$D$5:$D$1504,"تسليم",$E$5:$E$1504,"&lt;"&amp;$E252)+1)</f>
        <v/>
      </c>
      <c r="H252" s="33" t="str">
        <f aca="false">IF($G252="","",_xlfn.MINIFS($E$5:$E$1504,$A$5:$A$1504,$A252,$D$5:$D$1504,"&lt;&gt;تسليم",$E$5:$E$1504,"&gt;="&amp;$E252))</f>
        <v/>
      </c>
      <c r="I252" s="33" t="str">
        <f aca="false">IF($G252="","",_xlfn.MINIFS($E$5:$E$1504,$A$5:$A$1504,$A252,$D$5:$D$1504,"تسليم",$E$5:$E$1504,"&gt;"&amp;$E252))</f>
        <v/>
      </c>
      <c r="J252" s="33" t="str">
        <f aca="false">IF($G252="","",IF(H252&gt;0,IF(I252&gt;0,MIN(H252,I252),H252),IF(I252&gt;0,I252,تاريخ_الاحتساب)))</f>
        <v/>
      </c>
      <c r="K252" s="34" t="str">
        <f aca="false">IF($G252="","",IF(AND(H252=0,I252=0),"جارية","مغلقة"))</f>
        <v/>
      </c>
      <c r="L252" s="26" t="str">
        <f aca="false">IF($G252="","",MAX(0,NETWORKDAYS.INTL($E252,J252,رمز_العطلة,أيام_الأجازات)-1))</f>
        <v/>
      </c>
      <c r="M252" s="26" t="str">
        <f aca="false">IF($G252="","",MAX(0,L252-مهلة_المراجعة))</f>
        <v/>
      </c>
      <c r="N252" s="30" t="str">
        <f aca="false">IF($A252="",IF(OR($D252&lt;&gt;"",$E252&lt;&gt;""),"رقم المخرج ناقص",""),IF(ISNA(MATCH($A252,قائمة_المخرجات,0)),"رقم مخرج غير موجود",IF($D252="","نوع الحركة ناقص",IF(NOT(ISNUMBER($E252)),"التاريخ ناقص",IF($E252&gt;تاريخ_الاحتساب,"تاريخ بعد تاريخ الاحتساب",IF(AND($D252&lt;&gt;"تسليم",COUNTIFS($A$5:$A$1504,$A252,$D$5:$D$1504,"تسليم",$E$5:$E$1504,"&lt;="&amp;$E252)=0),"لا يوجد تسليم قبل الحركة دي",""))))))</f>
        <v/>
      </c>
    </row>
    <row r="253" customFormat="false" ht="15" hidden="false" customHeight="false" outlineLevel="0" collapsed="false">
      <c r="A253" s="20"/>
      <c r="B253" s="35" t="str">
        <f aca="false">IF($A253="","",IFERROR(INDEX(مخرج_البند,MATCH($A253,قائمة_المخرجات,0)),""))</f>
        <v/>
      </c>
      <c r="C253" s="30" t="str">
        <f aca="false">IF($A253="","",IFERROR(INDEX(مخرج_الوصف,MATCH($A253,قائمة_المخرجات,0)),""))</f>
        <v/>
      </c>
      <c r="D253" s="20"/>
      <c r="E253" s="31"/>
      <c r="F253" s="22"/>
      <c r="G253" s="36" t="str">
        <f aca="false">IF(OR($A253="",$D253&lt;&gt;"تسليم",NOT(ISNUMBER($E253))),"",COUNTIFS($A$5:$A$1504,$A253,$D$5:$D$1504,"تسليم",$E$5:$E$1504,"&lt;"&amp;$E253)+1)</f>
        <v/>
      </c>
      <c r="H253" s="33" t="str">
        <f aca="false">IF($G253="","",_xlfn.MINIFS($E$5:$E$1504,$A$5:$A$1504,$A253,$D$5:$D$1504,"&lt;&gt;تسليم",$E$5:$E$1504,"&gt;="&amp;$E253))</f>
        <v/>
      </c>
      <c r="I253" s="33" t="str">
        <f aca="false">IF($G253="","",_xlfn.MINIFS($E$5:$E$1504,$A$5:$A$1504,$A253,$D$5:$D$1504,"تسليم",$E$5:$E$1504,"&gt;"&amp;$E253))</f>
        <v/>
      </c>
      <c r="J253" s="33" t="str">
        <f aca="false">IF($G253="","",IF(H253&gt;0,IF(I253&gt;0,MIN(H253,I253),H253),IF(I253&gt;0,I253,تاريخ_الاحتساب)))</f>
        <v/>
      </c>
      <c r="K253" s="34" t="str">
        <f aca="false">IF($G253="","",IF(AND(H253=0,I253=0),"جارية","مغلقة"))</f>
        <v/>
      </c>
      <c r="L253" s="26" t="str">
        <f aca="false">IF($G253="","",MAX(0,NETWORKDAYS.INTL($E253,J253,رمز_العطلة,أيام_الأجازات)-1))</f>
        <v/>
      </c>
      <c r="M253" s="26" t="str">
        <f aca="false">IF($G253="","",MAX(0,L253-مهلة_المراجعة))</f>
        <v/>
      </c>
      <c r="N253" s="30" t="str">
        <f aca="false">IF($A253="",IF(OR($D253&lt;&gt;"",$E253&lt;&gt;""),"رقم المخرج ناقص",""),IF(ISNA(MATCH($A253,قائمة_المخرجات,0)),"رقم مخرج غير موجود",IF($D253="","نوع الحركة ناقص",IF(NOT(ISNUMBER($E253)),"التاريخ ناقص",IF($E253&gt;تاريخ_الاحتساب,"تاريخ بعد تاريخ الاحتساب",IF(AND($D253&lt;&gt;"تسليم",COUNTIFS($A$5:$A$1504,$A253,$D$5:$D$1504,"تسليم",$E$5:$E$1504,"&lt;="&amp;$E253)=0),"لا يوجد تسليم قبل الحركة دي",""))))))</f>
        <v/>
      </c>
    </row>
    <row r="254" customFormat="false" ht="15" hidden="false" customHeight="false" outlineLevel="0" collapsed="false">
      <c r="A254" s="20"/>
      <c r="B254" s="35" t="str">
        <f aca="false">IF($A254="","",IFERROR(INDEX(مخرج_البند,MATCH($A254,قائمة_المخرجات,0)),""))</f>
        <v/>
      </c>
      <c r="C254" s="30" t="str">
        <f aca="false">IF($A254="","",IFERROR(INDEX(مخرج_الوصف,MATCH($A254,قائمة_المخرجات,0)),""))</f>
        <v/>
      </c>
      <c r="D254" s="20"/>
      <c r="E254" s="31"/>
      <c r="F254" s="22"/>
      <c r="G254" s="36" t="str">
        <f aca="false">IF(OR($A254="",$D254&lt;&gt;"تسليم",NOT(ISNUMBER($E254))),"",COUNTIFS($A$5:$A$1504,$A254,$D$5:$D$1504,"تسليم",$E$5:$E$1504,"&lt;"&amp;$E254)+1)</f>
        <v/>
      </c>
      <c r="H254" s="33" t="str">
        <f aca="false">IF($G254="","",_xlfn.MINIFS($E$5:$E$1504,$A$5:$A$1504,$A254,$D$5:$D$1504,"&lt;&gt;تسليم",$E$5:$E$1504,"&gt;="&amp;$E254))</f>
        <v/>
      </c>
      <c r="I254" s="33" t="str">
        <f aca="false">IF($G254="","",_xlfn.MINIFS($E$5:$E$1504,$A$5:$A$1504,$A254,$D$5:$D$1504,"تسليم",$E$5:$E$1504,"&gt;"&amp;$E254))</f>
        <v/>
      </c>
      <c r="J254" s="33" t="str">
        <f aca="false">IF($G254="","",IF(H254&gt;0,IF(I254&gt;0,MIN(H254,I254),H254),IF(I254&gt;0,I254,تاريخ_الاحتساب)))</f>
        <v/>
      </c>
      <c r="K254" s="34" t="str">
        <f aca="false">IF($G254="","",IF(AND(H254=0,I254=0),"جارية","مغلقة"))</f>
        <v/>
      </c>
      <c r="L254" s="26" t="str">
        <f aca="false">IF($G254="","",MAX(0,NETWORKDAYS.INTL($E254,J254,رمز_العطلة,أيام_الأجازات)-1))</f>
        <v/>
      </c>
      <c r="M254" s="26" t="str">
        <f aca="false">IF($G254="","",MAX(0,L254-مهلة_المراجعة))</f>
        <v/>
      </c>
      <c r="N254" s="30" t="str">
        <f aca="false">IF($A254="",IF(OR($D254&lt;&gt;"",$E254&lt;&gt;""),"رقم المخرج ناقص",""),IF(ISNA(MATCH($A254,قائمة_المخرجات,0)),"رقم مخرج غير موجود",IF($D254="","نوع الحركة ناقص",IF(NOT(ISNUMBER($E254)),"التاريخ ناقص",IF($E254&gt;تاريخ_الاحتساب,"تاريخ بعد تاريخ الاحتساب",IF(AND($D254&lt;&gt;"تسليم",COUNTIFS($A$5:$A$1504,$A254,$D$5:$D$1504,"تسليم",$E$5:$E$1504,"&lt;="&amp;$E254)=0),"لا يوجد تسليم قبل الحركة دي",""))))))</f>
        <v/>
      </c>
    </row>
    <row r="255" customFormat="false" ht="15" hidden="false" customHeight="false" outlineLevel="0" collapsed="false">
      <c r="A255" s="20"/>
      <c r="B255" s="35" t="str">
        <f aca="false">IF($A255="","",IFERROR(INDEX(مخرج_البند,MATCH($A255,قائمة_المخرجات,0)),""))</f>
        <v/>
      </c>
      <c r="C255" s="30" t="str">
        <f aca="false">IF($A255="","",IFERROR(INDEX(مخرج_الوصف,MATCH($A255,قائمة_المخرجات,0)),""))</f>
        <v/>
      </c>
      <c r="D255" s="20"/>
      <c r="E255" s="31"/>
      <c r="F255" s="22"/>
      <c r="G255" s="36" t="str">
        <f aca="false">IF(OR($A255="",$D255&lt;&gt;"تسليم",NOT(ISNUMBER($E255))),"",COUNTIFS($A$5:$A$1504,$A255,$D$5:$D$1504,"تسليم",$E$5:$E$1504,"&lt;"&amp;$E255)+1)</f>
        <v/>
      </c>
      <c r="H255" s="33" t="str">
        <f aca="false">IF($G255="","",_xlfn.MINIFS($E$5:$E$1504,$A$5:$A$1504,$A255,$D$5:$D$1504,"&lt;&gt;تسليم",$E$5:$E$1504,"&gt;="&amp;$E255))</f>
        <v/>
      </c>
      <c r="I255" s="33" t="str">
        <f aca="false">IF($G255="","",_xlfn.MINIFS($E$5:$E$1504,$A$5:$A$1504,$A255,$D$5:$D$1504,"تسليم",$E$5:$E$1504,"&gt;"&amp;$E255))</f>
        <v/>
      </c>
      <c r="J255" s="33" t="str">
        <f aca="false">IF($G255="","",IF(H255&gt;0,IF(I255&gt;0,MIN(H255,I255),H255),IF(I255&gt;0,I255,تاريخ_الاحتساب)))</f>
        <v/>
      </c>
      <c r="K255" s="34" t="str">
        <f aca="false">IF($G255="","",IF(AND(H255=0,I255=0),"جارية","مغلقة"))</f>
        <v/>
      </c>
      <c r="L255" s="26" t="str">
        <f aca="false">IF($G255="","",MAX(0,NETWORKDAYS.INTL($E255,J255,رمز_العطلة,أيام_الأجازات)-1))</f>
        <v/>
      </c>
      <c r="M255" s="26" t="str">
        <f aca="false">IF($G255="","",MAX(0,L255-مهلة_المراجعة))</f>
        <v/>
      </c>
      <c r="N255" s="30" t="str">
        <f aca="false">IF($A255="",IF(OR($D255&lt;&gt;"",$E255&lt;&gt;""),"رقم المخرج ناقص",""),IF(ISNA(MATCH($A255,قائمة_المخرجات,0)),"رقم مخرج غير موجود",IF($D255="","نوع الحركة ناقص",IF(NOT(ISNUMBER($E255)),"التاريخ ناقص",IF($E255&gt;تاريخ_الاحتساب,"تاريخ بعد تاريخ الاحتساب",IF(AND($D255&lt;&gt;"تسليم",COUNTIFS($A$5:$A$1504,$A255,$D$5:$D$1504,"تسليم",$E$5:$E$1504,"&lt;="&amp;$E255)=0),"لا يوجد تسليم قبل الحركة دي",""))))))</f>
        <v/>
      </c>
    </row>
    <row r="256" customFormat="false" ht="15" hidden="false" customHeight="false" outlineLevel="0" collapsed="false">
      <c r="A256" s="20"/>
      <c r="B256" s="35" t="str">
        <f aca="false">IF($A256="","",IFERROR(INDEX(مخرج_البند,MATCH($A256,قائمة_المخرجات,0)),""))</f>
        <v/>
      </c>
      <c r="C256" s="30" t="str">
        <f aca="false">IF($A256="","",IFERROR(INDEX(مخرج_الوصف,MATCH($A256,قائمة_المخرجات,0)),""))</f>
        <v/>
      </c>
      <c r="D256" s="20"/>
      <c r="E256" s="31"/>
      <c r="F256" s="22"/>
      <c r="G256" s="36" t="str">
        <f aca="false">IF(OR($A256="",$D256&lt;&gt;"تسليم",NOT(ISNUMBER($E256))),"",COUNTIFS($A$5:$A$1504,$A256,$D$5:$D$1504,"تسليم",$E$5:$E$1504,"&lt;"&amp;$E256)+1)</f>
        <v/>
      </c>
      <c r="H256" s="33" t="str">
        <f aca="false">IF($G256="","",_xlfn.MINIFS($E$5:$E$1504,$A$5:$A$1504,$A256,$D$5:$D$1504,"&lt;&gt;تسليم",$E$5:$E$1504,"&gt;="&amp;$E256))</f>
        <v/>
      </c>
      <c r="I256" s="33" t="str">
        <f aca="false">IF($G256="","",_xlfn.MINIFS($E$5:$E$1504,$A$5:$A$1504,$A256,$D$5:$D$1504,"تسليم",$E$5:$E$1504,"&gt;"&amp;$E256))</f>
        <v/>
      </c>
      <c r="J256" s="33" t="str">
        <f aca="false">IF($G256="","",IF(H256&gt;0,IF(I256&gt;0,MIN(H256,I256),H256),IF(I256&gt;0,I256,تاريخ_الاحتساب)))</f>
        <v/>
      </c>
      <c r="K256" s="34" t="str">
        <f aca="false">IF($G256="","",IF(AND(H256=0,I256=0),"جارية","مغلقة"))</f>
        <v/>
      </c>
      <c r="L256" s="26" t="str">
        <f aca="false">IF($G256="","",MAX(0,NETWORKDAYS.INTL($E256,J256,رمز_العطلة,أيام_الأجازات)-1))</f>
        <v/>
      </c>
      <c r="M256" s="26" t="str">
        <f aca="false">IF($G256="","",MAX(0,L256-مهلة_المراجعة))</f>
        <v/>
      </c>
      <c r="N256" s="30" t="str">
        <f aca="false">IF($A256="",IF(OR($D256&lt;&gt;"",$E256&lt;&gt;""),"رقم المخرج ناقص",""),IF(ISNA(MATCH($A256,قائمة_المخرجات,0)),"رقم مخرج غير موجود",IF($D256="","نوع الحركة ناقص",IF(NOT(ISNUMBER($E256)),"التاريخ ناقص",IF($E256&gt;تاريخ_الاحتساب,"تاريخ بعد تاريخ الاحتساب",IF(AND($D256&lt;&gt;"تسليم",COUNTIFS($A$5:$A$1504,$A256,$D$5:$D$1504,"تسليم",$E$5:$E$1504,"&lt;="&amp;$E256)=0),"لا يوجد تسليم قبل الحركة دي",""))))))</f>
        <v/>
      </c>
    </row>
    <row r="257" customFormat="false" ht="15" hidden="false" customHeight="false" outlineLevel="0" collapsed="false">
      <c r="A257" s="20"/>
      <c r="B257" s="35" t="str">
        <f aca="false">IF($A257="","",IFERROR(INDEX(مخرج_البند,MATCH($A257,قائمة_المخرجات,0)),""))</f>
        <v/>
      </c>
      <c r="C257" s="30" t="str">
        <f aca="false">IF($A257="","",IFERROR(INDEX(مخرج_الوصف,MATCH($A257,قائمة_المخرجات,0)),""))</f>
        <v/>
      </c>
      <c r="D257" s="20"/>
      <c r="E257" s="31"/>
      <c r="F257" s="22"/>
      <c r="G257" s="36" t="str">
        <f aca="false">IF(OR($A257="",$D257&lt;&gt;"تسليم",NOT(ISNUMBER($E257))),"",COUNTIFS($A$5:$A$1504,$A257,$D$5:$D$1504,"تسليم",$E$5:$E$1504,"&lt;"&amp;$E257)+1)</f>
        <v/>
      </c>
      <c r="H257" s="33" t="str">
        <f aca="false">IF($G257="","",_xlfn.MINIFS($E$5:$E$1504,$A$5:$A$1504,$A257,$D$5:$D$1504,"&lt;&gt;تسليم",$E$5:$E$1504,"&gt;="&amp;$E257))</f>
        <v/>
      </c>
      <c r="I257" s="33" t="str">
        <f aca="false">IF($G257="","",_xlfn.MINIFS($E$5:$E$1504,$A$5:$A$1504,$A257,$D$5:$D$1504,"تسليم",$E$5:$E$1504,"&gt;"&amp;$E257))</f>
        <v/>
      </c>
      <c r="J257" s="33" t="str">
        <f aca="false">IF($G257="","",IF(H257&gt;0,IF(I257&gt;0,MIN(H257,I257),H257),IF(I257&gt;0,I257,تاريخ_الاحتساب)))</f>
        <v/>
      </c>
      <c r="K257" s="34" t="str">
        <f aca="false">IF($G257="","",IF(AND(H257=0,I257=0),"جارية","مغلقة"))</f>
        <v/>
      </c>
      <c r="L257" s="26" t="str">
        <f aca="false">IF($G257="","",MAX(0,NETWORKDAYS.INTL($E257,J257,رمز_العطلة,أيام_الأجازات)-1))</f>
        <v/>
      </c>
      <c r="M257" s="26" t="str">
        <f aca="false">IF($G257="","",MAX(0,L257-مهلة_المراجعة))</f>
        <v/>
      </c>
      <c r="N257" s="30" t="str">
        <f aca="false">IF($A257="",IF(OR($D257&lt;&gt;"",$E257&lt;&gt;""),"رقم المخرج ناقص",""),IF(ISNA(MATCH($A257,قائمة_المخرجات,0)),"رقم مخرج غير موجود",IF($D257="","نوع الحركة ناقص",IF(NOT(ISNUMBER($E257)),"التاريخ ناقص",IF($E257&gt;تاريخ_الاحتساب,"تاريخ بعد تاريخ الاحتساب",IF(AND($D257&lt;&gt;"تسليم",COUNTIFS($A$5:$A$1504,$A257,$D$5:$D$1504,"تسليم",$E$5:$E$1504,"&lt;="&amp;$E257)=0),"لا يوجد تسليم قبل الحركة دي",""))))))</f>
        <v/>
      </c>
    </row>
    <row r="258" customFormat="false" ht="15" hidden="false" customHeight="false" outlineLevel="0" collapsed="false">
      <c r="A258" s="20"/>
      <c r="B258" s="35" t="str">
        <f aca="false">IF($A258="","",IFERROR(INDEX(مخرج_البند,MATCH($A258,قائمة_المخرجات,0)),""))</f>
        <v/>
      </c>
      <c r="C258" s="30" t="str">
        <f aca="false">IF($A258="","",IFERROR(INDEX(مخرج_الوصف,MATCH($A258,قائمة_المخرجات,0)),""))</f>
        <v/>
      </c>
      <c r="D258" s="20"/>
      <c r="E258" s="31"/>
      <c r="F258" s="22"/>
      <c r="G258" s="36" t="str">
        <f aca="false">IF(OR($A258="",$D258&lt;&gt;"تسليم",NOT(ISNUMBER($E258))),"",COUNTIFS($A$5:$A$1504,$A258,$D$5:$D$1504,"تسليم",$E$5:$E$1504,"&lt;"&amp;$E258)+1)</f>
        <v/>
      </c>
      <c r="H258" s="33" t="str">
        <f aca="false">IF($G258="","",_xlfn.MINIFS($E$5:$E$1504,$A$5:$A$1504,$A258,$D$5:$D$1504,"&lt;&gt;تسليم",$E$5:$E$1504,"&gt;="&amp;$E258))</f>
        <v/>
      </c>
      <c r="I258" s="33" t="str">
        <f aca="false">IF($G258="","",_xlfn.MINIFS($E$5:$E$1504,$A$5:$A$1504,$A258,$D$5:$D$1504,"تسليم",$E$5:$E$1504,"&gt;"&amp;$E258))</f>
        <v/>
      </c>
      <c r="J258" s="33" t="str">
        <f aca="false">IF($G258="","",IF(H258&gt;0,IF(I258&gt;0,MIN(H258,I258),H258),IF(I258&gt;0,I258,تاريخ_الاحتساب)))</f>
        <v/>
      </c>
      <c r="K258" s="34" t="str">
        <f aca="false">IF($G258="","",IF(AND(H258=0,I258=0),"جارية","مغلقة"))</f>
        <v/>
      </c>
      <c r="L258" s="26" t="str">
        <f aca="false">IF($G258="","",MAX(0,NETWORKDAYS.INTL($E258,J258,رمز_العطلة,أيام_الأجازات)-1))</f>
        <v/>
      </c>
      <c r="M258" s="26" t="str">
        <f aca="false">IF($G258="","",MAX(0,L258-مهلة_المراجعة))</f>
        <v/>
      </c>
      <c r="N258" s="30" t="str">
        <f aca="false">IF($A258="",IF(OR($D258&lt;&gt;"",$E258&lt;&gt;""),"رقم المخرج ناقص",""),IF(ISNA(MATCH($A258,قائمة_المخرجات,0)),"رقم مخرج غير موجود",IF($D258="","نوع الحركة ناقص",IF(NOT(ISNUMBER($E258)),"التاريخ ناقص",IF($E258&gt;تاريخ_الاحتساب,"تاريخ بعد تاريخ الاحتساب",IF(AND($D258&lt;&gt;"تسليم",COUNTIFS($A$5:$A$1504,$A258,$D$5:$D$1504,"تسليم",$E$5:$E$1504,"&lt;="&amp;$E258)=0),"لا يوجد تسليم قبل الحركة دي",""))))))</f>
        <v/>
      </c>
    </row>
    <row r="259" customFormat="false" ht="15" hidden="false" customHeight="false" outlineLevel="0" collapsed="false">
      <c r="A259" s="20"/>
      <c r="B259" s="35" t="str">
        <f aca="false">IF($A259="","",IFERROR(INDEX(مخرج_البند,MATCH($A259,قائمة_المخرجات,0)),""))</f>
        <v/>
      </c>
      <c r="C259" s="30" t="str">
        <f aca="false">IF($A259="","",IFERROR(INDEX(مخرج_الوصف,MATCH($A259,قائمة_المخرجات,0)),""))</f>
        <v/>
      </c>
      <c r="D259" s="20"/>
      <c r="E259" s="31"/>
      <c r="F259" s="22"/>
      <c r="G259" s="36" t="str">
        <f aca="false">IF(OR($A259="",$D259&lt;&gt;"تسليم",NOT(ISNUMBER($E259))),"",COUNTIFS($A$5:$A$1504,$A259,$D$5:$D$1504,"تسليم",$E$5:$E$1504,"&lt;"&amp;$E259)+1)</f>
        <v/>
      </c>
      <c r="H259" s="33" t="str">
        <f aca="false">IF($G259="","",_xlfn.MINIFS($E$5:$E$1504,$A$5:$A$1504,$A259,$D$5:$D$1504,"&lt;&gt;تسليم",$E$5:$E$1504,"&gt;="&amp;$E259))</f>
        <v/>
      </c>
      <c r="I259" s="33" t="str">
        <f aca="false">IF($G259="","",_xlfn.MINIFS($E$5:$E$1504,$A$5:$A$1504,$A259,$D$5:$D$1504,"تسليم",$E$5:$E$1504,"&gt;"&amp;$E259))</f>
        <v/>
      </c>
      <c r="J259" s="33" t="str">
        <f aca="false">IF($G259="","",IF(H259&gt;0,IF(I259&gt;0,MIN(H259,I259),H259),IF(I259&gt;0,I259,تاريخ_الاحتساب)))</f>
        <v/>
      </c>
      <c r="K259" s="34" t="str">
        <f aca="false">IF($G259="","",IF(AND(H259=0,I259=0),"جارية","مغلقة"))</f>
        <v/>
      </c>
      <c r="L259" s="26" t="str">
        <f aca="false">IF($G259="","",MAX(0,NETWORKDAYS.INTL($E259,J259,رمز_العطلة,أيام_الأجازات)-1))</f>
        <v/>
      </c>
      <c r="M259" s="26" t="str">
        <f aca="false">IF($G259="","",MAX(0,L259-مهلة_المراجعة))</f>
        <v/>
      </c>
      <c r="N259" s="30" t="str">
        <f aca="false">IF($A259="",IF(OR($D259&lt;&gt;"",$E259&lt;&gt;""),"رقم المخرج ناقص",""),IF(ISNA(MATCH($A259,قائمة_المخرجات,0)),"رقم مخرج غير موجود",IF($D259="","نوع الحركة ناقص",IF(NOT(ISNUMBER($E259)),"التاريخ ناقص",IF($E259&gt;تاريخ_الاحتساب,"تاريخ بعد تاريخ الاحتساب",IF(AND($D259&lt;&gt;"تسليم",COUNTIFS($A$5:$A$1504,$A259,$D$5:$D$1504,"تسليم",$E$5:$E$1504,"&lt;="&amp;$E259)=0),"لا يوجد تسليم قبل الحركة دي",""))))))</f>
        <v/>
      </c>
    </row>
    <row r="260" customFormat="false" ht="15" hidden="false" customHeight="false" outlineLevel="0" collapsed="false">
      <c r="A260" s="20"/>
      <c r="B260" s="35" t="str">
        <f aca="false">IF($A260="","",IFERROR(INDEX(مخرج_البند,MATCH($A260,قائمة_المخرجات,0)),""))</f>
        <v/>
      </c>
      <c r="C260" s="30" t="str">
        <f aca="false">IF($A260="","",IFERROR(INDEX(مخرج_الوصف,MATCH($A260,قائمة_المخرجات,0)),""))</f>
        <v/>
      </c>
      <c r="D260" s="20"/>
      <c r="E260" s="31"/>
      <c r="F260" s="22"/>
      <c r="G260" s="36" t="str">
        <f aca="false">IF(OR($A260="",$D260&lt;&gt;"تسليم",NOT(ISNUMBER($E260))),"",COUNTIFS($A$5:$A$1504,$A260,$D$5:$D$1504,"تسليم",$E$5:$E$1504,"&lt;"&amp;$E260)+1)</f>
        <v/>
      </c>
      <c r="H260" s="33" t="str">
        <f aca="false">IF($G260="","",_xlfn.MINIFS($E$5:$E$1504,$A$5:$A$1504,$A260,$D$5:$D$1504,"&lt;&gt;تسليم",$E$5:$E$1504,"&gt;="&amp;$E260))</f>
        <v/>
      </c>
      <c r="I260" s="33" t="str">
        <f aca="false">IF($G260="","",_xlfn.MINIFS($E$5:$E$1504,$A$5:$A$1504,$A260,$D$5:$D$1504,"تسليم",$E$5:$E$1504,"&gt;"&amp;$E260))</f>
        <v/>
      </c>
      <c r="J260" s="33" t="str">
        <f aca="false">IF($G260="","",IF(H260&gt;0,IF(I260&gt;0,MIN(H260,I260),H260),IF(I260&gt;0,I260,تاريخ_الاحتساب)))</f>
        <v/>
      </c>
      <c r="K260" s="34" t="str">
        <f aca="false">IF($G260="","",IF(AND(H260=0,I260=0),"جارية","مغلقة"))</f>
        <v/>
      </c>
      <c r="L260" s="26" t="str">
        <f aca="false">IF($G260="","",MAX(0,NETWORKDAYS.INTL($E260,J260,رمز_العطلة,أيام_الأجازات)-1))</f>
        <v/>
      </c>
      <c r="M260" s="26" t="str">
        <f aca="false">IF($G260="","",MAX(0,L260-مهلة_المراجعة))</f>
        <v/>
      </c>
      <c r="N260" s="30" t="str">
        <f aca="false">IF($A260="",IF(OR($D260&lt;&gt;"",$E260&lt;&gt;""),"رقم المخرج ناقص",""),IF(ISNA(MATCH($A260,قائمة_المخرجات,0)),"رقم مخرج غير موجود",IF($D260="","نوع الحركة ناقص",IF(NOT(ISNUMBER($E260)),"التاريخ ناقص",IF($E260&gt;تاريخ_الاحتساب,"تاريخ بعد تاريخ الاحتساب",IF(AND($D260&lt;&gt;"تسليم",COUNTIFS($A$5:$A$1504,$A260,$D$5:$D$1504,"تسليم",$E$5:$E$1504,"&lt;="&amp;$E260)=0),"لا يوجد تسليم قبل الحركة دي",""))))))</f>
        <v/>
      </c>
    </row>
    <row r="261" customFormat="false" ht="15" hidden="false" customHeight="false" outlineLevel="0" collapsed="false">
      <c r="A261" s="20"/>
      <c r="B261" s="35" t="str">
        <f aca="false">IF($A261="","",IFERROR(INDEX(مخرج_البند,MATCH($A261,قائمة_المخرجات,0)),""))</f>
        <v/>
      </c>
      <c r="C261" s="30" t="str">
        <f aca="false">IF($A261="","",IFERROR(INDEX(مخرج_الوصف,MATCH($A261,قائمة_المخرجات,0)),""))</f>
        <v/>
      </c>
      <c r="D261" s="20"/>
      <c r="E261" s="31"/>
      <c r="F261" s="22"/>
      <c r="G261" s="36" t="str">
        <f aca="false">IF(OR($A261="",$D261&lt;&gt;"تسليم",NOT(ISNUMBER($E261))),"",COUNTIFS($A$5:$A$1504,$A261,$D$5:$D$1504,"تسليم",$E$5:$E$1504,"&lt;"&amp;$E261)+1)</f>
        <v/>
      </c>
      <c r="H261" s="33" t="str">
        <f aca="false">IF($G261="","",_xlfn.MINIFS($E$5:$E$1504,$A$5:$A$1504,$A261,$D$5:$D$1504,"&lt;&gt;تسليم",$E$5:$E$1504,"&gt;="&amp;$E261))</f>
        <v/>
      </c>
      <c r="I261" s="33" t="str">
        <f aca="false">IF($G261="","",_xlfn.MINIFS($E$5:$E$1504,$A$5:$A$1504,$A261,$D$5:$D$1504,"تسليم",$E$5:$E$1504,"&gt;"&amp;$E261))</f>
        <v/>
      </c>
      <c r="J261" s="33" t="str">
        <f aca="false">IF($G261="","",IF(H261&gt;0,IF(I261&gt;0,MIN(H261,I261),H261),IF(I261&gt;0,I261,تاريخ_الاحتساب)))</f>
        <v/>
      </c>
      <c r="K261" s="34" t="str">
        <f aca="false">IF($G261="","",IF(AND(H261=0,I261=0),"جارية","مغلقة"))</f>
        <v/>
      </c>
      <c r="L261" s="26" t="str">
        <f aca="false">IF($G261="","",MAX(0,NETWORKDAYS.INTL($E261,J261,رمز_العطلة,أيام_الأجازات)-1))</f>
        <v/>
      </c>
      <c r="M261" s="26" t="str">
        <f aca="false">IF($G261="","",MAX(0,L261-مهلة_المراجعة))</f>
        <v/>
      </c>
      <c r="N261" s="30" t="str">
        <f aca="false">IF($A261="",IF(OR($D261&lt;&gt;"",$E261&lt;&gt;""),"رقم المخرج ناقص",""),IF(ISNA(MATCH($A261,قائمة_المخرجات,0)),"رقم مخرج غير موجود",IF($D261="","نوع الحركة ناقص",IF(NOT(ISNUMBER($E261)),"التاريخ ناقص",IF($E261&gt;تاريخ_الاحتساب,"تاريخ بعد تاريخ الاحتساب",IF(AND($D261&lt;&gt;"تسليم",COUNTIFS($A$5:$A$1504,$A261,$D$5:$D$1504,"تسليم",$E$5:$E$1504,"&lt;="&amp;$E261)=0),"لا يوجد تسليم قبل الحركة دي",""))))))</f>
        <v/>
      </c>
    </row>
    <row r="262" customFormat="false" ht="15" hidden="false" customHeight="false" outlineLevel="0" collapsed="false">
      <c r="A262" s="20"/>
      <c r="B262" s="35" t="str">
        <f aca="false">IF($A262="","",IFERROR(INDEX(مخرج_البند,MATCH($A262,قائمة_المخرجات,0)),""))</f>
        <v/>
      </c>
      <c r="C262" s="30" t="str">
        <f aca="false">IF($A262="","",IFERROR(INDEX(مخرج_الوصف,MATCH($A262,قائمة_المخرجات,0)),""))</f>
        <v/>
      </c>
      <c r="D262" s="20"/>
      <c r="E262" s="31"/>
      <c r="F262" s="22"/>
      <c r="G262" s="36" t="str">
        <f aca="false">IF(OR($A262="",$D262&lt;&gt;"تسليم",NOT(ISNUMBER($E262))),"",COUNTIFS($A$5:$A$1504,$A262,$D$5:$D$1504,"تسليم",$E$5:$E$1504,"&lt;"&amp;$E262)+1)</f>
        <v/>
      </c>
      <c r="H262" s="33" t="str">
        <f aca="false">IF($G262="","",_xlfn.MINIFS($E$5:$E$1504,$A$5:$A$1504,$A262,$D$5:$D$1504,"&lt;&gt;تسليم",$E$5:$E$1504,"&gt;="&amp;$E262))</f>
        <v/>
      </c>
      <c r="I262" s="33" t="str">
        <f aca="false">IF($G262="","",_xlfn.MINIFS($E$5:$E$1504,$A$5:$A$1504,$A262,$D$5:$D$1504,"تسليم",$E$5:$E$1504,"&gt;"&amp;$E262))</f>
        <v/>
      </c>
      <c r="J262" s="33" t="str">
        <f aca="false">IF($G262="","",IF(H262&gt;0,IF(I262&gt;0,MIN(H262,I262),H262),IF(I262&gt;0,I262,تاريخ_الاحتساب)))</f>
        <v/>
      </c>
      <c r="K262" s="34" t="str">
        <f aca="false">IF($G262="","",IF(AND(H262=0,I262=0),"جارية","مغلقة"))</f>
        <v/>
      </c>
      <c r="L262" s="26" t="str">
        <f aca="false">IF($G262="","",MAX(0,NETWORKDAYS.INTL($E262,J262,رمز_العطلة,أيام_الأجازات)-1))</f>
        <v/>
      </c>
      <c r="M262" s="26" t="str">
        <f aca="false">IF($G262="","",MAX(0,L262-مهلة_المراجعة))</f>
        <v/>
      </c>
      <c r="N262" s="30" t="str">
        <f aca="false">IF($A262="",IF(OR($D262&lt;&gt;"",$E262&lt;&gt;""),"رقم المخرج ناقص",""),IF(ISNA(MATCH($A262,قائمة_المخرجات,0)),"رقم مخرج غير موجود",IF($D262="","نوع الحركة ناقص",IF(NOT(ISNUMBER($E262)),"التاريخ ناقص",IF($E262&gt;تاريخ_الاحتساب,"تاريخ بعد تاريخ الاحتساب",IF(AND($D262&lt;&gt;"تسليم",COUNTIFS($A$5:$A$1504,$A262,$D$5:$D$1504,"تسليم",$E$5:$E$1504,"&lt;="&amp;$E262)=0),"لا يوجد تسليم قبل الحركة دي",""))))))</f>
        <v/>
      </c>
    </row>
    <row r="263" customFormat="false" ht="15" hidden="false" customHeight="false" outlineLevel="0" collapsed="false">
      <c r="A263" s="20"/>
      <c r="B263" s="35" t="str">
        <f aca="false">IF($A263="","",IFERROR(INDEX(مخرج_البند,MATCH($A263,قائمة_المخرجات,0)),""))</f>
        <v/>
      </c>
      <c r="C263" s="30" t="str">
        <f aca="false">IF($A263="","",IFERROR(INDEX(مخرج_الوصف,MATCH($A263,قائمة_المخرجات,0)),""))</f>
        <v/>
      </c>
      <c r="D263" s="20"/>
      <c r="E263" s="31"/>
      <c r="F263" s="22"/>
      <c r="G263" s="36" t="str">
        <f aca="false">IF(OR($A263="",$D263&lt;&gt;"تسليم",NOT(ISNUMBER($E263))),"",COUNTIFS($A$5:$A$1504,$A263,$D$5:$D$1504,"تسليم",$E$5:$E$1504,"&lt;"&amp;$E263)+1)</f>
        <v/>
      </c>
      <c r="H263" s="33" t="str">
        <f aca="false">IF($G263="","",_xlfn.MINIFS($E$5:$E$1504,$A$5:$A$1504,$A263,$D$5:$D$1504,"&lt;&gt;تسليم",$E$5:$E$1504,"&gt;="&amp;$E263))</f>
        <v/>
      </c>
      <c r="I263" s="33" t="str">
        <f aca="false">IF($G263="","",_xlfn.MINIFS($E$5:$E$1504,$A$5:$A$1504,$A263,$D$5:$D$1504,"تسليم",$E$5:$E$1504,"&gt;"&amp;$E263))</f>
        <v/>
      </c>
      <c r="J263" s="33" t="str">
        <f aca="false">IF($G263="","",IF(H263&gt;0,IF(I263&gt;0,MIN(H263,I263),H263),IF(I263&gt;0,I263,تاريخ_الاحتساب)))</f>
        <v/>
      </c>
      <c r="K263" s="34" t="str">
        <f aca="false">IF($G263="","",IF(AND(H263=0,I263=0),"جارية","مغلقة"))</f>
        <v/>
      </c>
      <c r="L263" s="26" t="str">
        <f aca="false">IF($G263="","",MAX(0,NETWORKDAYS.INTL($E263,J263,رمز_العطلة,أيام_الأجازات)-1))</f>
        <v/>
      </c>
      <c r="M263" s="26" t="str">
        <f aca="false">IF($G263="","",MAX(0,L263-مهلة_المراجعة))</f>
        <v/>
      </c>
      <c r="N263" s="30" t="str">
        <f aca="false">IF($A263="",IF(OR($D263&lt;&gt;"",$E263&lt;&gt;""),"رقم المخرج ناقص",""),IF(ISNA(MATCH($A263,قائمة_المخرجات,0)),"رقم مخرج غير موجود",IF($D263="","نوع الحركة ناقص",IF(NOT(ISNUMBER($E263)),"التاريخ ناقص",IF($E263&gt;تاريخ_الاحتساب,"تاريخ بعد تاريخ الاحتساب",IF(AND($D263&lt;&gt;"تسليم",COUNTIFS($A$5:$A$1504,$A263,$D$5:$D$1504,"تسليم",$E$5:$E$1504,"&lt;="&amp;$E263)=0),"لا يوجد تسليم قبل الحركة دي",""))))))</f>
        <v/>
      </c>
    </row>
    <row r="264" customFormat="false" ht="15" hidden="false" customHeight="false" outlineLevel="0" collapsed="false">
      <c r="A264" s="20"/>
      <c r="B264" s="35" t="str">
        <f aca="false">IF($A264="","",IFERROR(INDEX(مخرج_البند,MATCH($A264,قائمة_المخرجات,0)),""))</f>
        <v/>
      </c>
      <c r="C264" s="30" t="str">
        <f aca="false">IF($A264="","",IFERROR(INDEX(مخرج_الوصف,MATCH($A264,قائمة_المخرجات,0)),""))</f>
        <v/>
      </c>
      <c r="D264" s="20"/>
      <c r="E264" s="31"/>
      <c r="F264" s="22"/>
      <c r="G264" s="36" t="str">
        <f aca="false">IF(OR($A264="",$D264&lt;&gt;"تسليم",NOT(ISNUMBER($E264))),"",COUNTIFS($A$5:$A$1504,$A264,$D$5:$D$1504,"تسليم",$E$5:$E$1504,"&lt;"&amp;$E264)+1)</f>
        <v/>
      </c>
      <c r="H264" s="33" t="str">
        <f aca="false">IF($G264="","",_xlfn.MINIFS($E$5:$E$1504,$A$5:$A$1504,$A264,$D$5:$D$1504,"&lt;&gt;تسليم",$E$5:$E$1504,"&gt;="&amp;$E264))</f>
        <v/>
      </c>
      <c r="I264" s="33" t="str">
        <f aca="false">IF($G264="","",_xlfn.MINIFS($E$5:$E$1504,$A$5:$A$1504,$A264,$D$5:$D$1504,"تسليم",$E$5:$E$1504,"&gt;"&amp;$E264))</f>
        <v/>
      </c>
      <c r="J264" s="33" t="str">
        <f aca="false">IF($G264="","",IF(H264&gt;0,IF(I264&gt;0,MIN(H264,I264),H264),IF(I264&gt;0,I264,تاريخ_الاحتساب)))</f>
        <v/>
      </c>
      <c r="K264" s="34" t="str">
        <f aca="false">IF($G264="","",IF(AND(H264=0,I264=0),"جارية","مغلقة"))</f>
        <v/>
      </c>
      <c r="L264" s="26" t="str">
        <f aca="false">IF($G264="","",MAX(0,NETWORKDAYS.INTL($E264,J264,رمز_العطلة,أيام_الأجازات)-1))</f>
        <v/>
      </c>
      <c r="M264" s="26" t="str">
        <f aca="false">IF($G264="","",MAX(0,L264-مهلة_المراجعة))</f>
        <v/>
      </c>
      <c r="N264" s="30" t="str">
        <f aca="false">IF($A264="",IF(OR($D264&lt;&gt;"",$E264&lt;&gt;""),"رقم المخرج ناقص",""),IF(ISNA(MATCH($A264,قائمة_المخرجات,0)),"رقم مخرج غير موجود",IF($D264="","نوع الحركة ناقص",IF(NOT(ISNUMBER($E264)),"التاريخ ناقص",IF($E264&gt;تاريخ_الاحتساب,"تاريخ بعد تاريخ الاحتساب",IF(AND($D264&lt;&gt;"تسليم",COUNTIFS($A$5:$A$1504,$A264,$D$5:$D$1504,"تسليم",$E$5:$E$1504,"&lt;="&amp;$E264)=0),"لا يوجد تسليم قبل الحركة دي",""))))))</f>
        <v/>
      </c>
    </row>
    <row r="265" customFormat="false" ht="15" hidden="false" customHeight="false" outlineLevel="0" collapsed="false">
      <c r="A265" s="20"/>
      <c r="B265" s="35" t="str">
        <f aca="false">IF($A265="","",IFERROR(INDEX(مخرج_البند,MATCH($A265,قائمة_المخرجات,0)),""))</f>
        <v/>
      </c>
      <c r="C265" s="30" t="str">
        <f aca="false">IF($A265="","",IFERROR(INDEX(مخرج_الوصف,MATCH($A265,قائمة_المخرجات,0)),""))</f>
        <v/>
      </c>
      <c r="D265" s="20"/>
      <c r="E265" s="31"/>
      <c r="F265" s="22"/>
      <c r="G265" s="36" t="str">
        <f aca="false">IF(OR($A265="",$D265&lt;&gt;"تسليم",NOT(ISNUMBER($E265))),"",COUNTIFS($A$5:$A$1504,$A265,$D$5:$D$1504,"تسليم",$E$5:$E$1504,"&lt;"&amp;$E265)+1)</f>
        <v/>
      </c>
      <c r="H265" s="33" t="str">
        <f aca="false">IF($G265="","",_xlfn.MINIFS($E$5:$E$1504,$A$5:$A$1504,$A265,$D$5:$D$1504,"&lt;&gt;تسليم",$E$5:$E$1504,"&gt;="&amp;$E265))</f>
        <v/>
      </c>
      <c r="I265" s="33" t="str">
        <f aca="false">IF($G265="","",_xlfn.MINIFS($E$5:$E$1504,$A$5:$A$1504,$A265,$D$5:$D$1504,"تسليم",$E$5:$E$1504,"&gt;"&amp;$E265))</f>
        <v/>
      </c>
      <c r="J265" s="33" t="str">
        <f aca="false">IF($G265="","",IF(H265&gt;0,IF(I265&gt;0,MIN(H265,I265),H265),IF(I265&gt;0,I265,تاريخ_الاحتساب)))</f>
        <v/>
      </c>
      <c r="K265" s="34" t="str">
        <f aca="false">IF($G265="","",IF(AND(H265=0,I265=0),"جارية","مغلقة"))</f>
        <v/>
      </c>
      <c r="L265" s="26" t="str">
        <f aca="false">IF($G265="","",MAX(0,NETWORKDAYS.INTL($E265,J265,رمز_العطلة,أيام_الأجازات)-1))</f>
        <v/>
      </c>
      <c r="M265" s="26" t="str">
        <f aca="false">IF($G265="","",MAX(0,L265-مهلة_المراجعة))</f>
        <v/>
      </c>
      <c r="N265" s="30" t="str">
        <f aca="false">IF($A265="",IF(OR($D265&lt;&gt;"",$E265&lt;&gt;""),"رقم المخرج ناقص",""),IF(ISNA(MATCH($A265,قائمة_المخرجات,0)),"رقم مخرج غير موجود",IF($D265="","نوع الحركة ناقص",IF(NOT(ISNUMBER($E265)),"التاريخ ناقص",IF($E265&gt;تاريخ_الاحتساب,"تاريخ بعد تاريخ الاحتساب",IF(AND($D265&lt;&gt;"تسليم",COUNTIFS($A$5:$A$1504,$A265,$D$5:$D$1504,"تسليم",$E$5:$E$1504,"&lt;="&amp;$E265)=0),"لا يوجد تسليم قبل الحركة دي",""))))))</f>
        <v/>
      </c>
    </row>
    <row r="266" customFormat="false" ht="15" hidden="false" customHeight="false" outlineLevel="0" collapsed="false">
      <c r="A266" s="20"/>
      <c r="B266" s="35" t="str">
        <f aca="false">IF($A266="","",IFERROR(INDEX(مخرج_البند,MATCH($A266,قائمة_المخرجات,0)),""))</f>
        <v/>
      </c>
      <c r="C266" s="30" t="str">
        <f aca="false">IF($A266="","",IFERROR(INDEX(مخرج_الوصف,MATCH($A266,قائمة_المخرجات,0)),""))</f>
        <v/>
      </c>
      <c r="D266" s="20"/>
      <c r="E266" s="31"/>
      <c r="F266" s="22"/>
      <c r="G266" s="36" t="str">
        <f aca="false">IF(OR($A266="",$D266&lt;&gt;"تسليم",NOT(ISNUMBER($E266))),"",COUNTIFS($A$5:$A$1504,$A266,$D$5:$D$1504,"تسليم",$E$5:$E$1504,"&lt;"&amp;$E266)+1)</f>
        <v/>
      </c>
      <c r="H266" s="33" t="str">
        <f aca="false">IF($G266="","",_xlfn.MINIFS($E$5:$E$1504,$A$5:$A$1504,$A266,$D$5:$D$1504,"&lt;&gt;تسليم",$E$5:$E$1504,"&gt;="&amp;$E266))</f>
        <v/>
      </c>
      <c r="I266" s="33" t="str">
        <f aca="false">IF($G266="","",_xlfn.MINIFS($E$5:$E$1504,$A$5:$A$1504,$A266,$D$5:$D$1504,"تسليم",$E$5:$E$1504,"&gt;"&amp;$E266))</f>
        <v/>
      </c>
      <c r="J266" s="33" t="str">
        <f aca="false">IF($G266="","",IF(H266&gt;0,IF(I266&gt;0,MIN(H266,I266),H266),IF(I266&gt;0,I266,تاريخ_الاحتساب)))</f>
        <v/>
      </c>
      <c r="K266" s="34" t="str">
        <f aca="false">IF($G266="","",IF(AND(H266=0,I266=0),"جارية","مغلقة"))</f>
        <v/>
      </c>
      <c r="L266" s="26" t="str">
        <f aca="false">IF($G266="","",MAX(0,NETWORKDAYS.INTL($E266,J266,رمز_العطلة,أيام_الأجازات)-1))</f>
        <v/>
      </c>
      <c r="M266" s="26" t="str">
        <f aca="false">IF($G266="","",MAX(0,L266-مهلة_المراجعة))</f>
        <v/>
      </c>
      <c r="N266" s="30" t="str">
        <f aca="false">IF($A266="",IF(OR($D266&lt;&gt;"",$E266&lt;&gt;""),"رقم المخرج ناقص",""),IF(ISNA(MATCH($A266,قائمة_المخرجات,0)),"رقم مخرج غير موجود",IF($D266="","نوع الحركة ناقص",IF(NOT(ISNUMBER($E266)),"التاريخ ناقص",IF($E266&gt;تاريخ_الاحتساب,"تاريخ بعد تاريخ الاحتساب",IF(AND($D266&lt;&gt;"تسليم",COUNTIFS($A$5:$A$1504,$A266,$D$5:$D$1504,"تسليم",$E$5:$E$1504,"&lt;="&amp;$E266)=0),"لا يوجد تسليم قبل الحركة دي",""))))))</f>
        <v/>
      </c>
    </row>
    <row r="267" customFormat="false" ht="15" hidden="false" customHeight="false" outlineLevel="0" collapsed="false">
      <c r="A267" s="20"/>
      <c r="B267" s="35" t="str">
        <f aca="false">IF($A267="","",IFERROR(INDEX(مخرج_البند,MATCH($A267,قائمة_المخرجات,0)),""))</f>
        <v/>
      </c>
      <c r="C267" s="30" t="str">
        <f aca="false">IF($A267="","",IFERROR(INDEX(مخرج_الوصف,MATCH($A267,قائمة_المخرجات,0)),""))</f>
        <v/>
      </c>
      <c r="D267" s="20"/>
      <c r="E267" s="31"/>
      <c r="F267" s="22"/>
      <c r="G267" s="36" t="str">
        <f aca="false">IF(OR($A267="",$D267&lt;&gt;"تسليم",NOT(ISNUMBER($E267))),"",COUNTIFS($A$5:$A$1504,$A267,$D$5:$D$1504,"تسليم",$E$5:$E$1504,"&lt;"&amp;$E267)+1)</f>
        <v/>
      </c>
      <c r="H267" s="33" t="str">
        <f aca="false">IF($G267="","",_xlfn.MINIFS($E$5:$E$1504,$A$5:$A$1504,$A267,$D$5:$D$1504,"&lt;&gt;تسليم",$E$5:$E$1504,"&gt;="&amp;$E267))</f>
        <v/>
      </c>
      <c r="I267" s="33" t="str">
        <f aca="false">IF($G267="","",_xlfn.MINIFS($E$5:$E$1504,$A$5:$A$1504,$A267,$D$5:$D$1504,"تسليم",$E$5:$E$1504,"&gt;"&amp;$E267))</f>
        <v/>
      </c>
      <c r="J267" s="33" t="str">
        <f aca="false">IF($G267="","",IF(H267&gt;0,IF(I267&gt;0,MIN(H267,I267),H267),IF(I267&gt;0,I267,تاريخ_الاحتساب)))</f>
        <v/>
      </c>
      <c r="K267" s="34" t="str">
        <f aca="false">IF($G267="","",IF(AND(H267=0,I267=0),"جارية","مغلقة"))</f>
        <v/>
      </c>
      <c r="L267" s="26" t="str">
        <f aca="false">IF($G267="","",MAX(0,NETWORKDAYS.INTL($E267,J267,رمز_العطلة,أيام_الأجازات)-1))</f>
        <v/>
      </c>
      <c r="M267" s="26" t="str">
        <f aca="false">IF($G267="","",MAX(0,L267-مهلة_المراجعة))</f>
        <v/>
      </c>
      <c r="N267" s="30" t="str">
        <f aca="false">IF($A267="",IF(OR($D267&lt;&gt;"",$E267&lt;&gt;""),"رقم المخرج ناقص",""),IF(ISNA(MATCH($A267,قائمة_المخرجات,0)),"رقم مخرج غير موجود",IF($D267="","نوع الحركة ناقص",IF(NOT(ISNUMBER($E267)),"التاريخ ناقص",IF($E267&gt;تاريخ_الاحتساب,"تاريخ بعد تاريخ الاحتساب",IF(AND($D267&lt;&gt;"تسليم",COUNTIFS($A$5:$A$1504,$A267,$D$5:$D$1504,"تسليم",$E$5:$E$1504,"&lt;="&amp;$E267)=0),"لا يوجد تسليم قبل الحركة دي",""))))))</f>
        <v/>
      </c>
    </row>
    <row r="268" customFormat="false" ht="15" hidden="false" customHeight="false" outlineLevel="0" collapsed="false">
      <c r="A268" s="20"/>
      <c r="B268" s="35" t="str">
        <f aca="false">IF($A268="","",IFERROR(INDEX(مخرج_البند,MATCH($A268,قائمة_المخرجات,0)),""))</f>
        <v/>
      </c>
      <c r="C268" s="30" t="str">
        <f aca="false">IF($A268="","",IFERROR(INDEX(مخرج_الوصف,MATCH($A268,قائمة_المخرجات,0)),""))</f>
        <v/>
      </c>
      <c r="D268" s="20"/>
      <c r="E268" s="31"/>
      <c r="F268" s="22"/>
      <c r="G268" s="36" t="str">
        <f aca="false">IF(OR($A268="",$D268&lt;&gt;"تسليم",NOT(ISNUMBER($E268))),"",COUNTIFS($A$5:$A$1504,$A268,$D$5:$D$1504,"تسليم",$E$5:$E$1504,"&lt;"&amp;$E268)+1)</f>
        <v/>
      </c>
      <c r="H268" s="33" t="str">
        <f aca="false">IF($G268="","",_xlfn.MINIFS($E$5:$E$1504,$A$5:$A$1504,$A268,$D$5:$D$1504,"&lt;&gt;تسليم",$E$5:$E$1504,"&gt;="&amp;$E268))</f>
        <v/>
      </c>
      <c r="I268" s="33" t="str">
        <f aca="false">IF($G268="","",_xlfn.MINIFS($E$5:$E$1504,$A$5:$A$1504,$A268,$D$5:$D$1504,"تسليم",$E$5:$E$1504,"&gt;"&amp;$E268))</f>
        <v/>
      </c>
      <c r="J268" s="33" t="str">
        <f aca="false">IF($G268="","",IF(H268&gt;0,IF(I268&gt;0,MIN(H268,I268),H268),IF(I268&gt;0,I268,تاريخ_الاحتساب)))</f>
        <v/>
      </c>
      <c r="K268" s="34" t="str">
        <f aca="false">IF($G268="","",IF(AND(H268=0,I268=0),"جارية","مغلقة"))</f>
        <v/>
      </c>
      <c r="L268" s="26" t="str">
        <f aca="false">IF($G268="","",MAX(0,NETWORKDAYS.INTL($E268,J268,رمز_العطلة,أيام_الأجازات)-1))</f>
        <v/>
      </c>
      <c r="M268" s="26" t="str">
        <f aca="false">IF($G268="","",MAX(0,L268-مهلة_المراجعة))</f>
        <v/>
      </c>
      <c r="N268" s="30" t="str">
        <f aca="false">IF($A268="",IF(OR($D268&lt;&gt;"",$E268&lt;&gt;""),"رقم المخرج ناقص",""),IF(ISNA(MATCH($A268,قائمة_المخرجات,0)),"رقم مخرج غير موجود",IF($D268="","نوع الحركة ناقص",IF(NOT(ISNUMBER($E268)),"التاريخ ناقص",IF($E268&gt;تاريخ_الاحتساب,"تاريخ بعد تاريخ الاحتساب",IF(AND($D268&lt;&gt;"تسليم",COUNTIFS($A$5:$A$1504,$A268,$D$5:$D$1504,"تسليم",$E$5:$E$1504,"&lt;="&amp;$E268)=0),"لا يوجد تسليم قبل الحركة دي",""))))))</f>
        <v/>
      </c>
    </row>
    <row r="269" customFormat="false" ht="15" hidden="false" customHeight="false" outlineLevel="0" collapsed="false">
      <c r="A269" s="20"/>
      <c r="B269" s="35" t="str">
        <f aca="false">IF($A269="","",IFERROR(INDEX(مخرج_البند,MATCH($A269,قائمة_المخرجات,0)),""))</f>
        <v/>
      </c>
      <c r="C269" s="30" t="str">
        <f aca="false">IF($A269="","",IFERROR(INDEX(مخرج_الوصف,MATCH($A269,قائمة_المخرجات,0)),""))</f>
        <v/>
      </c>
      <c r="D269" s="20"/>
      <c r="E269" s="31"/>
      <c r="F269" s="22"/>
      <c r="G269" s="36" t="str">
        <f aca="false">IF(OR($A269="",$D269&lt;&gt;"تسليم",NOT(ISNUMBER($E269))),"",COUNTIFS($A$5:$A$1504,$A269,$D$5:$D$1504,"تسليم",$E$5:$E$1504,"&lt;"&amp;$E269)+1)</f>
        <v/>
      </c>
      <c r="H269" s="33" t="str">
        <f aca="false">IF($G269="","",_xlfn.MINIFS($E$5:$E$1504,$A$5:$A$1504,$A269,$D$5:$D$1504,"&lt;&gt;تسليم",$E$5:$E$1504,"&gt;="&amp;$E269))</f>
        <v/>
      </c>
      <c r="I269" s="33" t="str">
        <f aca="false">IF($G269="","",_xlfn.MINIFS($E$5:$E$1504,$A$5:$A$1504,$A269,$D$5:$D$1504,"تسليم",$E$5:$E$1504,"&gt;"&amp;$E269))</f>
        <v/>
      </c>
      <c r="J269" s="33" t="str">
        <f aca="false">IF($G269="","",IF(H269&gt;0,IF(I269&gt;0,MIN(H269,I269),H269),IF(I269&gt;0,I269,تاريخ_الاحتساب)))</f>
        <v/>
      </c>
      <c r="K269" s="34" t="str">
        <f aca="false">IF($G269="","",IF(AND(H269=0,I269=0),"جارية","مغلقة"))</f>
        <v/>
      </c>
      <c r="L269" s="26" t="str">
        <f aca="false">IF($G269="","",MAX(0,NETWORKDAYS.INTL($E269,J269,رمز_العطلة,أيام_الأجازات)-1))</f>
        <v/>
      </c>
      <c r="M269" s="26" t="str">
        <f aca="false">IF($G269="","",MAX(0,L269-مهلة_المراجعة))</f>
        <v/>
      </c>
      <c r="N269" s="30" t="str">
        <f aca="false">IF($A269="",IF(OR($D269&lt;&gt;"",$E269&lt;&gt;""),"رقم المخرج ناقص",""),IF(ISNA(MATCH($A269,قائمة_المخرجات,0)),"رقم مخرج غير موجود",IF($D269="","نوع الحركة ناقص",IF(NOT(ISNUMBER($E269)),"التاريخ ناقص",IF($E269&gt;تاريخ_الاحتساب,"تاريخ بعد تاريخ الاحتساب",IF(AND($D269&lt;&gt;"تسليم",COUNTIFS($A$5:$A$1504,$A269,$D$5:$D$1504,"تسليم",$E$5:$E$1504,"&lt;="&amp;$E269)=0),"لا يوجد تسليم قبل الحركة دي",""))))))</f>
        <v/>
      </c>
    </row>
    <row r="270" customFormat="false" ht="15" hidden="false" customHeight="false" outlineLevel="0" collapsed="false">
      <c r="A270" s="20"/>
      <c r="B270" s="35" t="str">
        <f aca="false">IF($A270="","",IFERROR(INDEX(مخرج_البند,MATCH($A270,قائمة_المخرجات,0)),""))</f>
        <v/>
      </c>
      <c r="C270" s="30" t="str">
        <f aca="false">IF($A270="","",IFERROR(INDEX(مخرج_الوصف,MATCH($A270,قائمة_المخرجات,0)),""))</f>
        <v/>
      </c>
      <c r="D270" s="20"/>
      <c r="E270" s="31"/>
      <c r="F270" s="22"/>
      <c r="G270" s="36" t="str">
        <f aca="false">IF(OR($A270="",$D270&lt;&gt;"تسليم",NOT(ISNUMBER($E270))),"",COUNTIFS($A$5:$A$1504,$A270,$D$5:$D$1504,"تسليم",$E$5:$E$1504,"&lt;"&amp;$E270)+1)</f>
        <v/>
      </c>
      <c r="H270" s="33" t="str">
        <f aca="false">IF($G270="","",_xlfn.MINIFS($E$5:$E$1504,$A$5:$A$1504,$A270,$D$5:$D$1504,"&lt;&gt;تسليم",$E$5:$E$1504,"&gt;="&amp;$E270))</f>
        <v/>
      </c>
      <c r="I270" s="33" t="str">
        <f aca="false">IF($G270="","",_xlfn.MINIFS($E$5:$E$1504,$A$5:$A$1504,$A270,$D$5:$D$1504,"تسليم",$E$5:$E$1504,"&gt;"&amp;$E270))</f>
        <v/>
      </c>
      <c r="J270" s="33" t="str">
        <f aca="false">IF($G270="","",IF(H270&gt;0,IF(I270&gt;0,MIN(H270,I270),H270),IF(I270&gt;0,I270,تاريخ_الاحتساب)))</f>
        <v/>
      </c>
      <c r="K270" s="34" t="str">
        <f aca="false">IF($G270="","",IF(AND(H270=0,I270=0),"جارية","مغلقة"))</f>
        <v/>
      </c>
      <c r="L270" s="26" t="str">
        <f aca="false">IF($G270="","",MAX(0,NETWORKDAYS.INTL($E270,J270,رمز_العطلة,أيام_الأجازات)-1))</f>
        <v/>
      </c>
      <c r="M270" s="26" t="str">
        <f aca="false">IF($G270="","",MAX(0,L270-مهلة_المراجعة))</f>
        <v/>
      </c>
      <c r="N270" s="30" t="str">
        <f aca="false">IF($A270="",IF(OR($D270&lt;&gt;"",$E270&lt;&gt;""),"رقم المخرج ناقص",""),IF(ISNA(MATCH($A270,قائمة_المخرجات,0)),"رقم مخرج غير موجود",IF($D270="","نوع الحركة ناقص",IF(NOT(ISNUMBER($E270)),"التاريخ ناقص",IF($E270&gt;تاريخ_الاحتساب,"تاريخ بعد تاريخ الاحتساب",IF(AND($D270&lt;&gt;"تسليم",COUNTIFS($A$5:$A$1504,$A270,$D$5:$D$1504,"تسليم",$E$5:$E$1504,"&lt;="&amp;$E270)=0),"لا يوجد تسليم قبل الحركة دي",""))))))</f>
        <v/>
      </c>
    </row>
    <row r="271" customFormat="false" ht="15" hidden="false" customHeight="false" outlineLevel="0" collapsed="false">
      <c r="A271" s="20"/>
      <c r="B271" s="35" t="str">
        <f aca="false">IF($A271="","",IFERROR(INDEX(مخرج_البند,MATCH($A271,قائمة_المخرجات,0)),""))</f>
        <v/>
      </c>
      <c r="C271" s="30" t="str">
        <f aca="false">IF($A271="","",IFERROR(INDEX(مخرج_الوصف,MATCH($A271,قائمة_المخرجات,0)),""))</f>
        <v/>
      </c>
      <c r="D271" s="20"/>
      <c r="E271" s="31"/>
      <c r="F271" s="22"/>
      <c r="G271" s="36" t="str">
        <f aca="false">IF(OR($A271="",$D271&lt;&gt;"تسليم",NOT(ISNUMBER($E271))),"",COUNTIFS($A$5:$A$1504,$A271,$D$5:$D$1504,"تسليم",$E$5:$E$1504,"&lt;"&amp;$E271)+1)</f>
        <v/>
      </c>
      <c r="H271" s="33" t="str">
        <f aca="false">IF($G271="","",_xlfn.MINIFS($E$5:$E$1504,$A$5:$A$1504,$A271,$D$5:$D$1504,"&lt;&gt;تسليم",$E$5:$E$1504,"&gt;="&amp;$E271))</f>
        <v/>
      </c>
      <c r="I271" s="33" t="str">
        <f aca="false">IF($G271="","",_xlfn.MINIFS($E$5:$E$1504,$A$5:$A$1504,$A271,$D$5:$D$1504,"تسليم",$E$5:$E$1504,"&gt;"&amp;$E271))</f>
        <v/>
      </c>
      <c r="J271" s="33" t="str">
        <f aca="false">IF($G271="","",IF(H271&gt;0,IF(I271&gt;0,MIN(H271,I271),H271),IF(I271&gt;0,I271,تاريخ_الاحتساب)))</f>
        <v/>
      </c>
      <c r="K271" s="34" t="str">
        <f aca="false">IF($G271="","",IF(AND(H271=0,I271=0),"جارية","مغلقة"))</f>
        <v/>
      </c>
      <c r="L271" s="26" t="str">
        <f aca="false">IF($G271="","",MAX(0,NETWORKDAYS.INTL($E271,J271,رمز_العطلة,أيام_الأجازات)-1))</f>
        <v/>
      </c>
      <c r="M271" s="26" t="str">
        <f aca="false">IF($G271="","",MAX(0,L271-مهلة_المراجعة))</f>
        <v/>
      </c>
      <c r="N271" s="30" t="str">
        <f aca="false">IF($A271="",IF(OR($D271&lt;&gt;"",$E271&lt;&gt;""),"رقم المخرج ناقص",""),IF(ISNA(MATCH($A271,قائمة_المخرجات,0)),"رقم مخرج غير موجود",IF($D271="","نوع الحركة ناقص",IF(NOT(ISNUMBER($E271)),"التاريخ ناقص",IF($E271&gt;تاريخ_الاحتساب,"تاريخ بعد تاريخ الاحتساب",IF(AND($D271&lt;&gt;"تسليم",COUNTIFS($A$5:$A$1504,$A271,$D$5:$D$1504,"تسليم",$E$5:$E$1504,"&lt;="&amp;$E271)=0),"لا يوجد تسليم قبل الحركة دي",""))))))</f>
        <v/>
      </c>
    </row>
    <row r="272" customFormat="false" ht="15" hidden="false" customHeight="false" outlineLevel="0" collapsed="false">
      <c r="A272" s="20"/>
      <c r="B272" s="35" t="str">
        <f aca="false">IF($A272="","",IFERROR(INDEX(مخرج_البند,MATCH($A272,قائمة_المخرجات,0)),""))</f>
        <v/>
      </c>
      <c r="C272" s="30" t="str">
        <f aca="false">IF($A272="","",IFERROR(INDEX(مخرج_الوصف,MATCH($A272,قائمة_المخرجات,0)),""))</f>
        <v/>
      </c>
      <c r="D272" s="20"/>
      <c r="E272" s="31"/>
      <c r="F272" s="22"/>
      <c r="G272" s="36" t="str">
        <f aca="false">IF(OR($A272="",$D272&lt;&gt;"تسليم",NOT(ISNUMBER($E272))),"",COUNTIFS($A$5:$A$1504,$A272,$D$5:$D$1504,"تسليم",$E$5:$E$1504,"&lt;"&amp;$E272)+1)</f>
        <v/>
      </c>
      <c r="H272" s="33" t="str">
        <f aca="false">IF($G272="","",_xlfn.MINIFS($E$5:$E$1504,$A$5:$A$1504,$A272,$D$5:$D$1504,"&lt;&gt;تسليم",$E$5:$E$1504,"&gt;="&amp;$E272))</f>
        <v/>
      </c>
      <c r="I272" s="33" t="str">
        <f aca="false">IF($G272="","",_xlfn.MINIFS($E$5:$E$1504,$A$5:$A$1504,$A272,$D$5:$D$1504,"تسليم",$E$5:$E$1504,"&gt;"&amp;$E272))</f>
        <v/>
      </c>
      <c r="J272" s="33" t="str">
        <f aca="false">IF($G272="","",IF(H272&gt;0,IF(I272&gt;0,MIN(H272,I272),H272),IF(I272&gt;0,I272,تاريخ_الاحتساب)))</f>
        <v/>
      </c>
      <c r="K272" s="34" t="str">
        <f aca="false">IF($G272="","",IF(AND(H272=0,I272=0),"جارية","مغلقة"))</f>
        <v/>
      </c>
      <c r="L272" s="26" t="str">
        <f aca="false">IF($G272="","",MAX(0,NETWORKDAYS.INTL($E272,J272,رمز_العطلة,أيام_الأجازات)-1))</f>
        <v/>
      </c>
      <c r="M272" s="26" t="str">
        <f aca="false">IF($G272="","",MAX(0,L272-مهلة_المراجعة))</f>
        <v/>
      </c>
      <c r="N272" s="30" t="str">
        <f aca="false">IF($A272="",IF(OR($D272&lt;&gt;"",$E272&lt;&gt;""),"رقم المخرج ناقص",""),IF(ISNA(MATCH($A272,قائمة_المخرجات,0)),"رقم مخرج غير موجود",IF($D272="","نوع الحركة ناقص",IF(NOT(ISNUMBER($E272)),"التاريخ ناقص",IF($E272&gt;تاريخ_الاحتساب,"تاريخ بعد تاريخ الاحتساب",IF(AND($D272&lt;&gt;"تسليم",COUNTIFS($A$5:$A$1504,$A272,$D$5:$D$1504,"تسليم",$E$5:$E$1504,"&lt;="&amp;$E272)=0),"لا يوجد تسليم قبل الحركة دي",""))))))</f>
        <v/>
      </c>
    </row>
    <row r="273" customFormat="false" ht="15" hidden="false" customHeight="false" outlineLevel="0" collapsed="false">
      <c r="A273" s="20"/>
      <c r="B273" s="35" t="str">
        <f aca="false">IF($A273="","",IFERROR(INDEX(مخرج_البند,MATCH($A273,قائمة_المخرجات,0)),""))</f>
        <v/>
      </c>
      <c r="C273" s="30" t="str">
        <f aca="false">IF($A273="","",IFERROR(INDEX(مخرج_الوصف,MATCH($A273,قائمة_المخرجات,0)),""))</f>
        <v/>
      </c>
      <c r="D273" s="20"/>
      <c r="E273" s="31"/>
      <c r="F273" s="22"/>
      <c r="G273" s="36" t="str">
        <f aca="false">IF(OR($A273="",$D273&lt;&gt;"تسليم",NOT(ISNUMBER($E273))),"",COUNTIFS($A$5:$A$1504,$A273,$D$5:$D$1504,"تسليم",$E$5:$E$1504,"&lt;"&amp;$E273)+1)</f>
        <v/>
      </c>
      <c r="H273" s="33" t="str">
        <f aca="false">IF($G273="","",_xlfn.MINIFS($E$5:$E$1504,$A$5:$A$1504,$A273,$D$5:$D$1504,"&lt;&gt;تسليم",$E$5:$E$1504,"&gt;="&amp;$E273))</f>
        <v/>
      </c>
      <c r="I273" s="33" t="str">
        <f aca="false">IF($G273="","",_xlfn.MINIFS($E$5:$E$1504,$A$5:$A$1504,$A273,$D$5:$D$1504,"تسليم",$E$5:$E$1504,"&gt;"&amp;$E273))</f>
        <v/>
      </c>
      <c r="J273" s="33" t="str">
        <f aca="false">IF($G273="","",IF(H273&gt;0,IF(I273&gt;0,MIN(H273,I273),H273),IF(I273&gt;0,I273,تاريخ_الاحتساب)))</f>
        <v/>
      </c>
      <c r="K273" s="34" t="str">
        <f aca="false">IF($G273="","",IF(AND(H273=0,I273=0),"جارية","مغلقة"))</f>
        <v/>
      </c>
      <c r="L273" s="26" t="str">
        <f aca="false">IF($G273="","",MAX(0,NETWORKDAYS.INTL($E273,J273,رمز_العطلة,أيام_الأجازات)-1))</f>
        <v/>
      </c>
      <c r="M273" s="26" t="str">
        <f aca="false">IF($G273="","",MAX(0,L273-مهلة_المراجعة))</f>
        <v/>
      </c>
      <c r="N273" s="30" t="str">
        <f aca="false">IF($A273="",IF(OR($D273&lt;&gt;"",$E273&lt;&gt;""),"رقم المخرج ناقص",""),IF(ISNA(MATCH($A273,قائمة_المخرجات,0)),"رقم مخرج غير موجود",IF($D273="","نوع الحركة ناقص",IF(NOT(ISNUMBER($E273)),"التاريخ ناقص",IF($E273&gt;تاريخ_الاحتساب,"تاريخ بعد تاريخ الاحتساب",IF(AND($D273&lt;&gt;"تسليم",COUNTIFS($A$5:$A$1504,$A273,$D$5:$D$1504,"تسليم",$E$5:$E$1504,"&lt;="&amp;$E273)=0),"لا يوجد تسليم قبل الحركة دي",""))))))</f>
        <v/>
      </c>
    </row>
    <row r="274" customFormat="false" ht="15" hidden="false" customHeight="false" outlineLevel="0" collapsed="false">
      <c r="A274" s="20"/>
      <c r="B274" s="35" t="str">
        <f aca="false">IF($A274="","",IFERROR(INDEX(مخرج_البند,MATCH($A274,قائمة_المخرجات,0)),""))</f>
        <v/>
      </c>
      <c r="C274" s="30" t="str">
        <f aca="false">IF($A274="","",IFERROR(INDEX(مخرج_الوصف,MATCH($A274,قائمة_المخرجات,0)),""))</f>
        <v/>
      </c>
      <c r="D274" s="20"/>
      <c r="E274" s="31"/>
      <c r="F274" s="22"/>
      <c r="G274" s="36" t="str">
        <f aca="false">IF(OR($A274="",$D274&lt;&gt;"تسليم",NOT(ISNUMBER($E274))),"",COUNTIFS($A$5:$A$1504,$A274,$D$5:$D$1504,"تسليم",$E$5:$E$1504,"&lt;"&amp;$E274)+1)</f>
        <v/>
      </c>
      <c r="H274" s="33" t="str">
        <f aca="false">IF($G274="","",_xlfn.MINIFS($E$5:$E$1504,$A$5:$A$1504,$A274,$D$5:$D$1504,"&lt;&gt;تسليم",$E$5:$E$1504,"&gt;="&amp;$E274))</f>
        <v/>
      </c>
      <c r="I274" s="33" t="str">
        <f aca="false">IF($G274="","",_xlfn.MINIFS($E$5:$E$1504,$A$5:$A$1504,$A274,$D$5:$D$1504,"تسليم",$E$5:$E$1504,"&gt;"&amp;$E274))</f>
        <v/>
      </c>
      <c r="J274" s="33" t="str">
        <f aca="false">IF($G274="","",IF(H274&gt;0,IF(I274&gt;0,MIN(H274,I274),H274),IF(I274&gt;0,I274,تاريخ_الاحتساب)))</f>
        <v/>
      </c>
      <c r="K274" s="34" t="str">
        <f aca="false">IF($G274="","",IF(AND(H274=0,I274=0),"جارية","مغلقة"))</f>
        <v/>
      </c>
      <c r="L274" s="26" t="str">
        <f aca="false">IF($G274="","",MAX(0,NETWORKDAYS.INTL($E274,J274,رمز_العطلة,أيام_الأجازات)-1))</f>
        <v/>
      </c>
      <c r="M274" s="26" t="str">
        <f aca="false">IF($G274="","",MAX(0,L274-مهلة_المراجعة))</f>
        <v/>
      </c>
      <c r="N274" s="30" t="str">
        <f aca="false">IF($A274="",IF(OR($D274&lt;&gt;"",$E274&lt;&gt;""),"رقم المخرج ناقص",""),IF(ISNA(MATCH($A274,قائمة_المخرجات,0)),"رقم مخرج غير موجود",IF($D274="","نوع الحركة ناقص",IF(NOT(ISNUMBER($E274)),"التاريخ ناقص",IF($E274&gt;تاريخ_الاحتساب,"تاريخ بعد تاريخ الاحتساب",IF(AND($D274&lt;&gt;"تسليم",COUNTIFS($A$5:$A$1504,$A274,$D$5:$D$1504,"تسليم",$E$5:$E$1504,"&lt;="&amp;$E274)=0),"لا يوجد تسليم قبل الحركة دي",""))))))</f>
        <v/>
      </c>
    </row>
    <row r="275" customFormat="false" ht="15" hidden="false" customHeight="false" outlineLevel="0" collapsed="false">
      <c r="A275" s="20"/>
      <c r="B275" s="35" t="str">
        <f aca="false">IF($A275="","",IFERROR(INDEX(مخرج_البند,MATCH($A275,قائمة_المخرجات,0)),""))</f>
        <v/>
      </c>
      <c r="C275" s="30" t="str">
        <f aca="false">IF($A275="","",IFERROR(INDEX(مخرج_الوصف,MATCH($A275,قائمة_المخرجات,0)),""))</f>
        <v/>
      </c>
      <c r="D275" s="20"/>
      <c r="E275" s="31"/>
      <c r="F275" s="22"/>
      <c r="G275" s="36" t="str">
        <f aca="false">IF(OR($A275="",$D275&lt;&gt;"تسليم",NOT(ISNUMBER($E275))),"",COUNTIFS($A$5:$A$1504,$A275,$D$5:$D$1504,"تسليم",$E$5:$E$1504,"&lt;"&amp;$E275)+1)</f>
        <v/>
      </c>
      <c r="H275" s="33" t="str">
        <f aca="false">IF($G275="","",_xlfn.MINIFS($E$5:$E$1504,$A$5:$A$1504,$A275,$D$5:$D$1504,"&lt;&gt;تسليم",$E$5:$E$1504,"&gt;="&amp;$E275))</f>
        <v/>
      </c>
      <c r="I275" s="33" t="str">
        <f aca="false">IF($G275="","",_xlfn.MINIFS($E$5:$E$1504,$A$5:$A$1504,$A275,$D$5:$D$1504,"تسليم",$E$5:$E$1504,"&gt;"&amp;$E275))</f>
        <v/>
      </c>
      <c r="J275" s="33" t="str">
        <f aca="false">IF($G275="","",IF(H275&gt;0,IF(I275&gt;0,MIN(H275,I275),H275),IF(I275&gt;0,I275,تاريخ_الاحتساب)))</f>
        <v/>
      </c>
      <c r="K275" s="34" t="str">
        <f aca="false">IF($G275="","",IF(AND(H275=0,I275=0),"جارية","مغلقة"))</f>
        <v/>
      </c>
      <c r="L275" s="26" t="str">
        <f aca="false">IF($G275="","",MAX(0,NETWORKDAYS.INTL($E275,J275,رمز_العطلة,أيام_الأجازات)-1))</f>
        <v/>
      </c>
      <c r="M275" s="26" t="str">
        <f aca="false">IF($G275="","",MAX(0,L275-مهلة_المراجعة))</f>
        <v/>
      </c>
      <c r="N275" s="30" t="str">
        <f aca="false">IF($A275="",IF(OR($D275&lt;&gt;"",$E275&lt;&gt;""),"رقم المخرج ناقص",""),IF(ISNA(MATCH($A275,قائمة_المخرجات,0)),"رقم مخرج غير موجود",IF($D275="","نوع الحركة ناقص",IF(NOT(ISNUMBER($E275)),"التاريخ ناقص",IF($E275&gt;تاريخ_الاحتساب,"تاريخ بعد تاريخ الاحتساب",IF(AND($D275&lt;&gt;"تسليم",COUNTIFS($A$5:$A$1504,$A275,$D$5:$D$1504,"تسليم",$E$5:$E$1504,"&lt;="&amp;$E275)=0),"لا يوجد تسليم قبل الحركة دي",""))))))</f>
        <v/>
      </c>
    </row>
    <row r="276" customFormat="false" ht="15" hidden="false" customHeight="false" outlineLevel="0" collapsed="false">
      <c r="A276" s="20"/>
      <c r="B276" s="35" t="str">
        <f aca="false">IF($A276="","",IFERROR(INDEX(مخرج_البند,MATCH($A276,قائمة_المخرجات,0)),""))</f>
        <v/>
      </c>
      <c r="C276" s="30" t="str">
        <f aca="false">IF($A276="","",IFERROR(INDEX(مخرج_الوصف,MATCH($A276,قائمة_المخرجات,0)),""))</f>
        <v/>
      </c>
      <c r="D276" s="20"/>
      <c r="E276" s="31"/>
      <c r="F276" s="22"/>
      <c r="G276" s="36" t="str">
        <f aca="false">IF(OR($A276="",$D276&lt;&gt;"تسليم",NOT(ISNUMBER($E276))),"",COUNTIFS($A$5:$A$1504,$A276,$D$5:$D$1504,"تسليم",$E$5:$E$1504,"&lt;"&amp;$E276)+1)</f>
        <v/>
      </c>
      <c r="H276" s="33" t="str">
        <f aca="false">IF($G276="","",_xlfn.MINIFS($E$5:$E$1504,$A$5:$A$1504,$A276,$D$5:$D$1504,"&lt;&gt;تسليم",$E$5:$E$1504,"&gt;="&amp;$E276))</f>
        <v/>
      </c>
      <c r="I276" s="33" t="str">
        <f aca="false">IF($G276="","",_xlfn.MINIFS($E$5:$E$1504,$A$5:$A$1504,$A276,$D$5:$D$1504,"تسليم",$E$5:$E$1504,"&gt;"&amp;$E276))</f>
        <v/>
      </c>
      <c r="J276" s="33" t="str">
        <f aca="false">IF($G276="","",IF(H276&gt;0,IF(I276&gt;0,MIN(H276,I276),H276),IF(I276&gt;0,I276,تاريخ_الاحتساب)))</f>
        <v/>
      </c>
      <c r="K276" s="34" t="str">
        <f aca="false">IF($G276="","",IF(AND(H276=0,I276=0),"جارية","مغلقة"))</f>
        <v/>
      </c>
      <c r="L276" s="26" t="str">
        <f aca="false">IF($G276="","",MAX(0,NETWORKDAYS.INTL($E276,J276,رمز_العطلة,أيام_الأجازات)-1))</f>
        <v/>
      </c>
      <c r="M276" s="26" t="str">
        <f aca="false">IF($G276="","",MAX(0,L276-مهلة_المراجعة))</f>
        <v/>
      </c>
      <c r="N276" s="30" t="str">
        <f aca="false">IF($A276="",IF(OR($D276&lt;&gt;"",$E276&lt;&gt;""),"رقم المخرج ناقص",""),IF(ISNA(MATCH($A276,قائمة_المخرجات,0)),"رقم مخرج غير موجود",IF($D276="","نوع الحركة ناقص",IF(NOT(ISNUMBER($E276)),"التاريخ ناقص",IF($E276&gt;تاريخ_الاحتساب,"تاريخ بعد تاريخ الاحتساب",IF(AND($D276&lt;&gt;"تسليم",COUNTIFS($A$5:$A$1504,$A276,$D$5:$D$1504,"تسليم",$E$5:$E$1504,"&lt;="&amp;$E276)=0),"لا يوجد تسليم قبل الحركة دي",""))))))</f>
        <v/>
      </c>
    </row>
    <row r="277" customFormat="false" ht="15" hidden="false" customHeight="false" outlineLevel="0" collapsed="false">
      <c r="A277" s="20"/>
      <c r="B277" s="35" t="str">
        <f aca="false">IF($A277="","",IFERROR(INDEX(مخرج_البند,MATCH($A277,قائمة_المخرجات,0)),""))</f>
        <v/>
      </c>
      <c r="C277" s="30" t="str">
        <f aca="false">IF($A277="","",IFERROR(INDEX(مخرج_الوصف,MATCH($A277,قائمة_المخرجات,0)),""))</f>
        <v/>
      </c>
      <c r="D277" s="20"/>
      <c r="E277" s="31"/>
      <c r="F277" s="22"/>
      <c r="G277" s="36" t="str">
        <f aca="false">IF(OR($A277="",$D277&lt;&gt;"تسليم",NOT(ISNUMBER($E277))),"",COUNTIFS($A$5:$A$1504,$A277,$D$5:$D$1504,"تسليم",$E$5:$E$1504,"&lt;"&amp;$E277)+1)</f>
        <v/>
      </c>
      <c r="H277" s="33" t="str">
        <f aca="false">IF($G277="","",_xlfn.MINIFS($E$5:$E$1504,$A$5:$A$1504,$A277,$D$5:$D$1504,"&lt;&gt;تسليم",$E$5:$E$1504,"&gt;="&amp;$E277))</f>
        <v/>
      </c>
      <c r="I277" s="33" t="str">
        <f aca="false">IF($G277="","",_xlfn.MINIFS($E$5:$E$1504,$A$5:$A$1504,$A277,$D$5:$D$1504,"تسليم",$E$5:$E$1504,"&gt;"&amp;$E277))</f>
        <v/>
      </c>
      <c r="J277" s="33" t="str">
        <f aca="false">IF($G277="","",IF(H277&gt;0,IF(I277&gt;0,MIN(H277,I277),H277),IF(I277&gt;0,I277,تاريخ_الاحتساب)))</f>
        <v/>
      </c>
      <c r="K277" s="34" t="str">
        <f aca="false">IF($G277="","",IF(AND(H277=0,I277=0),"جارية","مغلقة"))</f>
        <v/>
      </c>
      <c r="L277" s="26" t="str">
        <f aca="false">IF($G277="","",MAX(0,NETWORKDAYS.INTL($E277,J277,رمز_العطلة,أيام_الأجازات)-1))</f>
        <v/>
      </c>
      <c r="M277" s="26" t="str">
        <f aca="false">IF($G277="","",MAX(0,L277-مهلة_المراجعة))</f>
        <v/>
      </c>
      <c r="N277" s="30" t="str">
        <f aca="false">IF($A277="",IF(OR($D277&lt;&gt;"",$E277&lt;&gt;""),"رقم المخرج ناقص",""),IF(ISNA(MATCH($A277,قائمة_المخرجات,0)),"رقم مخرج غير موجود",IF($D277="","نوع الحركة ناقص",IF(NOT(ISNUMBER($E277)),"التاريخ ناقص",IF($E277&gt;تاريخ_الاحتساب,"تاريخ بعد تاريخ الاحتساب",IF(AND($D277&lt;&gt;"تسليم",COUNTIFS($A$5:$A$1504,$A277,$D$5:$D$1504,"تسليم",$E$5:$E$1504,"&lt;="&amp;$E277)=0),"لا يوجد تسليم قبل الحركة دي",""))))))</f>
        <v/>
      </c>
    </row>
    <row r="278" customFormat="false" ht="15" hidden="false" customHeight="false" outlineLevel="0" collapsed="false">
      <c r="A278" s="20"/>
      <c r="B278" s="35" t="str">
        <f aca="false">IF($A278="","",IFERROR(INDEX(مخرج_البند,MATCH($A278,قائمة_المخرجات,0)),""))</f>
        <v/>
      </c>
      <c r="C278" s="30" t="str">
        <f aca="false">IF($A278="","",IFERROR(INDEX(مخرج_الوصف,MATCH($A278,قائمة_المخرجات,0)),""))</f>
        <v/>
      </c>
      <c r="D278" s="20"/>
      <c r="E278" s="31"/>
      <c r="F278" s="22"/>
      <c r="G278" s="36" t="str">
        <f aca="false">IF(OR($A278="",$D278&lt;&gt;"تسليم",NOT(ISNUMBER($E278))),"",COUNTIFS($A$5:$A$1504,$A278,$D$5:$D$1504,"تسليم",$E$5:$E$1504,"&lt;"&amp;$E278)+1)</f>
        <v/>
      </c>
      <c r="H278" s="33" t="str">
        <f aca="false">IF($G278="","",_xlfn.MINIFS($E$5:$E$1504,$A$5:$A$1504,$A278,$D$5:$D$1504,"&lt;&gt;تسليم",$E$5:$E$1504,"&gt;="&amp;$E278))</f>
        <v/>
      </c>
      <c r="I278" s="33" t="str">
        <f aca="false">IF($G278="","",_xlfn.MINIFS($E$5:$E$1504,$A$5:$A$1504,$A278,$D$5:$D$1504,"تسليم",$E$5:$E$1504,"&gt;"&amp;$E278))</f>
        <v/>
      </c>
      <c r="J278" s="33" t="str">
        <f aca="false">IF($G278="","",IF(H278&gt;0,IF(I278&gt;0,MIN(H278,I278),H278),IF(I278&gt;0,I278,تاريخ_الاحتساب)))</f>
        <v/>
      </c>
      <c r="K278" s="34" t="str">
        <f aca="false">IF($G278="","",IF(AND(H278=0,I278=0),"جارية","مغلقة"))</f>
        <v/>
      </c>
      <c r="L278" s="26" t="str">
        <f aca="false">IF($G278="","",MAX(0,NETWORKDAYS.INTL($E278,J278,رمز_العطلة,أيام_الأجازات)-1))</f>
        <v/>
      </c>
      <c r="M278" s="26" t="str">
        <f aca="false">IF($G278="","",MAX(0,L278-مهلة_المراجعة))</f>
        <v/>
      </c>
      <c r="N278" s="30" t="str">
        <f aca="false">IF($A278="",IF(OR($D278&lt;&gt;"",$E278&lt;&gt;""),"رقم المخرج ناقص",""),IF(ISNA(MATCH($A278,قائمة_المخرجات,0)),"رقم مخرج غير موجود",IF($D278="","نوع الحركة ناقص",IF(NOT(ISNUMBER($E278)),"التاريخ ناقص",IF($E278&gt;تاريخ_الاحتساب,"تاريخ بعد تاريخ الاحتساب",IF(AND($D278&lt;&gt;"تسليم",COUNTIFS($A$5:$A$1504,$A278,$D$5:$D$1504,"تسليم",$E$5:$E$1504,"&lt;="&amp;$E278)=0),"لا يوجد تسليم قبل الحركة دي",""))))))</f>
        <v/>
      </c>
    </row>
    <row r="279" customFormat="false" ht="15" hidden="false" customHeight="false" outlineLevel="0" collapsed="false">
      <c r="A279" s="20"/>
      <c r="B279" s="35" t="str">
        <f aca="false">IF($A279="","",IFERROR(INDEX(مخرج_البند,MATCH($A279,قائمة_المخرجات,0)),""))</f>
        <v/>
      </c>
      <c r="C279" s="30" t="str">
        <f aca="false">IF($A279="","",IFERROR(INDEX(مخرج_الوصف,MATCH($A279,قائمة_المخرجات,0)),""))</f>
        <v/>
      </c>
      <c r="D279" s="20"/>
      <c r="E279" s="31"/>
      <c r="F279" s="22"/>
      <c r="G279" s="36" t="str">
        <f aca="false">IF(OR($A279="",$D279&lt;&gt;"تسليم",NOT(ISNUMBER($E279))),"",COUNTIFS($A$5:$A$1504,$A279,$D$5:$D$1504,"تسليم",$E$5:$E$1504,"&lt;"&amp;$E279)+1)</f>
        <v/>
      </c>
      <c r="H279" s="33" t="str">
        <f aca="false">IF($G279="","",_xlfn.MINIFS($E$5:$E$1504,$A$5:$A$1504,$A279,$D$5:$D$1504,"&lt;&gt;تسليم",$E$5:$E$1504,"&gt;="&amp;$E279))</f>
        <v/>
      </c>
      <c r="I279" s="33" t="str">
        <f aca="false">IF($G279="","",_xlfn.MINIFS($E$5:$E$1504,$A$5:$A$1504,$A279,$D$5:$D$1504,"تسليم",$E$5:$E$1504,"&gt;"&amp;$E279))</f>
        <v/>
      </c>
      <c r="J279" s="33" t="str">
        <f aca="false">IF($G279="","",IF(H279&gt;0,IF(I279&gt;0,MIN(H279,I279),H279),IF(I279&gt;0,I279,تاريخ_الاحتساب)))</f>
        <v/>
      </c>
      <c r="K279" s="34" t="str">
        <f aca="false">IF($G279="","",IF(AND(H279=0,I279=0),"جارية","مغلقة"))</f>
        <v/>
      </c>
      <c r="L279" s="26" t="str">
        <f aca="false">IF($G279="","",MAX(0,NETWORKDAYS.INTL($E279,J279,رمز_العطلة,أيام_الأجازات)-1))</f>
        <v/>
      </c>
      <c r="M279" s="26" t="str">
        <f aca="false">IF($G279="","",MAX(0,L279-مهلة_المراجعة))</f>
        <v/>
      </c>
      <c r="N279" s="30" t="str">
        <f aca="false">IF($A279="",IF(OR($D279&lt;&gt;"",$E279&lt;&gt;""),"رقم المخرج ناقص",""),IF(ISNA(MATCH($A279,قائمة_المخرجات,0)),"رقم مخرج غير موجود",IF($D279="","نوع الحركة ناقص",IF(NOT(ISNUMBER($E279)),"التاريخ ناقص",IF($E279&gt;تاريخ_الاحتساب,"تاريخ بعد تاريخ الاحتساب",IF(AND($D279&lt;&gt;"تسليم",COUNTIFS($A$5:$A$1504,$A279,$D$5:$D$1504,"تسليم",$E$5:$E$1504,"&lt;="&amp;$E279)=0),"لا يوجد تسليم قبل الحركة دي",""))))))</f>
        <v/>
      </c>
    </row>
    <row r="280" customFormat="false" ht="15" hidden="false" customHeight="false" outlineLevel="0" collapsed="false">
      <c r="A280" s="20"/>
      <c r="B280" s="35" t="str">
        <f aca="false">IF($A280="","",IFERROR(INDEX(مخرج_البند,MATCH($A280,قائمة_المخرجات,0)),""))</f>
        <v/>
      </c>
      <c r="C280" s="30" t="str">
        <f aca="false">IF($A280="","",IFERROR(INDEX(مخرج_الوصف,MATCH($A280,قائمة_المخرجات,0)),""))</f>
        <v/>
      </c>
      <c r="D280" s="20"/>
      <c r="E280" s="31"/>
      <c r="F280" s="22"/>
      <c r="G280" s="36" t="str">
        <f aca="false">IF(OR($A280="",$D280&lt;&gt;"تسليم",NOT(ISNUMBER($E280))),"",COUNTIFS($A$5:$A$1504,$A280,$D$5:$D$1504,"تسليم",$E$5:$E$1504,"&lt;"&amp;$E280)+1)</f>
        <v/>
      </c>
      <c r="H280" s="33" t="str">
        <f aca="false">IF($G280="","",_xlfn.MINIFS($E$5:$E$1504,$A$5:$A$1504,$A280,$D$5:$D$1504,"&lt;&gt;تسليم",$E$5:$E$1504,"&gt;="&amp;$E280))</f>
        <v/>
      </c>
      <c r="I280" s="33" t="str">
        <f aca="false">IF($G280="","",_xlfn.MINIFS($E$5:$E$1504,$A$5:$A$1504,$A280,$D$5:$D$1504,"تسليم",$E$5:$E$1504,"&gt;"&amp;$E280))</f>
        <v/>
      </c>
      <c r="J280" s="33" t="str">
        <f aca="false">IF($G280="","",IF(H280&gt;0,IF(I280&gt;0,MIN(H280,I280),H280),IF(I280&gt;0,I280,تاريخ_الاحتساب)))</f>
        <v/>
      </c>
      <c r="K280" s="34" t="str">
        <f aca="false">IF($G280="","",IF(AND(H280=0,I280=0),"جارية","مغلقة"))</f>
        <v/>
      </c>
      <c r="L280" s="26" t="str">
        <f aca="false">IF($G280="","",MAX(0,NETWORKDAYS.INTL($E280,J280,رمز_العطلة,أيام_الأجازات)-1))</f>
        <v/>
      </c>
      <c r="M280" s="26" t="str">
        <f aca="false">IF($G280="","",MAX(0,L280-مهلة_المراجعة))</f>
        <v/>
      </c>
      <c r="N280" s="30" t="str">
        <f aca="false">IF($A280="",IF(OR($D280&lt;&gt;"",$E280&lt;&gt;""),"رقم المخرج ناقص",""),IF(ISNA(MATCH($A280,قائمة_المخرجات,0)),"رقم مخرج غير موجود",IF($D280="","نوع الحركة ناقص",IF(NOT(ISNUMBER($E280)),"التاريخ ناقص",IF($E280&gt;تاريخ_الاحتساب,"تاريخ بعد تاريخ الاحتساب",IF(AND($D280&lt;&gt;"تسليم",COUNTIFS($A$5:$A$1504,$A280,$D$5:$D$1504,"تسليم",$E$5:$E$1504,"&lt;="&amp;$E280)=0),"لا يوجد تسليم قبل الحركة دي",""))))))</f>
        <v/>
      </c>
    </row>
    <row r="281" customFormat="false" ht="15" hidden="false" customHeight="false" outlineLevel="0" collapsed="false">
      <c r="A281" s="20"/>
      <c r="B281" s="35" t="str">
        <f aca="false">IF($A281="","",IFERROR(INDEX(مخرج_البند,MATCH($A281,قائمة_المخرجات,0)),""))</f>
        <v/>
      </c>
      <c r="C281" s="30" t="str">
        <f aca="false">IF($A281="","",IFERROR(INDEX(مخرج_الوصف,MATCH($A281,قائمة_المخرجات,0)),""))</f>
        <v/>
      </c>
      <c r="D281" s="20"/>
      <c r="E281" s="31"/>
      <c r="F281" s="22"/>
      <c r="G281" s="36" t="str">
        <f aca="false">IF(OR($A281="",$D281&lt;&gt;"تسليم",NOT(ISNUMBER($E281))),"",COUNTIFS($A$5:$A$1504,$A281,$D$5:$D$1504,"تسليم",$E$5:$E$1504,"&lt;"&amp;$E281)+1)</f>
        <v/>
      </c>
      <c r="H281" s="33" t="str">
        <f aca="false">IF($G281="","",_xlfn.MINIFS($E$5:$E$1504,$A$5:$A$1504,$A281,$D$5:$D$1504,"&lt;&gt;تسليم",$E$5:$E$1504,"&gt;="&amp;$E281))</f>
        <v/>
      </c>
      <c r="I281" s="33" t="str">
        <f aca="false">IF($G281="","",_xlfn.MINIFS($E$5:$E$1504,$A$5:$A$1504,$A281,$D$5:$D$1504,"تسليم",$E$5:$E$1504,"&gt;"&amp;$E281))</f>
        <v/>
      </c>
      <c r="J281" s="33" t="str">
        <f aca="false">IF($G281="","",IF(H281&gt;0,IF(I281&gt;0,MIN(H281,I281),H281),IF(I281&gt;0,I281,تاريخ_الاحتساب)))</f>
        <v/>
      </c>
      <c r="K281" s="34" t="str">
        <f aca="false">IF($G281="","",IF(AND(H281=0,I281=0),"جارية","مغلقة"))</f>
        <v/>
      </c>
      <c r="L281" s="26" t="str">
        <f aca="false">IF($G281="","",MAX(0,NETWORKDAYS.INTL($E281,J281,رمز_العطلة,أيام_الأجازات)-1))</f>
        <v/>
      </c>
      <c r="M281" s="26" t="str">
        <f aca="false">IF($G281="","",MAX(0,L281-مهلة_المراجعة))</f>
        <v/>
      </c>
      <c r="N281" s="30" t="str">
        <f aca="false">IF($A281="",IF(OR($D281&lt;&gt;"",$E281&lt;&gt;""),"رقم المخرج ناقص",""),IF(ISNA(MATCH($A281,قائمة_المخرجات,0)),"رقم مخرج غير موجود",IF($D281="","نوع الحركة ناقص",IF(NOT(ISNUMBER($E281)),"التاريخ ناقص",IF($E281&gt;تاريخ_الاحتساب,"تاريخ بعد تاريخ الاحتساب",IF(AND($D281&lt;&gt;"تسليم",COUNTIFS($A$5:$A$1504,$A281,$D$5:$D$1504,"تسليم",$E$5:$E$1504,"&lt;="&amp;$E281)=0),"لا يوجد تسليم قبل الحركة دي",""))))))</f>
        <v/>
      </c>
    </row>
    <row r="282" customFormat="false" ht="15" hidden="false" customHeight="false" outlineLevel="0" collapsed="false">
      <c r="A282" s="20"/>
      <c r="B282" s="35" t="str">
        <f aca="false">IF($A282="","",IFERROR(INDEX(مخرج_البند,MATCH($A282,قائمة_المخرجات,0)),""))</f>
        <v/>
      </c>
      <c r="C282" s="30" t="str">
        <f aca="false">IF($A282="","",IFERROR(INDEX(مخرج_الوصف,MATCH($A282,قائمة_المخرجات,0)),""))</f>
        <v/>
      </c>
      <c r="D282" s="20"/>
      <c r="E282" s="31"/>
      <c r="F282" s="22"/>
      <c r="G282" s="36" t="str">
        <f aca="false">IF(OR($A282="",$D282&lt;&gt;"تسليم",NOT(ISNUMBER($E282))),"",COUNTIFS($A$5:$A$1504,$A282,$D$5:$D$1504,"تسليم",$E$5:$E$1504,"&lt;"&amp;$E282)+1)</f>
        <v/>
      </c>
      <c r="H282" s="33" t="str">
        <f aca="false">IF($G282="","",_xlfn.MINIFS($E$5:$E$1504,$A$5:$A$1504,$A282,$D$5:$D$1504,"&lt;&gt;تسليم",$E$5:$E$1504,"&gt;="&amp;$E282))</f>
        <v/>
      </c>
      <c r="I282" s="33" t="str">
        <f aca="false">IF($G282="","",_xlfn.MINIFS($E$5:$E$1504,$A$5:$A$1504,$A282,$D$5:$D$1504,"تسليم",$E$5:$E$1504,"&gt;"&amp;$E282))</f>
        <v/>
      </c>
      <c r="J282" s="33" t="str">
        <f aca="false">IF($G282="","",IF(H282&gt;0,IF(I282&gt;0,MIN(H282,I282),H282),IF(I282&gt;0,I282,تاريخ_الاحتساب)))</f>
        <v/>
      </c>
      <c r="K282" s="34" t="str">
        <f aca="false">IF($G282="","",IF(AND(H282=0,I282=0),"جارية","مغلقة"))</f>
        <v/>
      </c>
      <c r="L282" s="26" t="str">
        <f aca="false">IF($G282="","",MAX(0,NETWORKDAYS.INTL($E282,J282,رمز_العطلة,أيام_الأجازات)-1))</f>
        <v/>
      </c>
      <c r="M282" s="26" t="str">
        <f aca="false">IF($G282="","",MAX(0,L282-مهلة_المراجعة))</f>
        <v/>
      </c>
      <c r="N282" s="30" t="str">
        <f aca="false">IF($A282="",IF(OR($D282&lt;&gt;"",$E282&lt;&gt;""),"رقم المخرج ناقص",""),IF(ISNA(MATCH($A282,قائمة_المخرجات,0)),"رقم مخرج غير موجود",IF($D282="","نوع الحركة ناقص",IF(NOT(ISNUMBER($E282)),"التاريخ ناقص",IF($E282&gt;تاريخ_الاحتساب,"تاريخ بعد تاريخ الاحتساب",IF(AND($D282&lt;&gt;"تسليم",COUNTIFS($A$5:$A$1504,$A282,$D$5:$D$1504,"تسليم",$E$5:$E$1504,"&lt;="&amp;$E282)=0),"لا يوجد تسليم قبل الحركة دي",""))))))</f>
        <v/>
      </c>
    </row>
    <row r="283" customFormat="false" ht="15" hidden="false" customHeight="false" outlineLevel="0" collapsed="false">
      <c r="A283" s="20"/>
      <c r="B283" s="35" t="str">
        <f aca="false">IF($A283="","",IFERROR(INDEX(مخرج_البند,MATCH($A283,قائمة_المخرجات,0)),""))</f>
        <v/>
      </c>
      <c r="C283" s="30" t="str">
        <f aca="false">IF($A283="","",IFERROR(INDEX(مخرج_الوصف,MATCH($A283,قائمة_المخرجات,0)),""))</f>
        <v/>
      </c>
      <c r="D283" s="20"/>
      <c r="E283" s="31"/>
      <c r="F283" s="22"/>
      <c r="G283" s="36" t="str">
        <f aca="false">IF(OR($A283="",$D283&lt;&gt;"تسليم",NOT(ISNUMBER($E283))),"",COUNTIFS($A$5:$A$1504,$A283,$D$5:$D$1504,"تسليم",$E$5:$E$1504,"&lt;"&amp;$E283)+1)</f>
        <v/>
      </c>
      <c r="H283" s="33" t="str">
        <f aca="false">IF($G283="","",_xlfn.MINIFS($E$5:$E$1504,$A$5:$A$1504,$A283,$D$5:$D$1504,"&lt;&gt;تسليم",$E$5:$E$1504,"&gt;="&amp;$E283))</f>
        <v/>
      </c>
      <c r="I283" s="33" t="str">
        <f aca="false">IF($G283="","",_xlfn.MINIFS($E$5:$E$1504,$A$5:$A$1504,$A283,$D$5:$D$1504,"تسليم",$E$5:$E$1504,"&gt;"&amp;$E283))</f>
        <v/>
      </c>
      <c r="J283" s="33" t="str">
        <f aca="false">IF($G283="","",IF(H283&gt;0,IF(I283&gt;0,MIN(H283,I283),H283),IF(I283&gt;0,I283,تاريخ_الاحتساب)))</f>
        <v/>
      </c>
      <c r="K283" s="34" t="str">
        <f aca="false">IF($G283="","",IF(AND(H283=0,I283=0),"جارية","مغلقة"))</f>
        <v/>
      </c>
      <c r="L283" s="26" t="str">
        <f aca="false">IF($G283="","",MAX(0,NETWORKDAYS.INTL($E283,J283,رمز_العطلة,أيام_الأجازات)-1))</f>
        <v/>
      </c>
      <c r="M283" s="26" t="str">
        <f aca="false">IF($G283="","",MAX(0,L283-مهلة_المراجعة))</f>
        <v/>
      </c>
      <c r="N283" s="30" t="str">
        <f aca="false">IF($A283="",IF(OR($D283&lt;&gt;"",$E283&lt;&gt;""),"رقم المخرج ناقص",""),IF(ISNA(MATCH($A283,قائمة_المخرجات,0)),"رقم مخرج غير موجود",IF($D283="","نوع الحركة ناقص",IF(NOT(ISNUMBER($E283)),"التاريخ ناقص",IF($E283&gt;تاريخ_الاحتساب,"تاريخ بعد تاريخ الاحتساب",IF(AND($D283&lt;&gt;"تسليم",COUNTIFS($A$5:$A$1504,$A283,$D$5:$D$1504,"تسليم",$E$5:$E$1504,"&lt;="&amp;$E283)=0),"لا يوجد تسليم قبل الحركة دي",""))))))</f>
        <v/>
      </c>
    </row>
    <row r="284" customFormat="false" ht="15" hidden="false" customHeight="false" outlineLevel="0" collapsed="false">
      <c r="A284" s="20"/>
      <c r="B284" s="35" t="str">
        <f aca="false">IF($A284="","",IFERROR(INDEX(مخرج_البند,MATCH($A284,قائمة_المخرجات,0)),""))</f>
        <v/>
      </c>
      <c r="C284" s="30" t="str">
        <f aca="false">IF($A284="","",IFERROR(INDEX(مخرج_الوصف,MATCH($A284,قائمة_المخرجات,0)),""))</f>
        <v/>
      </c>
      <c r="D284" s="20"/>
      <c r="E284" s="31"/>
      <c r="F284" s="22"/>
      <c r="G284" s="36" t="str">
        <f aca="false">IF(OR($A284="",$D284&lt;&gt;"تسليم",NOT(ISNUMBER($E284))),"",COUNTIFS($A$5:$A$1504,$A284,$D$5:$D$1504,"تسليم",$E$5:$E$1504,"&lt;"&amp;$E284)+1)</f>
        <v/>
      </c>
      <c r="H284" s="33" t="str">
        <f aca="false">IF($G284="","",_xlfn.MINIFS($E$5:$E$1504,$A$5:$A$1504,$A284,$D$5:$D$1504,"&lt;&gt;تسليم",$E$5:$E$1504,"&gt;="&amp;$E284))</f>
        <v/>
      </c>
      <c r="I284" s="33" t="str">
        <f aca="false">IF($G284="","",_xlfn.MINIFS($E$5:$E$1504,$A$5:$A$1504,$A284,$D$5:$D$1504,"تسليم",$E$5:$E$1504,"&gt;"&amp;$E284))</f>
        <v/>
      </c>
      <c r="J284" s="33" t="str">
        <f aca="false">IF($G284="","",IF(H284&gt;0,IF(I284&gt;0,MIN(H284,I284),H284),IF(I284&gt;0,I284,تاريخ_الاحتساب)))</f>
        <v/>
      </c>
      <c r="K284" s="34" t="str">
        <f aca="false">IF($G284="","",IF(AND(H284=0,I284=0),"جارية","مغلقة"))</f>
        <v/>
      </c>
      <c r="L284" s="26" t="str">
        <f aca="false">IF($G284="","",MAX(0,NETWORKDAYS.INTL($E284,J284,رمز_العطلة,أيام_الأجازات)-1))</f>
        <v/>
      </c>
      <c r="M284" s="26" t="str">
        <f aca="false">IF($G284="","",MAX(0,L284-مهلة_المراجعة))</f>
        <v/>
      </c>
      <c r="N284" s="30" t="str">
        <f aca="false">IF($A284="",IF(OR($D284&lt;&gt;"",$E284&lt;&gt;""),"رقم المخرج ناقص",""),IF(ISNA(MATCH($A284,قائمة_المخرجات,0)),"رقم مخرج غير موجود",IF($D284="","نوع الحركة ناقص",IF(NOT(ISNUMBER($E284)),"التاريخ ناقص",IF($E284&gt;تاريخ_الاحتساب,"تاريخ بعد تاريخ الاحتساب",IF(AND($D284&lt;&gt;"تسليم",COUNTIFS($A$5:$A$1504,$A284,$D$5:$D$1504,"تسليم",$E$5:$E$1504,"&lt;="&amp;$E284)=0),"لا يوجد تسليم قبل الحركة دي",""))))))</f>
        <v/>
      </c>
    </row>
    <row r="285" customFormat="false" ht="15" hidden="false" customHeight="false" outlineLevel="0" collapsed="false">
      <c r="A285" s="20"/>
      <c r="B285" s="35" t="str">
        <f aca="false">IF($A285="","",IFERROR(INDEX(مخرج_البند,MATCH($A285,قائمة_المخرجات,0)),""))</f>
        <v/>
      </c>
      <c r="C285" s="30" t="str">
        <f aca="false">IF($A285="","",IFERROR(INDEX(مخرج_الوصف,MATCH($A285,قائمة_المخرجات,0)),""))</f>
        <v/>
      </c>
      <c r="D285" s="20"/>
      <c r="E285" s="31"/>
      <c r="F285" s="22"/>
      <c r="G285" s="36" t="str">
        <f aca="false">IF(OR($A285="",$D285&lt;&gt;"تسليم",NOT(ISNUMBER($E285))),"",COUNTIFS($A$5:$A$1504,$A285,$D$5:$D$1504,"تسليم",$E$5:$E$1504,"&lt;"&amp;$E285)+1)</f>
        <v/>
      </c>
      <c r="H285" s="33" t="str">
        <f aca="false">IF($G285="","",_xlfn.MINIFS($E$5:$E$1504,$A$5:$A$1504,$A285,$D$5:$D$1504,"&lt;&gt;تسليم",$E$5:$E$1504,"&gt;="&amp;$E285))</f>
        <v/>
      </c>
      <c r="I285" s="33" t="str">
        <f aca="false">IF($G285="","",_xlfn.MINIFS($E$5:$E$1504,$A$5:$A$1504,$A285,$D$5:$D$1504,"تسليم",$E$5:$E$1504,"&gt;"&amp;$E285))</f>
        <v/>
      </c>
      <c r="J285" s="33" t="str">
        <f aca="false">IF($G285="","",IF(H285&gt;0,IF(I285&gt;0,MIN(H285,I285),H285),IF(I285&gt;0,I285,تاريخ_الاحتساب)))</f>
        <v/>
      </c>
      <c r="K285" s="34" t="str">
        <f aca="false">IF($G285="","",IF(AND(H285=0,I285=0),"جارية","مغلقة"))</f>
        <v/>
      </c>
      <c r="L285" s="26" t="str">
        <f aca="false">IF($G285="","",MAX(0,NETWORKDAYS.INTL($E285,J285,رمز_العطلة,أيام_الأجازات)-1))</f>
        <v/>
      </c>
      <c r="M285" s="26" t="str">
        <f aca="false">IF($G285="","",MAX(0,L285-مهلة_المراجعة))</f>
        <v/>
      </c>
      <c r="N285" s="30" t="str">
        <f aca="false">IF($A285="",IF(OR($D285&lt;&gt;"",$E285&lt;&gt;""),"رقم المخرج ناقص",""),IF(ISNA(MATCH($A285,قائمة_المخرجات,0)),"رقم مخرج غير موجود",IF($D285="","نوع الحركة ناقص",IF(NOT(ISNUMBER($E285)),"التاريخ ناقص",IF($E285&gt;تاريخ_الاحتساب,"تاريخ بعد تاريخ الاحتساب",IF(AND($D285&lt;&gt;"تسليم",COUNTIFS($A$5:$A$1504,$A285,$D$5:$D$1504,"تسليم",$E$5:$E$1504,"&lt;="&amp;$E285)=0),"لا يوجد تسليم قبل الحركة دي",""))))))</f>
        <v/>
      </c>
    </row>
    <row r="286" customFormat="false" ht="15" hidden="false" customHeight="false" outlineLevel="0" collapsed="false">
      <c r="A286" s="20"/>
      <c r="B286" s="35" t="str">
        <f aca="false">IF($A286="","",IFERROR(INDEX(مخرج_البند,MATCH($A286,قائمة_المخرجات,0)),""))</f>
        <v/>
      </c>
      <c r="C286" s="30" t="str">
        <f aca="false">IF($A286="","",IFERROR(INDEX(مخرج_الوصف,MATCH($A286,قائمة_المخرجات,0)),""))</f>
        <v/>
      </c>
      <c r="D286" s="20"/>
      <c r="E286" s="31"/>
      <c r="F286" s="22"/>
      <c r="G286" s="36" t="str">
        <f aca="false">IF(OR($A286="",$D286&lt;&gt;"تسليم",NOT(ISNUMBER($E286))),"",COUNTIFS($A$5:$A$1504,$A286,$D$5:$D$1504,"تسليم",$E$5:$E$1504,"&lt;"&amp;$E286)+1)</f>
        <v/>
      </c>
      <c r="H286" s="33" t="str">
        <f aca="false">IF($G286="","",_xlfn.MINIFS($E$5:$E$1504,$A$5:$A$1504,$A286,$D$5:$D$1504,"&lt;&gt;تسليم",$E$5:$E$1504,"&gt;="&amp;$E286))</f>
        <v/>
      </c>
      <c r="I286" s="33" t="str">
        <f aca="false">IF($G286="","",_xlfn.MINIFS($E$5:$E$1504,$A$5:$A$1504,$A286,$D$5:$D$1504,"تسليم",$E$5:$E$1504,"&gt;"&amp;$E286))</f>
        <v/>
      </c>
      <c r="J286" s="33" t="str">
        <f aca="false">IF($G286="","",IF(H286&gt;0,IF(I286&gt;0,MIN(H286,I286),H286),IF(I286&gt;0,I286,تاريخ_الاحتساب)))</f>
        <v/>
      </c>
      <c r="K286" s="34" t="str">
        <f aca="false">IF($G286="","",IF(AND(H286=0,I286=0),"جارية","مغلقة"))</f>
        <v/>
      </c>
      <c r="L286" s="26" t="str">
        <f aca="false">IF($G286="","",MAX(0,NETWORKDAYS.INTL($E286,J286,رمز_العطلة,أيام_الأجازات)-1))</f>
        <v/>
      </c>
      <c r="M286" s="26" t="str">
        <f aca="false">IF($G286="","",MAX(0,L286-مهلة_المراجعة))</f>
        <v/>
      </c>
      <c r="N286" s="30" t="str">
        <f aca="false">IF($A286="",IF(OR($D286&lt;&gt;"",$E286&lt;&gt;""),"رقم المخرج ناقص",""),IF(ISNA(MATCH($A286,قائمة_المخرجات,0)),"رقم مخرج غير موجود",IF($D286="","نوع الحركة ناقص",IF(NOT(ISNUMBER($E286)),"التاريخ ناقص",IF($E286&gt;تاريخ_الاحتساب,"تاريخ بعد تاريخ الاحتساب",IF(AND($D286&lt;&gt;"تسليم",COUNTIFS($A$5:$A$1504,$A286,$D$5:$D$1504,"تسليم",$E$5:$E$1504,"&lt;="&amp;$E286)=0),"لا يوجد تسليم قبل الحركة دي",""))))))</f>
        <v/>
      </c>
    </row>
    <row r="287" customFormat="false" ht="15" hidden="false" customHeight="false" outlineLevel="0" collapsed="false">
      <c r="A287" s="20"/>
      <c r="B287" s="35" t="str">
        <f aca="false">IF($A287="","",IFERROR(INDEX(مخرج_البند,MATCH($A287,قائمة_المخرجات,0)),""))</f>
        <v/>
      </c>
      <c r="C287" s="30" t="str">
        <f aca="false">IF($A287="","",IFERROR(INDEX(مخرج_الوصف,MATCH($A287,قائمة_المخرجات,0)),""))</f>
        <v/>
      </c>
      <c r="D287" s="20"/>
      <c r="E287" s="31"/>
      <c r="F287" s="22"/>
      <c r="G287" s="36" t="str">
        <f aca="false">IF(OR($A287="",$D287&lt;&gt;"تسليم",NOT(ISNUMBER($E287))),"",COUNTIFS($A$5:$A$1504,$A287,$D$5:$D$1504,"تسليم",$E$5:$E$1504,"&lt;"&amp;$E287)+1)</f>
        <v/>
      </c>
      <c r="H287" s="33" t="str">
        <f aca="false">IF($G287="","",_xlfn.MINIFS($E$5:$E$1504,$A$5:$A$1504,$A287,$D$5:$D$1504,"&lt;&gt;تسليم",$E$5:$E$1504,"&gt;="&amp;$E287))</f>
        <v/>
      </c>
      <c r="I287" s="33" t="str">
        <f aca="false">IF($G287="","",_xlfn.MINIFS($E$5:$E$1504,$A$5:$A$1504,$A287,$D$5:$D$1504,"تسليم",$E$5:$E$1504,"&gt;"&amp;$E287))</f>
        <v/>
      </c>
      <c r="J287" s="33" t="str">
        <f aca="false">IF($G287="","",IF(H287&gt;0,IF(I287&gt;0,MIN(H287,I287),H287),IF(I287&gt;0,I287,تاريخ_الاحتساب)))</f>
        <v/>
      </c>
      <c r="K287" s="34" t="str">
        <f aca="false">IF($G287="","",IF(AND(H287=0,I287=0),"جارية","مغلقة"))</f>
        <v/>
      </c>
      <c r="L287" s="26" t="str">
        <f aca="false">IF($G287="","",MAX(0,NETWORKDAYS.INTL($E287,J287,رمز_العطلة,أيام_الأجازات)-1))</f>
        <v/>
      </c>
      <c r="M287" s="26" t="str">
        <f aca="false">IF($G287="","",MAX(0,L287-مهلة_المراجعة))</f>
        <v/>
      </c>
      <c r="N287" s="30" t="str">
        <f aca="false">IF($A287="",IF(OR($D287&lt;&gt;"",$E287&lt;&gt;""),"رقم المخرج ناقص",""),IF(ISNA(MATCH($A287,قائمة_المخرجات,0)),"رقم مخرج غير موجود",IF($D287="","نوع الحركة ناقص",IF(NOT(ISNUMBER($E287)),"التاريخ ناقص",IF($E287&gt;تاريخ_الاحتساب,"تاريخ بعد تاريخ الاحتساب",IF(AND($D287&lt;&gt;"تسليم",COUNTIFS($A$5:$A$1504,$A287,$D$5:$D$1504,"تسليم",$E$5:$E$1504,"&lt;="&amp;$E287)=0),"لا يوجد تسليم قبل الحركة دي",""))))))</f>
        <v/>
      </c>
    </row>
    <row r="288" customFormat="false" ht="15" hidden="false" customHeight="false" outlineLevel="0" collapsed="false">
      <c r="A288" s="20"/>
      <c r="B288" s="35" t="str">
        <f aca="false">IF($A288="","",IFERROR(INDEX(مخرج_البند,MATCH($A288,قائمة_المخرجات,0)),""))</f>
        <v/>
      </c>
      <c r="C288" s="30" t="str">
        <f aca="false">IF($A288="","",IFERROR(INDEX(مخرج_الوصف,MATCH($A288,قائمة_المخرجات,0)),""))</f>
        <v/>
      </c>
      <c r="D288" s="20"/>
      <c r="E288" s="31"/>
      <c r="F288" s="22"/>
      <c r="G288" s="36" t="str">
        <f aca="false">IF(OR($A288="",$D288&lt;&gt;"تسليم",NOT(ISNUMBER($E288))),"",COUNTIFS($A$5:$A$1504,$A288,$D$5:$D$1504,"تسليم",$E$5:$E$1504,"&lt;"&amp;$E288)+1)</f>
        <v/>
      </c>
      <c r="H288" s="33" t="str">
        <f aca="false">IF($G288="","",_xlfn.MINIFS($E$5:$E$1504,$A$5:$A$1504,$A288,$D$5:$D$1504,"&lt;&gt;تسليم",$E$5:$E$1504,"&gt;="&amp;$E288))</f>
        <v/>
      </c>
      <c r="I288" s="33" t="str">
        <f aca="false">IF($G288="","",_xlfn.MINIFS($E$5:$E$1504,$A$5:$A$1504,$A288,$D$5:$D$1504,"تسليم",$E$5:$E$1504,"&gt;"&amp;$E288))</f>
        <v/>
      </c>
      <c r="J288" s="33" t="str">
        <f aca="false">IF($G288="","",IF(H288&gt;0,IF(I288&gt;0,MIN(H288,I288),H288),IF(I288&gt;0,I288,تاريخ_الاحتساب)))</f>
        <v/>
      </c>
      <c r="K288" s="34" t="str">
        <f aca="false">IF($G288="","",IF(AND(H288=0,I288=0),"جارية","مغلقة"))</f>
        <v/>
      </c>
      <c r="L288" s="26" t="str">
        <f aca="false">IF($G288="","",MAX(0,NETWORKDAYS.INTL($E288,J288,رمز_العطلة,أيام_الأجازات)-1))</f>
        <v/>
      </c>
      <c r="M288" s="26" t="str">
        <f aca="false">IF($G288="","",MAX(0,L288-مهلة_المراجعة))</f>
        <v/>
      </c>
      <c r="N288" s="30" t="str">
        <f aca="false">IF($A288="",IF(OR($D288&lt;&gt;"",$E288&lt;&gt;""),"رقم المخرج ناقص",""),IF(ISNA(MATCH($A288,قائمة_المخرجات,0)),"رقم مخرج غير موجود",IF($D288="","نوع الحركة ناقص",IF(NOT(ISNUMBER($E288)),"التاريخ ناقص",IF($E288&gt;تاريخ_الاحتساب,"تاريخ بعد تاريخ الاحتساب",IF(AND($D288&lt;&gt;"تسليم",COUNTIFS($A$5:$A$1504,$A288,$D$5:$D$1504,"تسليم",$E$5:$E$1504,"&lt;="&amp;$E288)=0),"لا يوجد تسليم قبل الحركة دي",""))))))</f>
        <v/>
      </c>
    </row>
    <row r="289" customFormat="false" ht="15" hidden="false" customHeight="false" outlineLevel="0" collapsed="false">
      <c r="A289" s="20"/>
      <c r="B289" s="35" t="str">
        <f aca="false">IF($A289="","",IFERROR(INDEX(مخرج_البند,MATCH($A289,قائمة_المخرجات,0)),""))</f>
        <v/>
      </c>
      <c r="C289" s="30" t="str">
        <f aca="false">IF($A289="","",IFERROR(INDEX(مخرج_الوصف,MATCH($A289,قائمة_المخرجات,0)),""))</f>
        <v/>
      </c>
      <c r="D289" s="20"/>
      <c r="E289" s="31"/>
      <c r="F289" s="22"/>
      <c r="G289" s="36" t="str">
        <f aca="false">IF(OR($A289="",$D289&lt;&gt;"تسليم",NOT(ISNUMBER($E289))),"",COUNTIFS($A$5:$A$1504,$A289,$D$5:$D$1504,"تسليم",$E$5:$E$1504,"&lt;"&amp;$E289)+1)</f>
        <v/>
      </c>
      <c r="H289" s="33" t="str">
        <f aca="false">IF($G289="","",_xlfn.MINIFS($E$5:$E$1504,$A$5:$A$1504,$A289,$D$5:$D$1504,"&lt;&gt;تسليم",$E$5:$E$1504,"&gt;="&amp;$E289))</f>
        <v/>
      </c>
      <c r="I289" s="33" t="str">
        <f aca="false">IF($G289="","",_xlfn.MINIFS($E$5:$E$1504,$A$5:$A$1504,$A289,$D$5:$D$1504,"تسليم",$E$5:$E$1504,"&gt;"&amp;$E289))</f>
        <v/>
      </c>
      <c r="J289" s="33" t="str">
        <f aca="false">IF($G289="","",IF(H289&gt;0,IF(I289&gt;0,MIN(H289,I289),H289),IF(I289&gt;0,I289,تاريخ_الاحتساب)))</f>
        <v/>
      </c>
      <c r="K289" s="34" t="str">
        <f aca="false">IF($G289="","",IF(AND(H289=0,I289=0),"جارية","مغلقة"))</f>
        <v/>
      </c>
      <c r="L289" s="26" t="str">
        <f aca="false">IF($G289="","",MAX(0,NETWORKDAYS.INTL($E289,J289,رمز_العطلة,أيام_الأجازات)-1))</f>
        <v/>
      </c>
      <c r="M289" s="26" t="str">
        <f aca="false">IF($G289="","",MAX(0,L289-مهلة_المراجعة))</f>
        <v/>
      </c>
      <c r="N289" s="30" t="str">
        <f aca="false">IF($A289="",IF(OR($D289&lt;&gt;"",$E289&lt;&gt;""),"رقم المخرج ناقص",""),IF(ISNA(MATCH($A289,قائمة_المخرجات,0)),"رقم مخرج غير موجود",IF($D289="","نوع الحركة ناقص",IF(NOT(ISNUMBER($E289)),"التاريخ ناقص",IF($E289&gt;تاريخ_الاحتساب,"تاريخ بعد تاريخ الاحتساب",IF(AND($D289&lt;&gt;"تسليم",COUNTIFS($A$5:$A$1504,$A289,$D$5:$D$1504,"تسليم",$E$5:$E$1504,"&lt;="&amp;$E289)=0),"لا يوجد تسليم قبل الحركة دي",""))))))</f>
        <v/>
      </c>
    </row>
    <row r="290" customFormat="false" ht="15" hidden="false" customHeight="false" outlineLevel="0" collapsed="false">
      <c r="A290" s="20"/>
      <c r="B290" s="35" t="str">
        <f aca="false">IF($A290="","",IFERROR(INDEX(مخرج_البند,MATCH($A290,قائمة_المخرجات,0)),""))</f>
        <v/>
      </c>
      <c r="C290" s="30" t="str">
        <f aca="false">IF($A290="","",IFERROR(INDEX(مخرج_الوصف,MATCH($A290,قائمة_المخرجات,0)),""))</f>
        <v/>
      </c>
      <c r="D290" s="20"/>
      <c r="E290" s="31"/>
      <c r="F290" s="22"/>
      <c r="G290" s="36" t="str">
        <f aca="false">IF(OR($A290="",$D290&lt;&gt;"تسليم",NOT(ISNUMBER($E290))),"",COUNTIFS($A$5:$A$1504,$A290,$D$5:$D$1504,"تسليم",$E$5:$E$1504,"&lt;"&amp;$E290)+1)</f>
        <v/>
      </c>
      <c r="H290" s="33" t="str">
        <f aca="false">IF($G290="","",_xlfn.MINIFS($E$5:$E$1504,$A$5:$A$1504,$A290,$D$5:$D$1504,"&lt;&gt;تسليم",$E$5:$E$1504,"&gt;="&amp;$E290))</f>
        <v/>
      </c>
      <c r="I290" s="33" t="str">
        <f aca="false">IF($G290="","",_xlfn.MINIFS($E$5:$E$1504,$A$5:$A$1504,$A290,$D$5:$D$1504,"تسليم",$E$5:$E$1504,"&gt;"&amp;$E290))</f>
        <v/>
      </c>
      <c r="J290" s="33" t="str">
        <f aca="false">IF($G290="","",IF(H290&gt;0,IF(I290&gt;0,MIN(H290,I290),H290),IF(I290&gt;0,I290,تاريخ_الاحتساب)))</f>
        <v/>
      </c>
      <c r="K290" s="34" t="str">
        <f aca="false">IF($G290="","",IF(AND(H290=0,I290=0),"جارية","مغلقة"))</f>
        <v/>
      </c>
      <c r="L290" s="26" t="str">
        <f aca="false">IF($G290="","",MAX(0,NETWORKDAYS.INTL($E290,J290,رمز_العطلة,أيام_الأجازات)-1))</f>
        <v/>
      </c>
      <c r="M290" s="26" t="str">
        <f aca="false">IF($G290="","",MAX(0,L290-مهلة_المراجعة))</f>
        <v/>
      </c>
      <c r="N290" s="30" t="str">
        <f aca="false">IF($A290="",IF(OR($D290&lt;&gt;"",$E290&lt;&gt;""),"رقم المخرج ناقص",""),IF(ISNA(MATCH($A290,قائمة_المخرجات,0)),"رقم مخرج غير موجود",IF($D290="","نوع الحركة ناقص",IF(NOT(ISNUMBER($E290)),"التاريخ ناقص",IF($E290&gt;تاريخ_الاحتساب,"تاريخ بعد تاريخ الاحتساب",IF(AND($D290&lt;&gt;"تسليم",COUNTIFS($A$5:$A$1504,$A290,$D$5:$D$1504,"تسليم",$E$5:$E$1504,"&lt;="&amp;$E290)=0),"لا يوجد تسليم قبل الحركة دي",""))))))</f>
        <v/>
      </c>
    </row>
    <row r="291" customFormat="false" ht="15" hidden="false" customHeight="false" outlineLevel="0" collapsed="false">
      <c r="A291" s="20"/>
      <c r="B291" s="35" t="str">
        <f aca="false">IF($A291="","",IFERROR(INDEX(مخرج_البند,MATCH($A291,قائمة_المخرجات,0)),""))</f>
        <v/>
      </c>
      <c r="C291" s="30" t="str">
        <f aca="false">IF($A291="","",IFERROR(INDEX(مخرج_الوصف,MATCH($A291,قائمة_المخرجات,0)),""))</f>
        <v/>
      </c>
      <c r="D291" s="20"/>
      <c r="E291" s="31"/>
      <c r="F291" s="22"/>
      <c r="G291" s="36" t="str">
        <f aca="false">IF(OR($A291="",$D291&lt;&gt;"تسليم",NOT(ISNUMBER($E291))),"",COUNTIFS($A$5:$A$1504,$A291,$D$5:$D$1504,"تسليم",$E$5:$E$1504,"&lt;"&amp;$E291)+1)</f>
        <v/>
      </c>
      <c r="H291" s="33" t="str">
        <f aca="false">IF($G291="","",_xlfn.MINIFS($E$5:$E$1504,$A$5:$A$1504,$A291,$D$5:$D$1504,"&lt;&gt;تسليم",$E$5:$E$1504,"&gt;="&amp;$E291))</f>
        <v/>
      </c>
      <c r="I291" s="33" t="str">
        <f aca="false">IF($G291="","",_xlfn.MINIFS($E$5:$E$1504,$A$5:$A$1504,$A291,$D$5:$D$1504,"تسليم",$E$5:$E$1504,"&gt;"&amp;$E291))</f>
        <v/>
      </c>
      <c r="J291" s="33" t="str">
        <f aca="false">IF($G291="","",IF(H291&gt;0,IF(I291&gt;0,MIN(H291,I291),H291),IF(I291&gt;0,I291,تاريخ_الاحتساب)))</f>
        <v/>
      </c>
      <c r="K291" s="34" t="str">
        <f aca="false">IF($G291="","",IF(AND(H291=0,I291=0),"جارية","مغلقة"))</f>
        <v/>
      </c>
      <c r="L291" s="26" t="str">
        <f aca="false">IF($G291="","",MAX(0,NETWORKDAYS.INTL($E291,J291,رمز_العطلة,أيام_الأجازات)-1))</f>
        <v/>
      </c>
      <c r="M291" s="26" t="str">
        <f aca="false">IF($G291="","",MAX(0,L291-مهلة_المراجعة))</f>
        <v/>
      </c>
      <c r="N291" s="30" t="str">
        <f aca="false">IF($A291="",IF(OR($D291&lt;&gt;"",$E291&lt;&gt;""),"رقم المخرج ناقص",""),IF(ISNA(MATCH($A291,قائمة_المخرجات,0)),"رقم مخرج غير موجود",IF($D291="","نوع الحركة ناقص",IF(NOT(ISNUMBER($E291)),"التاريخ ناقص",IF($E291&gt;تاريخ_الاحتساب,"تاريخ بعد تاريخ الاحتساب",IF(AND($D291&lt;&gt;"تسليم",COUNTIFS($A$5:$A$1504,$A291,$D$5:$D$1504,"تسليم",$E$5:$E$1504,"&lt;="&amp;$E291)=0),"لا يوجد تسليم قبل الحركة دي",""))))))</f>
        <v/>
      </c>
    </row>
    <row r="292" customFormat="false" ht="15" hidden="false" customHeight="false" outlineLevel="0" collapsed="false">
      <c r="A292" s="20"/>
      <c r="B292" s="35" t="str">
        <f aca="false">IF($A292="","",IFERROR(INDEX(مخرج_البند,MATCH($A292,قائمة_المخرجات,0)),""))</f>
        <v/>
      </c>
      <c r="C292" s="30" t="str">
        <f aca="false">IF($A292="","",IFERROR(INDEX(مخرج_الوصف,MATCH($A292,قائمة_المخرجات,0)),""))</f>
        <v/>
      </c>
      <c r="D292" s="20"/>
      <c r="E292" s="31"/>
      <c r="F292" s="22"/>
      <c r="G292" s="36" t="str">
        <f aca="false">IF(OR($A292="",$D292&lt;&gt;"تسليم",NOT(ISNUMBER($E292))),"",COUNTIFS($A$5:$A$1504,$A292,$D$5:$D$1504,"تسليم",$E$5:$E$1504,"&lt;"&amp;$E292)+1)</f>
        <v/>
      </c>
      <c r="H292" s="33" t="str">
        <f aca="false">IF($G292="","",_xlfn.MINIFS($E$5:$E$1504,$A$5:$A$1504,$A292,$D$5:$D$1504,"&lt;&gt;تسليم",$E$5:$E$1504,"&gt;="&amp;$E292))</f>
        <v/>
      </c>
      <c r="I292" s="33" t="str">
        <f aca="false">IF($G292="","",_xlfn.MINIFS($E$5:$E$1504,$A$5:$A$1504,$A292,$D$5:$D$1504,"تسليم",$E$5:$E$1504,"&gt;"&amp;$E292))</f>
        <v/>
      </c>
      <c r="J292" s="33" t="str">
        <f aca="false">IF($G292="","",IF(H292&gt;0,IF(I292&gt;0,MIN(H292,I292),H292),IF(I292&gt;0,I292,تاريخ_الاحتساب)))</f>
        <v/>
      </c>
      <c r="K292" s="34" t="str">
        <f aca="false">IF($G292="","",IF(AND(H292=0,I292=0),"جارية","مغلقة"))</f>
        <v/>
      </c>
      <c r="L292" s="26" t="str">
        <f aca="false">IF($G292="","",MAX(0,NETWORKDAYS.INTL($E292,J292,رمز_العطلة,أيام_الأجازات)-1))</f>
        <v/>
      </c>
      <c r="M292" s="26" t="str">
        <f aca="false">IF($G292="","",MAX(0,L292-مهلة_المراجعة))</f>
        <v/>
      </c>
      <c r="N292" s="30" t="str">
        <f aca="false">IF($A292="",IF(OR($D292&lt;&gt;"",$E292&lt;&gt;""),"رقم المخرج ناقص",""),IF(ISNA(MATCH($A292,قائمة_المخرجات,0)),"رقم مخرج غير موجود",IF($D292="","نوع الحركة ناقص",IF(NOT(ISNUMBER($E292)),"التاريخ ناقص",IF($E292&gt;تاريخ_الاحتساب,"تاريخ بعد تاريخ الاحتساب",IF(AND($D292&lt;&gt;"تسليم",COUNTIFS($A$5:$A$1504,$A292,$D$5:$D$1504,"تسليم",$E$5:$E$1504,"&lt;="&amp;$E292)=0),"لا يوجد تسليم قبل الحركة دي",""))))))</f>
        <v/>
      </c>
    </row>
    <row r="293" customFormat="false" ht="15" hidden="false" customHeight="false" outlineLevel="0" collapsed="false">
      <c r="A293" s="20"/>
      <c r="B293" s="35" t="str">
        <f aca="false">IF($A293="","",IFERROR(INDEX(مخرج_البند,MATCH($A293,قائمة_المخرجات,0)),""))</f>
        <v/>
      </c>
      <c r="C293" s="30" t="str">
        <f aca="false">IF($A293="","",IFERROR(INDEX(مخرج_الوصف,MATCH($A293,قائمة_المخرجات,0)),""))</f>
        <v/>
      </c>
      <c r="D293" s="20"/>
      <c r="E293" s="31"/>
      <c r="F293" s="22"/>
      <c r="G293" s="36" t="str">
        <f aca="false">IF(OR($A293="",$D293&lt;&gt;"تسليم",NOT(ISNUMBER($E293))),"",COUNTIFS($A$5:$A$1504,$A293,$D$5:$D$1504,"تسليم",$E$5:$E$1504,"&lt;"&amp;$E293)+1)</f>
        <v/>
      </c>
      <c r="H293" s="33" t="str">
        <f aca="false">IF($G293="","",_xlfn.MINIFS($E$5:$E$1504,$A$5:$A$1504,$A293,$D$5:$D$1504,"&lt;&gt;تسليم",$E$5:$E$1504,"&gt;="&amp;$E293))</f>
        <v/>
      </c>
      <c r="I293" s="33" t="str">
        <f aca="false">IF($G293="","",_xlfn.MINIFS($E$5:$E$1504,$A$5:$A$1504,$A293,$D$5:$D$1504,"تسليم",$E$5:$E$1504,"&gt;"&amp;$E293))</f>
        <v/>
      </c>
      <c r="J293" s="33" t="str">
        <f aca="false">IF($G293="","",IF(H293&gt;0,IF(I293&gt;0,MIN(H293,I293),H293),IF(I293&gt;0,I293,تاريخ_الاحتساب)))</f>
        <v/>
      </c>
      <c r="K293" s="34" t="str">
        <f aca="false">IF($G293="","",IF(AND(H293=0,I293=0),"جارية","مغلقة"))</f>
        <v/>
      </c>
      <c r="L293" s="26" t="str">
        <f aca="false">IF($G293="","",MAX(0,NETWORKDAYS.INTL($E293,J293,رمز_العطلة,أيام_الأجازات)-1))</f>
        <v/>
      </c>
      <c r="M293" s="26" t="str">
        <f aca="false">IF($G293="","",MAX(0,L293-مهلة_المراجعة))</f>
        <v/>
      </c>
      <c r="N293" s="30" t="str">
        <f aca="false">IF($A293="",IF(OR($D293&lt;&gt;"",$E293&lt;&gt;""),"رقم المخرج ناقص",""),IF(ISNA(MATCH($A293,قائمة_المخرجات,0)),"رقم مخرج غير موجود",IF($D293="","نوع الحركة ناقص",IF(NOT(ISNUMBER($E293)),"التاريخ ناقص",IF($E293&gt;تاريخ_الاحتساب,"تاريخ بعد تاريخ الاحتساب",IF(AND($D293&lt;&gt;"تسليم",COUNTIFS($A$5:$A$1504,$A293,$D$5:$D$1504,"تسليم",$E$5:$E$1504,"&lt;="&amp;$E293)=0),"لا يوجد تسليم قبل الحركة دي",""))))))</f>
        <v/>
      </c>
    </row>
    <row r="294" customFormat="false" ht="15" hidden="false" customHeight="false" outlineLevel="0" collapsed="false">
      <c r="A294" s="20"/>
      <c r="B294" s="35" t="str">
        <f aca="false">IF($A294="","",IFERROR(INDEX(مخرج_البند,MATCH($A294,قائمة_المخرجات,0)),""))</f>
        <v/>
      </c>
      <c r="C294" s="30" t="str">
        <f aca="false">IF($A294="","",IFERROR(INDEX(مخرج_الوصف,MATCH($A294,قائمة_المخرجات,0)),""))</f>
        <v/>
      </c>
      <c r="D294" s="20"/>
      <c r="E294" s="31"/>
      <c r="F294" s="22"/>
      <c r="G294" s="36" t="str">
        <f aca="false">IF(OR($A294="",$D294&lt;&gt;"تسليم",NOT(ISNUMBER($E294))),"",COUNTIFS($A$5:$A$1504,$A294,$D$5:$D$1504,"تسليم",$E$5:$E$1504,"&lt;"&amp;$E294)+1)</f>
        <v/>
      </c>
      <c r="H294" s="33" t="str">
        <f aca="false">IF($G294="","",_xlfn.MINIFS($E$5:$E$1504,$A$5:$A$1504,$A294,$D$5:$D$1504,"&lt;&gt;تسليم",$E$5:$E$1504,"&gt;="&amp;$E294))</f>
        <v/>
      </c>
      <c r="I294" s="33" t="str">
        <f aca="false">IF($G294="","",_xlfn.MINIFS($E$5:$E$1504,$A$5:$A$1504,$A294,$D$5:$D$1504,"تسليم",$E$5:$E$1504,"&gt;"&amp;$E294))</f>
        <v/>
      </c>
      <c r="J294" s="33" t="str">
        <f aca="false">IF($G294="","",IF(H294&gt;0,IF(I294&gt;0,MIN(H294,I294),H294),IF(I294&gt;0,I294,تاريخ_الاحتساب)))</f>
        <v/>
      </c>
      <c r="K294" s="34" t="str">
        <f aca="false">IF($G294="","",IF(AND(H294=0,I294=0),"جارية","مغلقة"))</f>
        <v/>
      </c>
      <c r="L294" s="26" t="str">
        <f aca="false">IF($G294="","",MAX(0,NETWORKDAYS.INTL($E294,J294,رمز_العطلة,أيام_الأجازات)-1))</f>
        <v/>
      </c>
      <c r="M294" s="26" t="str">
        <f aca="false">IF($G294="","",MAX(0,L294-مهلة_المراجعة))</f>
        <v/>
      </c>
      <c r="N294" s="30" t="str">
        <f aca="false">IF($A294="",IF(OR($D294&lt;&gt;"",$E294&lt;&gt;""),"رقم المخرج ناقص",""),IF(ISNA(MATCH($A294,قائمة_المخرجات,0)),"رقم مخرج غير موجود",IF($D294="","نوع الحركة ناقص",IF(NOT(ISNUMBER($E294)),"التاريخ ناقص",IF($E294&gt;تاريخ_الاحتساب,"تاريخ بعد تاريخ الاحتساب",IF(AND($D294&lt;&gt;"تسليم",COUNTIFS($A$5:$A$1504,$A294,$D$5:$D$1504,"تسليم",$E$5:$E$1504,"&lt;="&amp;$E294)=0),"لا يوجد تسليم قبل الحركة دي",""))))))</f>
        <v/>
      </c>
    </row>
    <row r="295" customFormat="false" ht="15" hidden="false" customHeight="false" outlineLevel="0" collapsed="false">
      <c r="A295" s="20"/>
      <c r="B295" s="35" t="str">
        <f aca="false">IF($A295="","",IFERROR(INDEX(مخرج_البند,MATCH($A295,قائمة_المخرجات,0)),""))</f>
        <v/>
      </c>
      <c r="C295" s="30" t="str">
        <f aca="false">IF($A295="","",IFERROR(INDEX(مخرج_الوصف,MATCH($A295,قائمة_المخرجات,0)),""))</f>
        <v/>
      </c>
      <c r="D295" s="20"/>
      <c r="E295" s="31"/>
      <c r="F295" s="22"/>
      <c r="G295" s="36" t="str">
        <f aca="false">IF(OR($A295="",$D295&lt;&gt;"تسليم",NOT(ISNUMBER($E295))),"",COUNTIFS($A$5:$A$1504,$A295,$D$5:$D$1504,"تسليم",$E$5:$E$1504,"&lt;"&amp;$E295)+1)</f>
        <v/>
      </c>
      <c r="H295" s="33" t="str">
        <f aca="false">IF($G295="","",_xlfn.MINIFS($E$5:$E$1504,$A$5:$A$1504,$A295,$D$5:$D$1504,"&lt;&gt;تسليم",$E$5:$E$1504,"&gt;="&amp;$E295))</f>
        <v/>
      </c>
      <c r="I295" s="33" t="str">
        <f aca="false">IF($G295="","",_xlfn.MINIFS($E$5:$E$1504,$A$5:$A$1504,$A295,$D$5:$D$1504,"تسليم",$E$5:$E$1504,"&gt;"&amp;$E295))</f>
        <v/>
      </c>
      <c r="J295" s="33" t="str">
        <f aca="false">IF($G295="","",IF(H295&gt;0,IF(I295&gt;0,MIN(H295,I295),H295),IF(I295&gt;0,I295,تاريخ_الاحتساب)))</f>
        <v/>
      </c>
      <c r="K295" s="34" t="str">
        <f aca="false">IF($G295="","",IF(AND(H295=0,I295=0),"جارية","مغلقة"))</f>
        <v/>
      </c>
      <c r="L295" s="26" t="str">
        <f aca="false">IF($G295="","",MAX(0,NETWORKDAYS.INTL($E295,J295,رمز_العطلة,أيام_الأجازات)-1))</f>
        <v/>
      </c>
      <c r="M295" s="26" t="str">
        <f aca="false">IF($G295="","",MAX(0,L295-مهلة_المراجعة))</f>
        <v/>
      </c>
      <c r="N295" s="30" t="str">
        <f aca="false">IF($A295="",IF(OR($D295&lt;&gt;"",$E295&lt;&gt;""),"رقم المخرج ناقص",""),IF(ISNA(MATCH($A295,قائمة_المخرجات,0)),"رقم مخرج غير موجود",IF($D295="","نوع الحركة ناقص",IF(NOT(ISNUMBER($E295)),"التاريخ ناقص",IF($E295&gt;تاريخ_الاحتساب,"تاريخ بعد تاريخ الاحتساب",IF(AND($D295&lt;&gt;"تسليم",COUNTIFS($A$5:$A$1504,$A295,$D$5:$D$1504,"تسليم",$E$5:$E$1504,"&lt;="&amp;$E295)=0),"لا يوجد تسليم قبل الحركة دي",""))))))</f>
        <v/>
      </c>
    </row>
    <row r="296" customFormat="false" ht="15" hidden="false" customHeight="false" outlineLevel="0" collapsed="false">
      <c r="A296" s="20"/>
      <c r="B296" s="35" t="str">
        <f aca="false">IF($A296="","",IFERROR(INDEX(مخرج_البند,MATCH($A296,قائمة_المخرجات,0)),""))</f>
        <v/>
      </c>
      <c r="C296" s="30" t="str">
        <f aca="false">IF($A296="","",IFERROR(INDEX(مخرج_الوصف,MATCH($A296,قائمة_المخرجات,0)),""))</f>
        <v/>
      </c>
      <c r="D296" s="20"/>
      <c r="E296" s="31"/>
      <c r="F296" s="22"/>
      <c r="G296" s="36" t="str">
        <f aca="false">IF(OR($A296="",$D296&lt;&gt;"تسليم",NOT(ISNUMBER($E296))),"",COUNTIFS($A$5:$A$1504,$A296,$D$5:$D$1504,"تسليم",$E$5:$E$1504,"&lt;"&amp;$E296)+1)</f>
        <v/>
      </c>
      <c r="H296" s="33" t="str">
        <f aca="false">IF($G296="","",_xlfn.MINIFS($E$5:$E$1504,$A$5:$A$1504,$A296,$D$5:$D$1504,"&lt;&gt;تسليم",$E$5:$E$1504,"&gt;="&amp;$E296))</f>
        <v/>
      </c>
      <c r="I296" s="33" t="str">
        <f aca="false">IF($G296="","",_xlfn.MINIFS($E$5:$E$1504,$A$5:$A$1504,$A296,$D$5:$D$1504,"تسليم",$E$5:$E$1504,"&gt;"&amp;$E296))</f>
        <v/>
      </c>
      <c r="J296" s="33" t="str">
        <f aca="false">IF($G296="","",IF(H296&gt;0,IF(I296&gt;0,MIN(H296,I296),H296),IF(I296&gt;0,I296,تاريخ_الاحتساب)))</f>
        <v/>
      </c>
      <c r="K296" s="34" t="str">
        <f aca="false">IF($G296="","",IF(AND(H296=0,I296=0),"جارية","مغلقة"))</f>
        <v/>
      </c>
      <c r="L296" s="26" t="str">
        <f aca="false">IF($G296="","",MAX(0,NETWORKDAYS.INTL($E296,J296,رمز_العطلة,أيام_الأجازات)-1))</f>
        <v/>
      </c>
      <c r="M296" s="26" t="str">
        <f aca="false">IF($G296="","",MAX(0,L296-مهلة_المراجعة))</f>
        <v/>
      </c>
      <c r="N296" s="30" t="str">
        <f aca="false">IF($A296="",IF(OR($D296&lt;&gt;"",$E296&lt;&gt;""),"رقم المخرج ناقص",""),IF(ISNA(MATCH($A296,قائمة_المخرجات,0)),"رقم مخرج غير موجود",IF($D296="","نوع الحركة ناقص",IF(NOT(ISNUMBER($E296)),"التاريخ ناقص",IF($E296&gt;تاريخ_الاحتساب,"تاريخ بعد تاريخ الاحتساب",IF(AND($D296&lt;&gt;"تسليم",COUNTIFS($A$5:$A$1504,$A296,$D$5:$D$1504,"تسليم",$E$5:$E$1504,"&lt;="&amp;$E296)=0),"لا يوجد تسليم قبل الحركة دي",""))))))</f>
        <v/>
      </c>
    </row>
    <row r="297" customFormat="false" ht="15" hidden="false" customHeight="false" outlineLevel="0" collapsed="false">
      <c r="A297" s="20"/>
      <c r="B297" s="35" t="str">
        <f aca="false">IF($A297="","",IFERROR(INDEX(مخرج_البند,MATCH($A297,قائمة_المخرجات,0)),""))</f>
        <v/>
      </c>
      <c r="C297" s="30" t="str">
        <f aca="false">IF($A297="","",IFERROR(INDEX(مخرج_الوصف,MATCH($A297,قائمة_المخرجات,0)),""))</f>
        <v/>
      </c>
      <c r="D297" s="20"/>
      <c r="E297" s="31"/>
      <c r="F297" s="22"/>
      <c r="G297" s="36" t="str">
        <f aca="false">IF(OR($A297="",$D297&lt;&gt;"تسليم",NOT(ISNUMBER($E297))),"",COUNTIFS($A$5:$A$1504,$A297,$D$5:$D$1504,"تسليم",$E$5:$E$1504,"&lt;"&amp;$E297)+1)</f>
        <v/>
      </c>
      <c r="H297" s="33" t="str">
        <f aca="false">IF($G297="","",_xlfn.MINIFS($E$5:$E$1504,$A$5:$A$1504,$A297,$D$5:$D$1504,"&lt;&gt;تسليم",$E$5:$E$1504,"&gt;="&amp;$E297))</f>
        <v/>
      </c>
      <c r="I297" s="33" t="str">
        <f aca="false">IF($G297="","",_xlfn.MINIFS($E$5:$E$1504,$A$5:$A$1504,$A297,$D$5:$D$1504,"تسليم",$E$5:$E$1504,"&gt;"&amp;$E297))</f>
        <v/>
      </c>
      <c r="J297" s="33" t="str">
        <f aca="false">IF($G297="","",IF(H297&gt;0,IF(I297&gt;0,MIN(H297,I297),H297),IF(I297&gt;0,I297,تاريخ_الاحتساب)))</f>
        <v/>
      </c>
      <c r="K297" s="34" t="str">
        <f aca="false">IF($G297="","",IF(AND(H297=0,I297=0),"جارية","مغلقة"))</f>
        <v/>
      </c>
      <c r="L297" s="26" t="str">
        <f aca="false">IF($G297="","",MAX(0,NETWORKDAYS.INTL($E297,J297,رمز_العطلة,أيام_الأجازات)-1))</f>
        <v/>
      </c>
      <c r="M297" s="26" t="str">
        <f aca="false">IF($G297="","",MAX(0,L297-مهلة_المراجعة))</f>
        <v/>
      </c>
      <c r="N297" s="30" t="str">
        <f aca="false">IF($A297="",IF(OR($D297&lt;&gt;"",$E297&lt;&gt;""),"رقم المخرج ناقص",""),IF(ISNA(MATCH($A297,قائمة_المخرجات,0)),"رقم مخرج غير موجود",IF($D297="","نوع الحركة ناقص",IF(NOT(ISNUMBER($E297)),"التاريخ ناقص",IF($E297&gt;تاريخ_الاحتساب,"تاريخ بعد تاريخ الاحتساب",IF(AND($D297&lt;&gt;"تسليم",COUNTIFS($A$5:$A$1504,$A297,$D$5:$D$1504,"تسليم",$E$5:$E$1504,"&lt;="&amp;$E297)=0),"لا يوجد تسليم قبل الحركة دي",""))))))</f>
        <v/>
      </c>
    </row>
    <row r="298" customFormat="false" ht="15" hidden="false" customHeight="false" outlineLevel="0" collapsed="false">
      <c r="A298" s="20"/>
      <c r="B298" s="35" t="str">
        <f aca="false">IF($A298="","",IFERROR(INDEX(مخرج_البند,MATCH($A298,قائمة_المخرجات,0)),""))</f>
        <v/>
      </c>
      <c r="C298" s="30" t="str">
        <f aca="false">IF($A298="","",IFERROR(INDEX(مخرج_الوصف,MATCH($A298,قائمة_المخرجات,0)),""))</f>
        <v/>
      </c>
      <c r="D298" s="20"/>
      <c r="E298" s="31"/>
      <c r="F298" s="22"/>
      <c r="G298" s="36" t="str">
        <f aca="false">IF(OR($A298="",$D298&lt;&gt;"تسليم",NOT(ISNUMBER($E298))),"",COUNTIFS($A$5:$A$1504,$A298,$D$5:$D$1504,"تسليم",$E$5:$E$1504,"&lt;"&amp;$E298)+1)</f>
        <v/>
      </c>
      <c r="H298" s="33" t="str">
        <f aca="false">IF($G298="","",_xlfn.MINIFS($E$5:$E$1504,$A$5:$A$1504,$A298,$D$5:$D$1504,"&lt;&gt;تسليم",$E$5:$E$1504,"&gt;="&amp;$E298))</f>
        <v/>
      </c>
      <c r="I298" s="33" t="str">
        <f aca="false">IF($G298="","",_xlfn.MINIFS($E$5:$E$1504,$A$5:$A$1504,$A298,$D$5:$D$1504,"تسليم",$E$5:$E$1504,"&gt;"&amp;$E298))</f>
        <v/>
      </c>
      <c r="J298" s="33" t="str">
        <f aca="false">IF($G298="","",IF(H298&gt;0,IF(I298&gt;0,MIN(H298,I298),H298),IF(I298&gt;0,I298,تاريخ_الاحتساب)))</f>
        <v/>
      </c>
      <c r="K298" s="34" t="str">
        <f aca="false">IF($G298="","",IF(AND(H298=0,I298=0),"جارية","مغلقة"))</f>
        <v/>
      </c>
      <c r="L298" s="26" t="str">
        <f aca="false">IF($G298="","",MAX(0,NETWORKDAYS.INTL($E298,J298,رمز_العطلة,أيام_الأجازات)-1))</f>
        <v/>
      </c>
      <c r="M298" s="26" t="str">
        <f aca="false">IF($G298="","",MAX(0,L298-مهلة_المراجعة))</f>
        <v/>
      </c>
      <c r="N298" s="30" t="str">
        <f aca="false">IF($A298="",IF(OR($D298&lt;&gt;"",$E298&lt;&gt;""),"رقم المخرج ناقص",""),IF(ISNA(MATCH($A298,قائمة_المخرجات,0)),"رقم مخرج غير موجود",IF($D298="","نوع الحركة ناقص",IF(NOT(ISNUMBER($E298)),"التاريخ ناقص",IF($E298&gt;تاريخ_الاحتساب,"تاريخ بعد تاريخ الاحتساب",IF(AND($D298&lt;&gt;"تسليم",COUNTIFS($A$5:$A$1504,$A298,$D$5:$D$1504,"تسليم",$E$5:$E$1504,"&lt;="&amp;$E298)=0),"لا يوجد تسليم قبل الحركة دي",""))))))</f>
        <v/>
      </c>
    </row>
    <row r="299" customFormat="false" ht="15" hidden="false" customHeight="false" outlineLevel="0" collapsed="false">
      <c r="A299" s="20"/>
      <c r="B299" s="35" t="str">
        <f aca="false">IF($A299="","",IFERROR(INDEX(مخرج_البند,MATCH($A299,قائمة_المخرجات,0)),""))</f>
        <v/>
      </c>
      <c r="C299" s="30" t="str">
        <f aca="false">IF($A299="","",IFERROR(INDEX(مخرج_الوصف,MATCH($A299,قائمة_المخرجات,0)),""))</f>
        <v/>
      </c>
      <c r="D299" s="20"/>
      <c r="E299" s="31"/>
      <c r="F299" s="22"/>
      <c r="G299" s="36" t="str">
        <f aca="false">IF(OR($A299="",$D299&lt;&gt;"تسليم",NOT(ISNUMBER($E299))),"",COUNTIFS($A$5:$A$1504,$A299,$D$5:$D$1504,"تسليم",$E$5:$E$1504,"&lt;"&amp;$E299)+1)</f>
        <v/>
      </c>
      <c r="H299" s="33" t="str">
        <f aca="false">IF($G299="","",_xlfn.MINIFS($E$5:$E$1504,$A$5:$A$1504,$A299,$D$5:$D$1504,"&lt;&gt;تسليم",$E$5:$E$1504,"&gt;="&amp;$E299))</f>
        <v/>
      </c>
      <c r="I299" s="33" t="str">
        <f aca="false">IF($G299="","",_xlfn.MINIFS($E$5:$E$1504,$A$5:$A$1504,$A299,$D$5:$D$1504,"تسليم",$E$5:$E$1504,"&gt;"&amp;$E299))</f>
        <v/>
      </c>
      <c r="J299" s="33" t="str">
        <f aca="false">IF($G299="","",IF(H299&gt;0,IF(I299&gt;0,MIN(H299,I299),H299),IF(I299&gt;0,I299,تاريخ_الاحتساب)))</f>
        <v/>
      </c>
      <c r="K299" s="34" t="str">
        <f aca="false">IF($G299="","",IF(AND(H299=0,I299=0),"جارية","مغلقة"))</f>
        <v/>
      </c>
      <c r="L299" s="26" t="str">
        <f aca="false">IF($G299="","",MAX(0,NETWORKDAYS.INTL($E299,J299,رمز_العطلة,أيام_الأجازات)-1))</f>
        <v/>
      </c>
      <c r="M299" s="26" t="str">
        <f aca="false">IF($G299="","",MAX(0,L299-مهلة_المراجعة))</f>
        <v/>
      </c>
      <c r="N299" s="30" t="str">
        <f aca="false">IF($A299="",IF(OR($D299&lt;&gt;"",$E299&lt;&gt;""),"رقم المخرج ناقص",""),IF(ISNA(MATCH($A299,قائمة_المخرجات,0)),"رقم مخرج غير موجود",IF($D299="","نوع الحركة ناقص",IF(NOT(ISNUMBER($E299)),"التاريخ ناقص",IF($E299&gt;تاريخ_الاحتساب,"تاريخ بعد تاريخ الاحتساب",IF(AND($D299&lt;&gt;"تسليم",COUNTIFS($A$5:$A$1504,$A299,$D$5:$D$1504,"تسليم",$E$5:$E$1504,"&lt;="&amp;$E299)=0),"لا يوجد تسليم قبل الحركة دي",""))))))</f>
        <v/>
      </c>
    </row>
    <row r="300" customFormat="false" ht="15" hidden="false" customHeight="false" outlineLevel="0" collapsed="false">
      <c r="A300" s="20"/>
      <c r="B300" s="35" t="str">
        <f aca="false">IF($A300="","",IFERROR(INDEX(مخرج_البند,MATCH($A300,قائمة_المخرجات,0)),""))</f>
        <v/>
      </c>
      <c r="C300" s="30" t="str">
        <f aca="false">IF($A300="","",IFERROR(INDEX(مخرج_الوصف,MATCH($A300,قائمة_المخرجات,0)),""))</f>
        <v/>
      </c>
      <c r="D300" s="20"/>
      <c r="E300" s="31"/>
      <c r="F300" s="22"/>
      <c r="G300" s="36" t="str">
        <f aca="false">IF(OR($A300="",$D300&lt;&gt;"تسليم",NOT(ISNUMBER($E300))),"",COUNTIFS($A$5:$A$1504,$A300,$D$5:$D$1504,"تسليم",$E$5:$E$1504,"&lt;"&amp;$E300)+1)</f>
        <v/>
      </c>
      <c r="H300" s="33" t="str">
        <f aca="false">IF($G300="","",_xlfn.MINIFS($E$5:$E$1504,$A$5:$A$1504,$A300,$D$5:$D$1504,"&lt;&gt;تسليم",$E$5:$E$1504,"&gt;="&amp;$E300))</f>
        <v/>
      </c>
      <c r="I300" s="33" t="str">
        <f aca="false">IF($G300="","",_xlfn.MINIFS($E$5:$E$1504,$A$5:$A$1504,$A300,$D$5:$D$1504,"تسليم",$E$5:$E$1504,"&gt;"&amp;$E300))</f>
        <v/>
      </c>
      <c r="J300" s="33" t="str">
        <f aca="false">IF($G300="","",IF(H300&gt;0,IF(I300&gt;0,MIN(H300,I300),H300),IF(I300&gt;0,I300,تاريخ_الاحتساب)))</f>
        <v/>
      </c>
      <c r="K300" s="34" t="str">
        <f aca="false">IF($G300="","",IF(AND(H300=0,I300=0),"جارية","مغلقة"))</f>
        <v/>
      </c>
      <c r="L300" s="26" t="str">
        <f aca="false">IF($G300="","",MAX(0,NETWORKDAYS.INTL($E300,J300,رمز_العطلة,أيام_الأجازات)-1))</f>
        <v/>
      </c>
      <c r="M300" s="26" t="str">
        <f aca="false">IF($G300="","",MAX(0,L300-مهلة_المراجعة))</f>
        <v/>
      </c>
      <c r="N300" s="30" t="str">
        <f aca="false">IF($A300="",IF(OR($D300&lt;&gt;"",$E300&lt;&gt;""),"رقم المخرج ناقص",""),IF(ISNA(MATCH($A300,قائمة_المخرجات,0)),"رقم مخرج غير موجود",IF($D300="","نوع الحركة ناقص",IF(NOT(ISNUMBER($E300)),"التاريخ ناقص",IF($E300&gt;تاريخ_الاحتساب,"تاريخ بعد تاريخ الاحتساب",IF(AND($D300&lt;&gt;"تسليم",COUNTIFS($A$5:$A$1504,$A300,$D$5:$D$1504,"تسليم",$E$5:$E$1504,"&lt;="&amp;$E300)=0),"لا يوجد تسليم قبل الحركة دي",""))))))</f>
        <v/>
      </c>
    </row>
    <row r="301" customFormat="false" ht="15" hidden="false" customHeight="false" outlineLevel="0" collapsed="false">
      <c r="A301" s="20"/>
      <c r="B301" s="35" t="str">
        <f aca="false">IF($A301="","",IFERROR(INDEX(مخرج_البند,MATCH($A301,قائمة_المخرجات,0)),""))</f>
        <v/>
      </c>
      <c r="C301" s="30" t="str">
        <f aca="false">IF($A301="","",IFERROR(INDEX(مخرج_الوصف,MATCH($A301,قائمة_المخرجات,0)),""))</f>
        <v/>
      </c>
      <c r="D301" s="20"/>
      <c r="E301" s="31"/>
      <c r="F301" s="22"/>
      <c r="G301" s="36" t="str">
        <f aca="false">IF(OR($A301="",$D301&lt;&gt;"تسليم",NOT(ISNUMBER($E301))),"",COUNTIFS($A$5:$A$1504,$A301,$D$5:$D$1504,"تسليم",$E$5:$E$1504,"&lt;"&amp;$E301)+1)</f>
        <v/>
      </c>
      <c r="H301" s="33" t="str">
        <f aca="false">IF($G301="","",_xlfn.MINIFS($E$5:$E$1504,$A$5:$A$1504,$A301,$D$5:$D$1504,"&lt;&gt;تسليم",$E$5:$E$1504,"&gt;="&amp;$E301))</f>
        <v/>
      </c>
      <c r="I301" s="33" t="str">
        <f aca="false">IF($G301="","",_xlfn.MINIFS($E$5:$E$1504,$A$5:$A$1504,$A301,$D$5:$D$1504,"تسليم",$E$5:$E$1504,"&gt;"&amp;$E301))</f>
        <v/>
      </c>
      <c r="J301" s="33" t="str">
        <f aca="false">IF($G301="","",IF(H301&gt;0,IF(I301&gt;0,MIN(H301,I301),H301),IF(I301&gt;0,I301,تاريخ_الاحتساب)))</f>
        <v/>
      </c>
      <c r="K301" s="34" t="str">
        <f aca="false">IF($G301="","",IF(AND(H301=0,I301=0),"جارية","مغلقة"))</f>
        <v/>
      </c>
      <c r="L301" s="26" t="str">
        <f aca="false">IF($G301="","",MAX(0,NETWORKDAYS.INTL($E301,J301,رمز_العطلة,أيام_الأجازات)-1))</f>
        <v/>
      </c>
      <c r="M301" s="26" t="str">
        <f aca="false">IF($G301="","",MAX(0,L301-مهلة_المراجعة))</f>
        <v/>
      </c>
      <c r="N301" s="30" t="str">
        <f aca="false">IF($A301="",IF(OR($D301&lt;&gt;"",$E301&lt;&gt;""),"رقم المخرج ناقص",""),IF(ISNA(MATCH($A301,قائمة_المخرجات,0)),"رقم مخرج غير موجود",IF($D301="","نوع الحركة ناقص",IF(NOT(ISNUMBER($E301)),"التاريخ ناقص",IF($E301&gt;تاريخ_الاحتساب,"تاريخ بعد تاريخ الاحتساب",IF(AND($D301&lt;&gt;"تسليم",COUNTIFS($A$5:$A$1504,$A301,$D$5:$D$1504,"تسليم",$E$5:$E$1504,"&lt;="&amp;$E301)=0),"لا يوجد تسليم قبل الحركة دي",""))))))</f>
        <v/>
      </c>
    </row>
    <row r="302" customFormat="false" ht="15" hidden="false" customHeight="false" outlineLevel="0" collapsed="false">
      <c r="A302" s="20"/>
      <c r="B302" s="35" t="str">
        <f aca="false">IF($A302="","",IFERROR(INDEX(مخرج_البند,MATCH($A302,قائمة_المخرجات,0)),""))</f>
        <v/>
      </c>
      <c r="C302" s="30" t="str">
        <f aca="false">IF($A302="","",IFERROR(INDEX(مخرج_الوصف,MATCH($A302,قائمة_المخرجات,0)),""))</f>
        <v/>
      </c>
      <c r="D302" s="20"/>
      <c r="E302" s="31"/>
      <c r="F302" s="22"/>
      <c r="G302" s="36" t="str">
        <f aca="false">IF(OR($A302="",$D302&lt;&gt;"تسليم",NOT(ISNUMBER($E302))),"",COUNTIFS($A$5:$A$1504,$A302,$D$5:$D$1504,"تسليم",$E$5:$E$1504,"&lt;"&amp;$E302)+1)</f>
        <v/>
      </c>
      <c r="H302" s="33" t="str">
        <f aca="false">IF($G302="","",_xlfn.MINIFS($E$5:$E$1504,$A$5:$A$1504,$A302,$D$5:$D$1504,"&lt;&gt;تسليم",$E$5:$E$1504,"&gt;="&amp;$E302))</f>
        <v/>
      </c>
      <c r="I302" s="33" t="str">
        <f aca="false">IF($G302="","",_xlfn.MINIFS($E$5:$E$1504,$A$5:$A$1504,$A302,$D$5:$D$1504,"تسليم",$E$5:$E$1504,"&gt;"&amp;$E302))</f>
        <v/>
      </c>
      <c r="J302" s="33" t="str">
        <f aca="false">IF($G302="","",IF(H302&gt;0,IF(I302&gt;0,MIN(H302,I302),H302),IF(I302&gt;0,I302,تاريخ_الاحتساب)))</f>
        <v/>
      </c>
      <c r="K302" s="34" t="str">
        <f aca="false">IF($G302="","",IF(AND(H302=0,I302=0),"جارية","مغلقة"))</f>
        <v/>
      </c>
      <c r="L302" s="26" t="str">
        <f aca="false">IF($G302="","",MAX(0,NETWORKDAYS.INTL($E302,J302,رمز_العطلة,أيام_الأجازات)-1))</f>
        <v/>
      </c>
      <c r="M302" s="26" t="str">
        <f aca="false">IF($G302="","",MAX(0,L302-مهلة_المراجعة))</f>
        <v/>
      </c>
      <c r="N302" s="30" t="str">
        <f aca="false">IF($A302="",IF(OR($D302&lt;&gt;"",$E302&lt;&gt;""),"رقم المخرج ناقص",""),IF(ISNA(MATCH($A302,قائمة_المخرجات,0)),"رقم مخرج غير موجود",IF($D302="","نوع الحركة ناقص",IF(NOT(ISNUMBER($E302)),"التاريخ ناقص",IF($E302&gt;تاريخ_الاحتساب,"تاريخ بعد تاريخ الاحتساب",IF(AND($D302&lt;&gt;"تسليم",COUNTIFS($A$5:$A$1504,$A302,$D$5:$D$1504,"تسليم",$E$5:$E$1504,"&lt;="&amp;$E302)=0),"لا يوجد تسليم قبل الحركة دي",""))))))</f>
        <v/>
      </c>
    </row>
    <row r="303" customFormat="false" ht="15" hidden="false" customHeight="false" outlineLevel="0" collapsed="false">
      <c r="A303" s="20"/>
      <c r="B303" s="35" t="str">
        <f aca="false">IF($A303="","",IFERROR(INDEX(مخرج_البند,MATCH($A303,قائمة_المخرجات,0)),""))</f>
        <v/>
      </c>
      <c r="C303" s="30" t="str">
        <f aca="false">IF($A303="","",IFERROR(INDEX(مخرج_الوصف,MATCH($A303,قائمة_المخرجات,0)),""))</f>
        <v/>
      </c>
      <c r="D303" s="20"/>
      <c r="E303" s="31"/>
      <c r="F303" s="22"/>
      <c r="G303" s="36" t="str">
        <f aca="false">IF(OR($A303="",$D303&lt;&gt;"تسليم",NOT(ISNUMBER($E303))),"",COUNTIFS($A$5:$A$1504,$A303,$D$5:$D$1504,"تسليم",$E$5:$E$1504,"&lt;"&amp;$E303)+1)</f>
        <v/>
      </c>
      <c r="H303" s="33" t="str">
        <f aca="false">IF($G303="","",_xlfn.MINIFS($E$5:$E$1504,$A$5:$A$1504,$A303,$D$5:$D$1504,"&lt;&gt;تسليم",$E$5:$E$1504,"&gt;="&amp;$E303))</f>
        <v/>
      </c>
      <c r="I303" s="33" t="str">
        <f aca="false">IF($G303="","",_xlfn.MINIFS($E$5:$E$1504,$A$5:$A$1504,$A303,$D$5:$D$1504,"تسليم",$E$5:$E$1504,"&gt;"&amp;$E303))</f>
        <v/>
      </c>
      <c r="J303" s="33" t="str">
        <f aca="false">IF($G303="","",IF(H303&gt;0,IF(I303&gt;0,MIN(H303,I303),H303),IF(I303&gt;0,I303,تاريخ_الاحتساب)))</f>
        <v/>
      </c>
      <c r="K303" s="34" t="str">
        <f aca="false">IF($G303="","",IF(AND(H303=0,I303=0),"جارية","مغلقة"))</f>
        <v/>
      </c>
      <c r="L303" s="26" t="str">
        <f aca="false">IF($G303="","",MAX(0,NETWORKDAYS.INTL($E303,J303,رمز_العطلة,أيام_الأجازات)-1))</f>
        <v/>
      </c>
      <c r="M303" s="26" t="str">
        <f aca="false">IF($G303="","",MAX(0,L303-مهلة_المراجعة))</f>
        <v/>
      </c>
      <c r="N303" s="30" t="str">
        <f aca="false">IF($A303="",IF(OR($D303&lt;&gt;"",$E303&lt;&gt;""),"رقم المخرج ناقص",""),IF(ISNA(MATCH($A303,قائمة_المخرجات,0)),"رقم مخرج غير موجود",IF($D303="","نوع الحركة ناقص",IF(NOT(ISNUMBER($E303)),"التاريخ ناقص",IF($E303&gt;تاريخ_الاحتساب,"تاريخ بعد تاريخ الاحتساب",IF(AND($D303&lt;&gt;"تسليم",COUNTIFS($A$5:$A$1504,$A303,$D$5:$D$1504,"تسليم",$E$5:$E$1504,"&lt;="&amp;$E303)=0),"لا يوجد تسليم قبل الحركة دي",""))))))</f>
        <v/>
      </c>
    </row>
    <row r="304" customFormat="false" ht="15" hidden="false" customHeight="false" outlineLevel="0" collapsed="false">
      <c r="A304" s="20"/>
      <c r="B304" s="35" t="str">
        <f aca="false">IF($A304="","",IFERROR(INDEX(مخرج_البند,MATCH($A304,قائمة_المخرجات,0)),""))</f>
        <v/>
      </c>
      <c r="C304" s="30" t="str">
        <f aca="false">IF($A304="","",IFERROR(INDEX(مخرج_الوصف,MATCH($A304,قائمة_المخرجات,0)),""))</f>
        <v/>
      </c>
      <c r="D304" s="20"/>
      <c r="E304" s="31"/>
      <c r="F304" s="22"/>
      <c r="G304" s="36" t="str">
        <f aca="false">IF(OR($A304="",$D304&lt;&gt;"تسليم",NOT(ISNUMBER($E304))),"",COUNTIFS($A$5:$A$1504,$A304,$D$5:$D$1504,"تسليم",$E$5:$E$1504,"&lt;"&amp;$E304)+1)</f>
        <v/>
      </c>
      <c r="H304" s="33" t="str">
        <f aca="false">IF($G304="","",_xlfn.MINIFS($E$5:$E$1504,$A$5:$A$1504,$A304,$D$5:$D$1504,"&lt;&gt;تسليم",$E$5:$E$1504,"&gt;="&amp;$E304))</f>
        <v/>
      </c>
      <c r="I304" s="33" t="str">
        <f aca="false">IF($G304="","",_xlfn.MINIFS($E$5:$E$1504,$A$5:$A$1504,$A304,$D$5:$D$1504,"تسليم",$E$5:$E$1504,"&gt;"&amp;$E304))</f>
        <v/>
      </c>
      <c r="J304" s="33" t="str">
        <f aca="false">IF($G304="","",IF(H304&gt;0,IF(I304&gt;0,MIN(H304,I304),H304),IF(I304&gt;0,I304,تاريخ_الاحتساب)))</f>
        <v/>
      </c>
      <c r="K304" s="34" t="str">
        <f aca="false">IF($G304="","",IF(AND(H304=0,I304=0),"جارية","مغلقة"))</f>
        <v/>
      </c>
      <c r="L304" s="26" t="str">
        <f aca="false">IF($G304="","",MAX(0,NETWORKDAYS.INTL($E304,J304,رمز_العطلة,أيام_الأجازات)-1))</f>
        <v/>
      </c>
      <c r="M304" s="26" t="str">
        <f aca="false">IF($G304="","",MAX(0,L304-مهلة_المراجعة))</f>
        <v/>
      </c>
      <c r="N304" s="30" t="str">
        <f aca="false">IF($A304="",IF(OR($D304&lt;&gt;"",$E304&lt;&gt;""),"رقم المخرج ناقص",""),IF(ISNA(MATCH($A304,قائمة_المخرجات,0)),"رقم مخرج غير موجود",IF($D304="","نوع الحركة ناقص",IF(NOT(ISNUMBER($E304)),"التاريخ ناقص",IF($E304&gt;تاريخ_الاحتساب,"تاريخ بعد تاريخ الاحتساب",IF(AND($D304&lt;&gt;"تسليم",COUNTIFS($A$5:$A$1504,$A304,$D$5:$D$1504,"تسليم",$E$5:$E$1504,"&lt;="&amp;$E304)=0),"لا يوجد تسليم قبل الحركة دي",""))))))</f>
        <v/>
      </c>
    </row>
    <row r="305" customFormat="false" ht="15" hidden="false" customHeight="false" outlineLevel="0" collapsed="false">
      <c r="A305" s="20"/>
      <c r="B305" s="35" t="str">
        <f aca="false">IF($A305="","",IFERROR(INDEX(مخرج_البند,MATCH($A305,قائمة_المخرجات,0)),""))</f>
        <v/>
      </c>
      <c r="C305" s="30" t="str">
        <f aca="false">IF($A305="","",IFERROR(INDEX(مخرج_الوصف,MATCH($A305,قائمة_المخرجات,0)),""))</f>
        <v/>
      </c>
      <c r="D305" s="20"/>
      <c r="E305" s="31"/>
      <c r="F305" s="22"/>
      <c r="G305" s="36" t="str">
        <f aca="false">IF(OR($A305="",$D305&lt;&gt;"تسليم",NOT(ISNUMBER($E305))),"",COUNTIFS($A$5:$A$1504,$A305,$D$5:$D$1504,"تسليم",$E$5:$E$1504,"&lt;"&amp;$E305)+1)</f>
        <v/>
      </c>
      <c r="H305" s="33" t="str">
        <f aca="false">IF($G305="","",_xlfn.MINIFS($E$5:$E$1504,$A$5:$A$1504,$A305,$D$5:$D$1504,"&lt;&gt;تسليم",$E$5:$E$1504,"&gt;="&amp;$E305))</f>
        <v/>
      </c>
      <c r="I305" s="33" t="str">
        <f aca="false">IF($G305="","",_xlfn.MINIFS($E$5:$E$1504,$A$5:$A$1504,$A305,$D$5:$D$1504,"تسليم",$E$5:$E$1504,"&gt;"&amp;$E305))</f>
        <v/>
      </c>
      <c r="J305" s="33" t="str">
        <f aca="false">IF($G305="","",IF(H305&gt;0,IF(I305&gt;0,MIN(H305,I305),H305),IF(I305&gt;0,I305,تاريخ_الاحتساب)))</f>
        <v/>
      </c>
      <c r="K305" s="34" t="str">
        <f aca="false">IF($G305="","",IF(AND(H305=0,I305=0),"جارية","مغلقة"))</f>
        <v/>
      </c>
      <c r="L305" s="26" t="str">
        <f aca="false">IF($G305="","",MAX(0,NETWORKDAYS.INTL($E305,J305,رمز_العطلة,أيام_الأجازات)-1))</f>
        <v/>
      </c>
      <c r="M305" s="26" t="str">
        <f aca="false">IF($G305="","",MAX(0,L305-مهلة_المراجعة))</f>
        <v/>
      </c>
      <c r="N305" s="30" t="str">
        <f aca="false">IF($A305="",IF(OR($D305&lt;&gt;"",$E305&lt;&gt;""),"رقم المخرج ناقص",""),IF(ISNA(MATCH($A305,قائمة_المخرجات,0)),"رقم مخرج غير موجود",IF($D305="","نوع الحركة ناقص",IF(NOT(ISNUMBER($E305)),"التاريخ ناقص",IF($E305&gt;تاريخ_الاحتساب,"تاريخ بعد تاريخ الاحتساب",IF(AND($D305&lt;&gt;"تسليم",COUNTIFS($A$5:$A$1504,$A305,$D$5:$D$1504,"تسليم",$E$5:$E$1504,"&lt;="&amp;$E305)=0),"لا يوجد تسليم قبل الحركة دي",""))))))</f>
        <v/>
      </c>
    </row>
    <row r="306" customFormat="false" ht="15" hidden="false" customHeight="false" outlineLevel="0" collapsed="false">
      <c r="A306" s="20"/>
      <c r="B306" s="35" t="str">
        <f aca="false">IF($A306="","",IFERROR(INDEX(مخرج_البند,MATCH($A306,قائمة_المخرجات,0)),""))</f>
        <v/>
      </c>
      <c r="C306" s="30" t="str">
        <f aca="false">IF($A306="","",IFERROR(INDEX(مخرج_الوصف,MATCH($A306,قائمة_المخرجات,0)),""))</f>
        <v/>
      </c>
      <c r="D306" s="20"/>
      <c r="E306" s="31"/>
      <c r="F306" s="22"/>
      <c r="G306" s="36" t="str">
        <f aca="false">IF(OR($A306="",$D306&lt;&gt;"تسليم",NOT(ISNUMBER($E306))),"",COUNTIFS($A$5:$A$1504,$A306,$D$5:$D$1504,"تسليم",$E$5:$E$1504,"&lt;"&amp;$E306)+1)</f>
        <v/>
      </c>
      <c r="H306" s="33" t="str">
        <f aca="false">IF($G306="","",_xlfn.MINIFS($E$5:$E$1504,$A$5:$A$1504,$A306,$D$5:$D$1504,"&lt;&gt;تسليم",$E$5:$E$1504,"&gt;="&amp;$E306))</f>
        <v/>
      </c>
      <c r="I306" s="33" t="str">
        <f aca="false">IF($G306="","",_xlfn.MINIFS($E$5:$E$1504,$A$5:$A$1504,$A306,$D$5:$D$1504,"تسليم",$E$5:$E$1504,"&gt;"&amp;$E306))</f>
        <v/>
      </c>
      <c r="J306" s="33" t="str">
        <f aca="false">IF($G306="","",IF(H306&gt;0,IF(I306&gt;0,MIN(H306,I306),H306),IF(I306&gt;0,I306,تاريخ_الاحتساب)))</f>
        <v/>
      </c>
      <c r="K306" s="34" t="str">
        <f aca="false">IF($G306="","",IF(AND(H306=0,I306=0),"جارية","مغلقة"))</f>
        <v/>
      </c>
      <c r="L306" s="26" t="str">
        <f aca="false">IF($G306="","",MAX(0,NETWORKDAYS.INTL($E306,J306,رمز_العطلة,أيام_الأجازات)-1))</f>
        <v/>
      </c>
      <c r="M306" s="26" t="str">
        <f aca="false">IF($G306="","",MAX(0,L306-مهلة_المراجعة))</f>
        <v/>
      </c>
      <c r="N306" s="30" t="str">
        <f aca="false">IF($A306="",IF(OR($D306&lt;&gt;"",$E306&lt;&gt;""),"رقم المخرج ناقص",""),IF(ISNA(MATCH($A306,قائمة_المخرجات,0)),"رقم مخرج غير موجود",IF($D306="","نوع الحركة ناقص",IF(NOT(ISNUMBER($E306)),"التاريخ ناقص",IF($E306&gt;تاريخ_الاحتساب,"تاريخ بعد تاريخ الاحتساب",IF(AND($D306&lt;&gt;"تسليم",COUNTIFS($A$5:$A$1504,$A306,$D$5:$D$1504,"تسليم",$E$5:$E$1504,"&lt;="&amp;$E306)=0),"لا يوجد تسليم قبل الحركة دي",""))))))</f>
        <v/>
      </c>
    </row>
    <row r="307" customFormat="false" ht="15" hidden="false" customHeight="false" outlineLevel="0" collapsed="false">
      <c r="A307" s="20"/>
      <c r="B307" s="35" t="str">
        <f aca="false">IF($A307="","",IFERROR(INDEX(مخرج_البند,MATCH($A307,قائمة_المخرجات,0)),""))</f>
        <v/>
      </c>
      <c r="C307" s="30" t="str">
        <f aca="false">IF($A307="","",IFERROR(INDEX(مخرج_الوصف,MATCH($A307,قائمة_المخرجات,0)),""))</f>
        <v/>
      </c>
      <c r="D307" s="20"/>
      <c r="E307" s="31"/>
      <c r="F307" s="22"/>
      <c r="G307" s="36" t="str">
        <f aca="false">IF(OR($A307="",$D307&lt;&gt;"تسليم",NOT(ISNUMBER($E307))),"",COUNTIFS($A$5:$A$1504,$A307,$D$5:$D$1504,"تسليم",$E$5:$E$1504,"&lt;"&amp;$E307)+1)</f>
        <v/>
      </c>
      <c r="H307" s="33" t="str">
        <f aca="false">IF($G307="","",_xlfn.MINIFS($E$5:$E$1504,$A$5:$A$1504,$A307,$D$5:$D$1504,"&lt;&gt;تسليم",$E$5:$E$1504,"&gt;="&amp;$E307))</f>
        <v/>
      </c>
      <c r="I307" s="33" t="str">
        <f aca="false">IF($G307="","",_xlfn.MINIFS($E$5:$E$1504,$A$5:$A$1504,$A307,$D$5:$D$1504,"تسليم",$E$5:$E$1504,"&gt;"&amp;$E307))</f>
        <v/>
      </c>
      <c r="J307" s="33" t="str">
        <f aca="false">IF($G307="","",IF(H307&gt;0,IF(I307&gt;0,MIN(H307,I307),H307),IF(I307&gt;0,I307,تاريخ_الاحتساب)))</f>
        <v/>
      </c>
      <c r="K307" s="34" t="str">
        <f aca="false">IF($G307="","",IF(AND(H307=0,I307=0),"جارية","مغلقة"))</f>
        <v/>
      </c>
      <c r="L307" s="26" t="str">
        <f aca="false">IF($G307="","",MAX(0,NETWORKDAYS.INTL($E307,J307,رمز_العطلة,أيام_الأجازات)-1))</f>
        <v/>
      </c>
      <c r="M307" s="26" t="str">
        <f aca="false">IF($G307="","",MAX(0,L307-مهلة_المراجعة))</f>
        <v/>
      </c>
      <c r="N307" s="30" t="str">
        <f aca="false">IF($A307="",IF(OR($D307&lt;&gt;"",$E307&lt;&gt;""),"رقم المخرج ناقص",""),IF(ISNA(MATCH($A307,قائمة_المخرجات,0)),"رقم مخرج غير موجود",IF($D307="","نوع الحركة ناقص",IF(NOT(ISNUMBER($E307)),"التاريخ ناقص",IF($E307&gt;تاريخ_الاحتساب,"تاريخ بعد تاريخ الاحتساب",IF(AND($D307&lt;&gt;"تسليم",COUNTIFS($A$5:$A$1504,$A307,$D$5:$D$1504,"تسليم",$E$5:$E$1504,"&lt;="&amp;$E307)=0),"لا يوجد تسليم قبل الحركة دي",""))))))</f>
        <v/>
      </c>
    </row>
    <row r="308" customFormat="false" ht="15" hidden="false" customHeight="false" outlineLevel="0" collapsed="false">
      <c r="A308" s="20"/>
      <c r="B308" s="35" t="str">
        <f aca="false">IF($A308="","",IFERROR(INDEX(مخرج_البند,MATCH($A308,قائمة_المخرجات,0)),""))</f>
        <v/>
      </c>
      <c r="C308" s="30" t="str">
        <f aca="false">IF($A308="","",IFERROR(INDEX(مخرج_الوصف,MATCH($A308,قائمة_المخرجات,0)),""))</f>
        <v/>
      </c>
      <c r="D308" s="20"/>
      <c r="E308" s="31"/>
      <c r="F308" s="22"/>
      <c r="G308" s="36" t="str">
        <f aca="false">IF(OR($A308="",$D308&lt;&gt;"تسليم",NOT(ISNUMBER($E308))),"",COUNTIFS($A$5:$A$1504,$A308,$D$5:$D$1504,"تسليم",$E$5:$E$1504,"&lt;"&amp;$E308)+1)</f>
        <v/>
      </c>
      <c r="H308" s="33" t="str">
        <f aca="false">IF($G308="","",_xlfn.MINIFS($E$5:$E$1504,$A$5:$A$1504,$A308,$D$5:$D$1504,"&lt;&gt;تسليم",$E$5:$E$1504,"&gt;="&amp;$E308))</f>
        <v/>
      </c>
      <c r="I308" s="33" t="str">
        <f aca="false">IF($G308="","",_xlfn.MINIFS($E$5:$E$1504,$A$5:$A$1504,$A308,$D$5:$D$1504,"تسليم",$E$5:$E$1504,"&gt;"&amp;$E308))</f>
        <v/>
      </c>
      <c r="J308" s="33" t="str">
        <f aca="false">IF($G308="","",IF(H308&gt;0,IF(I308&gt;0,MIN(H308,I308),H308),IF(I308&gt;0,I308,تاريخ_الاحتساب)))</f>
        <v/>
      </c>
      <c r="K308" s="34" t="str">
        <f aca="false">IF($G308="","",IF(AND(H308=0,I308=0),"جارية","مغلقة"))</f>
        <v/>
      </c>
      <c r="L308" s="26" t="str">
        <f aca="false">IF($G308="","",MAX(0,NETWORKDAYS.INTL($E308,J308,رمز_العطلة,أيام_الأجازات)-1))</f>
        <v/>
      </c>
      <c r="M308" s="26" t="str">
        <f aca="false">IF($G308="","",MAX(0,L308-مهلة_المراجعة))</f>
        <v/>
      </c>
      <c r="N308" s="30" t="str">
        <f aca="false">IF($A308="",IF(OR($D308&lt;&gt;"",$E308&lt;&gt;""),"رقم المخرج ناقص",""),IF(ISNA(MATCH($A308,قائمة_المخرجات,0)),"رقم مخرج غير موجود",IF($D308="","نوع الحركة ناقص",IF(NOT(ISNUMBER($E308)),"التاريخ ناقص",IF($E308&gt;تاريخ_الاحتساب,"تاريخ بعد تاريخ الاحتساب",IF(AND($D308&lt;&gt;"تسليم",COUNTIFS($A$5:$A$1504,$A308,$D$5:$D$1504,"تسليم",$E$5:$E$1504,"&lt;="&amp;$E308)=0),"لا يوجد تسليم قبل الحركة دي",""))))))</f>
        <v/>
      </c>
    </row>
    <row r="309" customFormat="false" ht="15" hidden="false" customHeight="false" outlineLevel="0" collapsed="false">
      <c r="A309" s="20"/>
      <c r="B309" s="35" t="str">
        <f aca="false">IF($A309="","",IFERROR(INDEX(مخرج_البند,MATCH($A309,قائمة_المخرجات,0)),""))</f>
        <v/>
      </c>
      <c r="C309" s="30" t="str">
        <f aca="false">IF($A309="","",IFERROR(INDEX(مخرج_الوصف,MATCH($A309,قائمة_المخرجات,0)),""))</f>
        <v/>
      </c>
      <c r="D309" s="20"/>
      <c r="E309" s="31"/>
      <c r="F309" s="22"/>
      <c r="G309" s="36" t="str">
        <f aca="false">IF(OR($A309="",$D309&lt;&gt;"تسليم",NOT(ISNUMBER($E309))),"",COUNTIFS($A$5:$A$1504,$A309,$D$5:$D$1504,"تسليم",$E$5:$E$1504,"&lt;"&amp;$E309)+1)</f>
        <v/>
      </c>
      <c r="H309" s="33" t="str">
        <f aca="false">IF($G309="","",_xlfn.MINIFS($E$5:$E$1504,$A$5:$A$1504,$A309,$D$5:$D$1504,"&lt;&gt;تسليم",$E$5:$E$1504,"&gt;="&amp;$E309))</f>
        <v/>
      </c>
      <c r="I309" s="33" t="str">
        <f aca="false">IF($G309="","",_xlfn.MINIFS($E$5:$E$1504,$A$5:$A$1504,$A309,$D$5:$D$1504,"تسليم",$E$5:$E$1504,"&gt;"&amp;$E309))</f>
        <v/>
      </c>
      <c r="J309" s="33" t="str">
        <f aca="false">IF($G309="","",IF(H309&gt;0,IF(I309&gt;0,MIN(H309,I309),H309),IF(I309&gt;0,I309,تاريخ_الاحتساب)))</f>
        <v/>
      </c>
      <c r="K309" s="34" t="str">
        <f aca="false">IF($G309="","",IF(AND(H309=0,I309=0),"جارية","مغلقة"))</f>
        <v/>
      </c>
      <c r="L309" s="26" t="str">
        <f aca="false">IF($G309="","",MAX(0,NETWORKDAYS.INTL($E309,J309,رمز_العطلة,أيام_الأجازات)-1))</f>
        <v/>
      </c>
      <c r="M309" s="26" t="str">
        <f aca="false">IF($G309="","",MAX(0,L309-مهلة_المراجعة))</f>
        <v/>
      </c>
      <c r="N309" s="30" t="str">
        <f aca="false">IF($A309="",IF(OR($D309&lt;&gt;"",$E309&lt;&gt;""),"رقم المخرج ناقص",""),IF(ISNA(MATCH($A309,قائمة_المخرجات,0)),"رقم مخرج غير موجود",IF($D309="","نوع الحركة ناقص",IF(NOT(ISNUMBER($E309)),"التاريخ ناقص",IF($E309&gt;تاريخ_الاحتساب,"تاريخ بعد تاريخ الاحتساب",IF(AND($D309&lt;&gt;"تسليم",COUNTIFS($A$5:$A$1504,$A309,$D$5:$D$1504,"تسليم",$E$5:$E$1504,"&lt;="&amp;$E309)=0),"لا يوجد تسليم قبل الحركة دي",""))))))</f>
        <v/>
      </c>
    </row>
    <row r="310" customFormat="false" ht="15" hidden="false" customHeight="false" outlineLevel="0" collapsed="false">
      <c r="A310" s="20"/>
      <c r="B310" s="35" t="str">
        <f aca="false">IF($A310="","",IFERROR(INDEX(مخرج_البند,MATCH($A310,قائمة_المخرجات,0)),""))</f>
        <v/>
      </c>
      <c r="C310" s="30" t="str">
        <f aca="false">IF($A310="","",IFERROR(INDEX(مخرج_الوصف,MATCH($A310,قائمة_المخرجات,0)),""))</f>
        <v/>
      </c>
      <c r="D310" s="20"/>
      <c r="E310" s="31"/>
      <c r="F310" s="22"/>
      <c r="G310" s="36" t="str">
        <f aca="false">IF(OR($A310="",$D310&lt;&gt;"تسليم",NOT(ISNUMBER($E310))),"",COUNTIFS($A$5:$A$1504,$A310,$D$5:$D$1504,"تسليم",$E$5:$E$1504,"&lt;"&amp;$E310)+1)</f>
        <v/>
      </c>
      <c r="H310" s="33" t="str">
        <f aca="false">IF($G310="","",_xlfn.MINIFS($E$5:$E$1504,$A$5:$A$1504,$A310,$D$5:$D$1504,"&lt;&gt;تسليم",$E$5:$E$1504,"&gt;="&amp;$E310))</f>
        <v/>
      </c>
      <c r="I310" s="33" t="str">
        <f aca="false">IF($G310="","",_xlfn.MINIFS($E$5:$E$1504,$A$5:$A$1504,$A310,$D$5:$D$1504,"تسليم",$E$5:$E$1504,"&gt;"&amp;$E310))</f>
        <v/>
      </c>
      <c r="J310" s="33" t="str">
        <f aca="false">IF($G310="","",IF(H310&gt;0,IF(I310&gt;0,MIN(H310,I310),H310),IF(I310&gt;0,I310,تاريخ_الاحتساب)))</f>
        <v/>
      </c>
      <c r="K310" s="34" t="str">
        <f aca="false">IF($G310="","",IF(AND(H310=0,I310=0),"جارية","مغلقة"))</f>
        <v/>
      </c>
      <c r="L310" s="26" t="str">
        <f aca="false">IF($G310="","",MAX(0,NETWORKDAYS.INTL($E310,J310,رمز_العطلة,أيام_الأجازات)-1))</f>
        <v/>
      </c>
      <c r="M310" s="26" t="str">
        <f aca="false">IF($G310="","",MAX(0,L310-مهلة_المراجعة))</f>
        <v/>
      </c>
      <c r="N310" s="30" t="str">
        <f aca="false">IF($A310="",IF(OR($D310&lt;&gt;"",$E310&lt;&gt;""),"رقم المخرج ناقص",""),IF(ISNA(MATCH($A310,قائمة_المخرجات,0)),"رقم مخرج غير موجود",IF($D310="","نوع الحركة ناقص",IF(NOT(ISNUMBER($E310)),"التاريخ ناقص",IF($E310&gt;تاريخ_الاحتساب,"تاريخ بعد تاريخ الاحتساب",IF(AND($D310&lt;&gt;"تسليم",COUNTIFS($A$5:$A$1504,$A310,$D$5:$D$1504,"تسليم",$E$5:$E$1504,"&lt;="&amp;$E310)=0),"لا يوجد تسليم قبل الحركة دي",""))))))</f>
        <v/>
      </c>
    </row>
    <row r="311" customFormat="false" ht="15" hidden="false" customHeight="false" outlineLevel="0" collapsed="false">
      <c r="A311" s="20"/>
      <c r="B311" s="35" t="str">
        <f aca="false">IF($A311="","",IFERROR(INDEX(مخرج_البند,MATCH($A311,قائمة_المخرجات,0)),""))</f>
        <v/>
      </c>
      <c r="C311" s="30" t="str">
        <f aca="false">IF($A311="","",IFERROR(INDEX(مخرج_الوصف,MATCH($A311,قائمة_المخرجات,0)),""))</f>
        <v/>
      </c>
      <c r="D311" s="20"/>
      <c r="E311" s="31"/>
      <c r="F311" s="22"/>
      <c r="G311" s="36" t="str">
        <f aca="false">IF(OR($A311="",$D311&lt;&gt;"تسليم",NOT(ISNUMBER($E311))),"",COUNTIFS($A$5:$A$1504,$A311,$D$5:$D$1504,"تسليم",$E$5:$E$1504,"&lt;"&amp;$E311)+1)</f>
        <v/>
      </c>
      <c r="H311" s="33" t="str">
        <f aca="false">IF($G311="","",_xlfn.MINIFS($E$5:$E$1504,$A$5:$A$1504,$A311,$D$5:$D$1504,"&lt;&gt;تسليم",$E$5:$E$1504,"&gt;="&amp;$E311))</f>
        <v/>
      </c>
      <c r="I311" s="33" t="str">
        <f aca="false">IF($G311="","",_xlfn.MINIFS($E$5:$E$1504,$A$5:$A$1504,$A311,$D$5:$D$1504,"تسليم",$E$5:$E$1504,"&gt;"&amp;$E311))</f>
        <v/>
      </c>
      <c r="J311" s="33" t="str">
        <f aca="false">IF($G311="","",IF(H311&gt;0,IF(I311&gt;0,MIN(H311,I311),H311),IF(I311&gt;0,I311,تاريخ_الاحتساب)))</f>
        <v/>
      </c>
      <c r="K311" s="34" t="str">
        <f aca="false">IF($G311="","",IF(AND(H311=0,I311=0),"جارية","مغلقة"))</f>
        <v/>
      </c>
      <c r="L311" s="26" t="str">
        <f aca="false">IF($G311="","",MAX(0,NETWORKDAYS.INTL($E311,J311,رمز_العطلة,أيام_الأجازات)-1))</f>
        <v/>
      </c>
      <c r="M311" s="26" t="str">
        <f aca="false">IF($G311="","",MAX(0,L311-مهلة_المراجعة))</f>
        <v/>
      </c>
      <c r="N311" s="30" t="str">
        <f aca="false">IF($A311="",IF(OR($D311&lt;&gt;"",$E311&lt;&gt;""),"رقم المخرج ناقص",""),IF(ISNA(MATCH($A311,قائمة_المخرجات,0)),"رقم مخرج غير موجود",IF($D311="","نوع الحركة ناقص",IF(NOT(ISNUMBER($E311)),"التاريخ ناقص",IF($E311&gt;تاريخ_الاحتساب,"تاريخ بعد تاريخ الاحتساب",IF(AND($D311&lt;&gt;"تسليم",COUNTIFS($A$5:$A$1504,$A311,$D$5:$D$1504,"تسليم",$E$5:$E$1504,"&lt;="&amp;$E311)=0),"لا يوجد تسليم قبل الحركة دي",""))))))</f>
        <v/>
      </c>
    </row>
    <row r="312" customFormat="false" ht="15" hidden="false" customHeight="false" outlineLevel="0" collapsed="false">
      <c r="A312" s="20"/>
      <c r="B312" s="35" t="str">
        <f aca="false">IF($A312="","",IFERROR(INDEX(مخرج_البند,MATCH($A312,قائمة_المخرجات,0)),""))</f>
        <v/>
      </c>
      <c r="C312" s="30" t="str">
        <f aca="false">IF($A312="","",IFERROR(INDEX(مخرج_الوصف,MATCH($A312,قائمة_المخرجات,0)),""))</f>
        <v/>
      </c>
      <c r="D312" s="20"/>
      <c r="E312" s="31"/>
      <c r="F312" s="22"/>
      <c r="G312" s="36" t="str">
        <f aca="false">IF(OR($A312="",$D312&lt;&gt;"تسليم",NOT(ISNUMBER($E312))),"",COUNTIFS($A$5:$A$1504,$A312,$D$5:$D$1504,"تسليم",$E$5:$E$1504,"&lt;"&amp;$E312)+1)</f>
        <v/>
      </c>
      <c r="H312" s="33" t="str">
        <f aca="false">IF($G312="","",_xlfn.MINIFS($E$5:$E$1504,$A$5:$A$1504,$A312,$D$5:$D$1504,"&lt;&gt;تسليم",$E$5:$E$1504,"&gt;="&amp;$E312))</f>
        <v/>
      </c>
      <c r="I312" s="33" t="str">
        <f aca="false">IF($G312="","",_xlfn.MINIFS($E$5:$E$1504,$A$5:$A$1504,$A312,$D$5:$D$1504,"تسليم",$E$5:$E$1504,"&gt;"&amp;$E312))</f>
        <v/>
      </c>
      <c r="J312" s="33" t="str">
        <f aca="false">IF($G312="","",IF(H312&gt;0,IF(I312&gt;0,MIN(H312,I312),H312),IF(I312&gt;0,I312,تاريخ_الاحتساب)))</f>
        <v/>
      </c>
      <c r="K312" s="34" t="str">
        <f aca="false">IF($G312="","",IF(AND(H312=0,I312=0),"جارية","مغلقة"))</f>
        <v/>
      </c>
      <c r="L312" s="26" t="str">
        <f aca="false">IF($G312="","",MAX(0,NETWORKDAYS.INTL($E312,J312,رمز_العطلة,أيام_الأجازات)-1))</f>
        <v/>
      </c>
      <c r="M312" s="26" t="str">
        <f aca="false">IF($G312="","",MAX(0,L312-مهلة_المراجعة))</f>
        <v/>
      </c>
      <c r="N312" s="30" t="str">
        <f aca="false">IF($A312="",IF(OR($D312&lt;&gt;"",$E312&lt;&gt;""),"رقم المخرج ناقص",""),IF(ISNA(MATCH($A312,قائمة_المخرجات,0)),"رقم مخرج غير موجود",IF($D312="","نوع الحركة ناقص",IF(NOT(ISNUMBER($E312)),"التاريخ ناقص",IF($E312&gt;تاريخ_الاحتساب,"تاريخ بعد تاريخ الاحتساب",IF(AND($D312&lt;&gt;"تسليم",COUNTIFS($A$5:$A$1504,$A312,$D$5:$D$1504,"تسليم",$E$5:$E$1504,"&lt;="&amp;$E312)=0),"لا يوجد تسليم قبل الحركة دي",""))))))</f>
        <v/>
      </c>
    </row>
    <row r="313" customFormat="false" ht="15" hidden="false" customHeight="false" outlineLevel="0" collapsed="false">
      <c r="A313" s="20"/>
      <c r="B313" s="35" t="str">
        <f aca="false">IF($A313="","",IFERROR(INDEX(مخرج_البند,MATCH($A313,قائمة_المخرجات,0)),""))</f>
        <v/>
      </c>
      <c r="C313" s="30" t="str">
        <f aca="false">IF($A313="","",IFERROR(INDEX(مخرج_الوصف,MATCH($A313,قائمة_المخرجات,0)),""))</f>
        <v/>
      </c>
      <c r="D313" s="20"/>
      <c r="E313" s="31"/>
      <c r="F313" s="22"/>
      <c r="G313" s="36" t="str">
        <f aca="false">IF(OR($A313="",$D313&lt;&gt;"تسليم",NOT(ISNUMBER($E313))),"",COUNTIFS($A$5:$A$1504,$A313,$D$5:$D$1504,"تسليم",$E$5:$E$1504,"&lt;"&amp;$E313)+1)</f>
        <v/>
      </c>
      <c r="H313" s="33" t="str">
        <f aca="false">IF($G313="","",_xlfn.MINIFS($E$5:$E$1504,$A$5:$A$1504,$A313,$D$5:$D$1504,"&lt;&gt;تسليم",$E$5:$E$1504,"&gt;="&amp;$E313))</f>
        <v/>
      </c>
      <c r="I313" s="33" t="str">
        <f aca="false">IF($G313="","",_xlfn.MINIFS($E$5:$E$1504,$A$5:$A$1504,$A313,$D$5:$D$1504,"تسليم",$E$5:$E$1504,"&gt;"&amp;$E313))</f>
        <v/>
      </c>
      <c r="J313" s="33" t="str">
        <f aca="false">IF($G313="","",IF(H313&gt;0,IF(I313&gt;0,MIN(H313,I313),H313),IF(I313&gt;0,I313,تاريخ_الاحتساب)))</f>
        <v/>
      </c>
      <c r="K313" s="34" t="str">
        <f aca="false">IF($G313="","",IF(AND(H313=0,I313=0),"جارية","مغلقة"))</f>
        <v/>
      </c>
      <c r="L313" s="26" t="str">
        <f aca="false">IF($G313="","",MAX(0,NETWORKDAYS.INTL($E313,J313,رمز_العطلة,أيام_الأجازات)-1))</f>
        <v/>
      </c>
      <c r="M313" s="26" t="str">
        <f aca="false">IF($G313="","",MAX(0,L313-مهلة_المراجعة))</f>
        <v/>
      </c>
      <c r="N313" s="30" t="str">
        <f aca="false">IF($A313="",IF(OR($D313&lt;&gt;"",$E313&lt;&gt;""),"رقم المخرج ناقص",""),IF(ISNA(MATCH($A313,قائمة_المخرجات,0)),"رقم مخرج غير موجود",IF($D313="","نوع الحركة ناقص",IF(NOT(ISNUMBER($E313)),"التاريخ ناقص",IF($E313&gt;تاريخ_الاحتساب,"تاريخ بعد تاريخ الاحتساب",IF(AND($D313&lt;&gt;"تسليم",COUNTIFS($A$5:$A$1504,$A313,$D$5:$D$1504,"تسليم",$E$5:$E$1504,"&lt;="&amp;$E313)=0),"لا يوجد تسليم قبل الحركة دي",""))))))</f>
        <v/>
      </c>
    </row>
    <row r="314" customFormat="false" ht="15" hidden="false" customHeight="false" outlineLevel="0" collapsed="false">
      <c r="A314" s="20"/>
      <c r="B314" s="35" t="str">
        <f aca="false">IF($A314="","",IFERROR(INDEX(مخرج_البند,MATCH($A314,قائمة_المخرجات,0)),""))</f>
        <v/>
      </c>
      <c r="C314" s="30" t="str">
        <f aca="false">IF($A314="","",IFERROR(INDEX(مخرج_الوصف,MATCH($A314,قائمة_المخرجات,0)),""))</f>
        <v/>
      </c>
      <c r="D314" s="20"/>
      <c r="E314" s="31"/>
      <c r="F314" s="22"/>
      <c r="G314" s="36" t="str">
        <f aca="false">IF(OR($A314="",$D314&lt;&gt;"تسليم",NOT(ISNUMBER($E314))),"",COUNTIFS($A$5:$A$1504,$A314,$D$5:$D$1504,"تسليم",$E$5:$E$1504,"&lt;"&amp;$E314)+1)</f>
        <v/>
      </c>
      <c r="H314" s="33" t="str">
        <f aca="false">IF($G314="","",_xlfn.MINIFS($E$5:$E$1504,$A$5:$A$1504,$A314,$D$5:$D$1504,"&lt;&gt;تسليم",$E$5:$E$1504,"&gt;="&amp;$E314))</f>
        <v/>
      </c>
      <c r="I314" s="33" t="str">
        <f aca="false">IF($G314="","",_xlfn.MINIFS($E$5:$E$1504,$A$5:$A$1504,$A314,$D$5:$D$1504,"تسليم",$E$5:$E$1504,"&gt;"&amp;$E314))</f>
        <v/>
      </c>
      <c r="J314" s="33" t="str">
        <f aca="false">IF($G314="","",IF(H314&gt;0,IF(I314&gt;0,MIN(H314,I314),H314),IF(I314&gt;0,I314,تاريخ_الاحتساب)))</f>
        <v/>
      </c>
      <c r="K314" s="34" t="str">
        <f aca="false">IF($G314="","",IF(AND(H314=0,I314=0),"جارية","مغلقة"))</f>
        <v/>
      </c>
      <c r="L314" s="26" t="str">
        <f aca="false">IF($G314="","",MAX(0,NETWORKDAYS.INTL($E314,J314,رمز_العطلة,أيام_الأجازات)-1))</f>
        <v/>
      </c>
      <c r="M314" s="26" t="str">
        <f aca="false">IF($G314="","",MAX(0,L314-مهلة_المراجعة))</f>
        <v/>
      </c>
      <c r="N314" s="30" t="str">
        <f aca="false">IF($A314="",IF(OR($D314&lt;&gt;"",$E314&lt;&gt;""),"رقم المخرج ناقص",""),IF(ISNA(MATCH($A314,قائمة_المخرجات,0)),"رقم مخرج غير موجود",IF($D314="","نوع الحركة ناقص",IF(NOT(ISNUMBER($E314)),"التاريخ ناقص",IF($E314&gt;تاريخ_الاحتساب,"تاريخ بعد تاريخ الاحتساب",IF(AND($D314&lt;&gt;"تسليم",COUNTIFS($A$5:$A$1504,$A314,$D$5:$D$1504,"تسليم",$E$5:$E$1504,"&lt;="&amp;$E314)=0),"لا يوجد تسليم قبل الحركة دي",""))))))</f>
        <v/>
      </c>
    </row>
    <row r="315" customFormat="false" ht="15" hidden="false" customHeight="false" outlineLevel="0" collapsed="false">
      <c r="A315" s="20"/>
      <c r="B315" s="35" t="str">
        <f aca="false">IF($A315="","",IFERROR(INDEX(مخرج_البند,MATCH($A315,قائمة_المخرجات,0)),""))</f>
        <v/>
      </c>
      <c r="C315" s="30" t="str">
        <f aca="false">IF($A315="","",IFERROR(INDEX(مخرج_الوصف,MATCH($A315,قائمة_المخرجات,0)),""))</f>
        <v/>
      </c>
      <c r="D315" s="20"/>
      <c r="E315" s="31"/>
      <c r="F315" s="22"/>
      <c r="G315" s="36" t="str">
        <f aca="false">IF(OR($A315="",$D315&lt;&gt;"تسليم",NOT(ISNUMBER($E315))),"",COUNTIFS($A$5:$A$1504,$A315,$D$5:$D$1504,"تسليم",$E$5:$E$1504,"&lt;"&amp;$E315)+1)</f>
        <v/>
      </c>
      <c r="H315" s="33" t="str">
        <f aca="false">IF($G315="","",_xlfn.MINIFS($E$5:$E$1504,$A$5:$A$1504,$A315,$D$5:$D$1504,"&lt;&gt;تسليم",$E$5:$E$1504,"&gt;="&amp;$E315))</f>
        <v/>
      </c>
      <c r="I315" s="33" t="str">
        <f aca="false">IF($G315="","",_xlfn.MINIFS($E$5:$E$1504,$A$5:$A$1504,$A315,$D$5:$D$1504,"تسليم",$E$5:$E$1504,"&gt;"&amp;$E315))</f>
        <v/>
      </c>
      <c r="J315" s="33" t="str">
        <f aca="false">IF($G315="","",IF(H315&gt;0,IF(I315&gt;0,MIN(H315,I315),H315),IF(I315&gt;0,I315,تاريخ_الاحتساب)))</f>
        <v/>
      </c>
      <c r="K315" s="34" t="str">
        <f aca="false">IF($G315="","",IF(AND(H315=0,I315=0),"جارية","مغلقة"))</f>
        <v/>
      </c>
      <c r="L315" s="26" t="str">
        <f aca="false">IF($G315="","",MAX(0,NETWORKDAYS.INTL($E315,J315,رمز_العطلة,أيام_الأجازات)-1))</f>
        <v/>
      </c>
      <c r="M315" s="26" t="str">
        <f aca="false">IF($G315="","",MAX(0,L315-مهلة_المراجعة))</f>
        <v/>
      </c>
      <c r="N315" s="30" t="str">
        <f aca="false">IF($A315="",IF(OR($D315&lt;&gt;"",$E315&lt;&gt;""),"رقم المخرج ناقص",""),IF(ISNA(MATCH($A315,قائمة_المخرجات,0)),"رقم مخرج غير موجود",IF($D315="","نوع الحركة ناقص",IF(NOT(ISNUMBER($E315)),"التاريخ ناقص",IF($E315&gt;تاريخ_الاحتساب,"تاريخ بعد تاريخ الاحتساب",IF(AND($D315&lt;&gt;"تسليم",COUNTIFS($A$5:$A$1504,$A315,$D$5:$D$1504,"تسليم",$E$5:$E$1504,"&lt;="&amp;$E315)=0),"لا يوجد تسليم قبل الحركة دي",""))))))</f>
        <v/>
      </c>
    </row>
    <row r="316" customFormat="false" ht="15" hidden="false" customHeight="false" outlineLevel="0" collapsed="false">
      <c r="A316" s="20"/>
      <c r="B316" s="35" t="str">
        <f aca="false">IF($A316="","",IFERROR(INDEX(مخرج_البند,MATCH($A316,قائمة_المخرجات,0)),""))</f>
        <v/>
      </c>
      <c r="C316" s="30" t="str">
        <f aca="false">IF($A316="","",IFERROR(INDEX(مخرج_الوصف,MATCH($A316,قائمة_المخرجات,0)),""))</f>
        <v/>
      </c>
      <c r="D316" s="20"/>
      <c r="E316" s="31"/>
      <c r="F316" s="22"/>
      <c r="G316" s="36" t="str">
        <f aca="false">IF(OR($A316="",$D316&lt;&gt;"تسليم",NOT(ISNUMBER($E316))),"",COUNTIFS($A$5:$A$1504,$A316,$D$5:$D$1504,"تسليم",$E$5:$E$1504,"&lt;"&amp;$E316)+1)</f>
        <v/>
      </c>
      <c r="H316" s="33" t="str">
        <f aca="false">IF($G316="","",_xlfn.MINIFS($E$5:$E$1504,$A$5:$A$1504,$A316,$D$5:$D$1504,"&lt;&gt;تسليم",$E$5:$E$1504,"&gt;="&amp;$E316))</f>
        <v/>
      </c>
      <c r="I316" s="33" t="str">
        <f aca="false">IF($G316="","",_xlfn.MINIFS($E$5:$E$1504,$A$5:$A$1504,$A316,$D$5:$D$1504,"تسليم",$E$5:$E$1504,"&gt;"&amp;$E316))</f>
        <v/>
      </c>
      <c r="J316" s="33" t="str">
        <f aca="false">IF($G316="","",IF(H316&gt;0,IF(I316&gt;0,MIN(H316,I316),H316),IF(I316&gt;0,I316,تاريخ_الاحتساب)))</f>
        <v/>
      </c>
      <c r="K316" s="34" t="str">
        <f aca="false">IF($G316="","",IF(AND(H316=0,I316=0),"جارية","مغلقة"))</f>
        <v/>
      </c>
      <c r="L316" s="26" t="str">
        <f aca="false">IF($G316="","",MAX(0,NETWORKDAYS.INTL($E316,J316,رمز_العطلة,أيام_الأجازات)-1))</f>
        <v/>
      </c>
      <c r="M316" s="26" t="str">
        <f aca="false">IF($G316="","",MAX(0,L316-مهلة_المراجعة))</f>
        <v/>
      </c>
      <c r="N316" s="30" t="str">
        <f aca="false">IF($A316="",IF(OR($D316&lt;&gt;"",$E316&lt;&gt;""),"رقم المخرج ناقص",""),IF(ISNA(MATCH($A316,قائمة_المخرجات,0)),"رقم مخرج غير موجود",IF($D316="","نوع الحركة ناقص",IF(NOT(ISNUMBER($E316)),"التاريخ ناقص",IF($E316&gt;تاريخ_الاحتساب,"تاريخ بعد تاريخ الاحتساب",IF(AND($D316&lt;&gt;"تسليم",COUNTIFS($A$5:$A$1504,$A316,$D$5:$D$1504,"تسليم",$E$5:$E$1504,"&lt;="&amp;$E316)=0),"لا يوجد تسليم قبل الحركة دي",""))))))</f>
        <v/>
      </c>
    </row>
    <row r="317" customFormat="false" ht="15" hidden="false" customHeight="false" outlineLevel="0" collapsed="false">
      <c r="A317" s="20"/>
      <c r="B317" s="35" t="str">
        <f aca="false">IF($A317="","",IFERROR(INDEX(مخرج_البند,MATCH($A317,قائمة_المخرجات,0)),""))</f>
        <v/>
      </c>
      <c r="C317" s="30" t="str">
        <f aca="false">IF($A317="","",IFERROR(INDEX(مخرج_الوصف,MATCH($A317,قائمة_المخرجات,0)),""))</f>
        <v/>
      </c>
      <c r="D317" s="20"/>
      <c r="E317" s="31"/>
      <c r="F317" s="22"/>
      <c r="G317" s="36" t="str">
        <f aca="false">IF(OR($A317="",$D317&lt;&gt;"تسليم",NOT(ISNUMBER($E317))),"",COUNTIFS($A$5:$A$1504,$A317,$D$5:$D$1504,"تسليم",$E$5:$E$1504,"&lt;"&amp;$E317)+1)</f>
        <v/>
      </c>
      <c r="H317" s="33" t="str">
        <f aca="false">IF($G317="","",_xlfn.MINIFS($E$5:$E$1504,$A$5:$A$1504,$A317,$D$5:$D$1504,"&lt;&gt;تسليم",$E$5:$E$1504,"&gt;="&amp;$E317))</f>
        <v/>
      </c>
      <c r="I317" s="33" t="str">
        <f aca="false">IF($G317="","",_xlfn.MINIFS($E$5:$E$1504,$A$5:$A$1504,$A317,$D$5:$D$1504,"تسليم",$E$5:$E$1504,"&gt;"&amp;$E317))</f>
        <v/>
      </c>
      <c r="J317" s="33" t="str">
        <f aca="false">IF($G317="","",IF(H317&gt;0,IF(I317&gt;0,MIN(H317,I317),H317),IF(I317&gt;0,I317,تاريخ_الاحتساب)))</f>
        <v/>
      </c>
      <c r="K317" s="34" t="str">
        <f aca="false">IF($G317="","",IF(AND(H317=0,I317=0),"جارية","مغلقة"))</f>
        <v/>
      </c>
      <c r="L317" s="26" t="str">
        <f aca="false">IF($G317="","",MAX(0,NETWORKDAYS.INTL($E317,J317,رمز_العطلة,أيام_الأجازات)-1))</f>
        <v/>
      </c>
      <c r="M317" s="26" t="str">
        <f aca="false">IF($G317="","",MAX(0,L317-مهلة_المراجعة))</f>
        <v/>
      </c>
      <c r="N317" s="30" t="str">
        <f aca="false">IF($A317="",IF(OR($D317&lt;&gt;"",$E317&lt;&gt;""),"رقم المخرج ناقص",""),IF(ISNA(MATCH($A317,قائمة_المخرجات,0)),"رقم مخرج غير موجود",IF($D317="","نوع الحركة ناقص",IF(NOT(ISNUMBER($E317)),"التاريخ ناقص",IF($E317&gt;تاريخ_الاحتساب,"تاريخ بعد تاريخ الاحتساب",IF(AND($D317&lt;&gt;"تسليم",COUNTIFS($A$5:$A$1504,$A317,$D$5:$D$1504,"تسليم",$E$5:$E$1504,"&lt;="&amp;$E317)=0),"لا يوجد تسليم قبل الحركة دي",""))))))</f>
        <v/>
      </c>
    </row>
    <row r="318" customFormat="false" ht="15" hidden="false" customHeight="false" outlineLevel="0" collapsed="false">
      <c r="A318" s="20"/>
      <c r="B318" s="35" t="str">
        <f aca="false">IF($A318="","",IFERROR(INDEX(مخرج_البند,MATCH($A318,قائمة_المخرجات,0)),""))</f>
        <v/>
      </c>
      <c r="C318" s="30" t="str">
        <f aca="false">IF($A318="","",IFERROR(INDEX(مخرج_الوصف,MATCH($A318,قائمة_المخرجات,0)),""))</f>
        <v/>
      </c>
      <c r="D318" s="20"/>
      <c r="E318" s="31"/>
      <c r="F318" s="22"/>
      <c r="G318" s="36" t="str">
        <f aca="false">IF(OR($A318="",$D318&lt;&gt;"تسليم",NOT(ISNUMBER($E318))),"",COUNTIFS($A$5:$A$1504,$A318,$D$5:$D$1504,"تسليم",$E$5:$E$1504,"&lt;"&amp;$E318)+1)</f>
        <v/>
      </c>
      <c r="H318" s="33" t="str">
        <f aca="false">IF($G318="","",_xlfn.MINIFS($E$5:$E$1504,$A$5:$A$1504,$A318,$D$5:$D$1504,"&lt;&gt;تسليم",$E$5:$E$1504,"&gt;="&amp;$E318))</f>
        <v/>
      </c>
      <c r="I318" s="33" t="str">
        <f aca="false">IF($G318="","",_xlfn.MINIFS($E$5:$E$1504,$A$5:$A$1504,$A318,$D$5:$D$1504,"تسليم",$E$5:$E$1504,"&gt;"&amp;$E318))</f>
        <v/>
      </c>
      <c r="J318" s="33" t="str">
        <f aca="false">IF($G318="","",IF(H318&gt;0,IF(I318&gt;0,MIN(H318,I318),H318),IF(I318&gt;0,I318,تاريخ_الاحتساب)))</f>
        <v/>
      </c>
      <c r="K318" s="34" t="str">
        <f aca="false">IF($G318="","",IF(AND(H318=0,I318=0),"جارية","مغلقة"))</f>
        <v/>
      </c>
      <c r="L318" s="26" t="str">
        <f aca="false">IF($G318="","",MAX(0,NETWORKDAYS.INTL($E318,J318,رمز_العطلة,أيام_الأجازات)-1))</f>
        <v/>
      </c>
      <c r="M318" s="26" t="str">
        <f aca="false">IF($G318="","",MAX(0,L318-مهلة_المراجعة))</f>
        <v/>
      </c>
      <c r="N318" s="30" t="str">
        <f aca="false">IF($A318="",IF(OR($D318&lt;&gt;"",$E318&lt;&gt;""),"رقم المخرج ناقص",""),IF(ISNA(MATCH($A318,قائمة_المخرجات,0)),"رقم مخرج غير موجود",IF($D318="","نوع الحركة ناقص",IF(NOT(ISNUMBER($E318)),"التاريخ ناقص",IF($E318&gt;تاريخ_الاحتساب,"تاريخ بعد تاريخ الاحتساب",IF(AND($D318&lt;&gt;"تسليم",COUNTIFS($A$5:$A$1504,$A318,$D$5:$D$1504,"تسليم",$E$5:$E$1504,"&lt;="&amp;$E318)=0),"لا يوجد تسليم قبل الحركة دي",""))))))</f>
        <v/>
      </c>
    </row>
    <row r="319" customFormat="false" ht="15" hidden="false" customHeight="false" outlineLevel="0" collapsed="false">
      <c r="A319" s="20"/>
      <c r="B319" s="35" t="str">
        <f aca="false">IF($A319="","",IFERROR(INDEX(مخرج_البند,MATCH($A319,قائمة_المخرجات,0)),""))</f>
        <v/>
      </c>
      <c r="C319" s="30" t="str">
        <f aca="false">IF($A319="","",IFERROR(INDEX(مخرج_الوصف,MATCH($A319,قائمة_المخرجات,0)),""))</f>
        <v/>
      </c>
      <c r="D319" s="20"/>
      <c r="E319" s="31"/>
      <c r="F319" s="22"/>
      <c r="G319" s="36" t="str">
        <f aca="false">IF(OR($A319="",$D319&lt;&gt;"تسليم",NOT(ISNUMBER($E319))),"",COUNTIFS($A$5:$A$1504,$A319,$D$5:$D$1504,"تسليم",$E$5:$E$1504,"&lt;"&amp;$E319)+1)</f>
        <v/>
      </c>
      <c r="H319" s="33" t="str">
        <f aca="false">IF($G319="","",_xlfn.MINIFS($E$5:$E$1504,$A$5:$A$1504,$A319,$D$5:$D$1504,"&lt;&gt;تسليم",$E$5:$E$1504,"&gt;="&amp;$E319))</f>
        <v/>
      </c>
      <c r="I319" s="33" t="str">
        <f aca="false">IF($G319="","",_xlfn.MINIFS($E$5:$E$1504,$A$5:$A$1504,$A319,$D$5:$D$1504,"تسليم",$E$5:$E$1504,"&gt;"&amp;$E319))</f>
        <v/>
      </c>
      <c r="J319" s="33" t="str">
        <f aca="false">IF($G319="","",IF(H319&gt;0,IF(I319&gt;0,MIN(H319,I319),H319),IF(I319&gt;0,I319,تاريخ_الاحتساب)))</f>
        <v/>
      </c>
      <c r="K319" s="34" t="str">
        <f aca="false">IF($G319="","",IF(AND(H319=0,I319=0),"جارية","مغلقة"))</f>
        <v/>
      </c>
      <c r="L319" s="26" t="str">
        <f aca="false">IF($G319="","",MAX(0,NETWORKDAYS.INTL($E319,J319,رمز_العطلة,أيام_الأجازات)-1))</f>
        <v/>
      </c>
      <c r="M319" s="26" t="str">
        <f aca="false">IF($G319="","",MAX(0,L319-مهلة_المراجعة))</f>
        <v/>
      </c>
      <c r="N319" s="30" t="str">
        <f aca="false">IF($A319="",IF(OR($D319&lt;&gt;"",$E319&lt;&gt;""),"رقم المخرج ناقص",""),IF(ISNA(MATCH($A319,قائمة_المخرجات,0)),"رقم مخرج غير موجود",IF($D319="","نوع الحركة ناقص",IF(NOT(ISNUMBER($E319)),"التاريخ ناقص",IF($E319&gt;تاريخ_الاحتساب,"تاريخ بعد تاريخ الاحتساب",IF(AND($D319&lt;&gt;"تسليم",COUNTIFS($A$5:$A$1504,$A319,$D$5:$D$1504,"تسليم",$E$5:$E$1504,"&lt;="&amp;$E319)=0),"لا يوجد تسليم قبل الحركة دي",""))))))</f>
        <v/>
      </c>
    </row>
    <row r="320" customFormat="false" ht="15" hidden="false" customHeight="false" outlineLevel="0" collapsed="false">
      <c r="A320" s="20"/>
      <c r="B320" s="35" t="str">
        <f aca="false">IF($A320="","",IFERROR(INDEX(مخرج_البند,MATCH($A320,قائمة_المخرجات,0)),""))</f>
        <v/>
      </c>
      <c r="C320" s="30" t="str">
        <f aca="false">IF($A320="","",IFERROR(INDEX(مخرج_الوصف,MATCH($A320,قائمة_المخرجات,0)),""))</f>
        <v/>
      </c>
      <c r="D320" s="20"/>
      <c r="E320" s="31"/>
      <c r="F320" s="22"/>
      <c r="G320" s="36" t="str">
        <f aca="false">IF(OR($A320="",$D320&lt;&gt;"تسليم",NOT(ISNUMBER($E320))),"",COUNTIFS($A$5:$A$1504,$A320,$D$5:$D$1504,"تسليم",$E$5:$E$1504,"&lt;"&amp;$E320)+1)</f>
        <v/>
      </c>
      <c r="H320" s="33" t="str">
        <f aca="false">IF($G320="","",_xlfn.MINIFS($E$5:$E$1504,$A$5:$A$1504,$A320,$D$5:$D$1504,"&lt;&gt;تسليم",$E$5:$E$1504,"&gt;="&amp;$E320))</f>
        <v/>
      </c>
      <c r="I320" s="33" t="str">
        <f aca="false">IF($G320="","",_xlfn.MINIFS($E$5:$E$1504,$A$5:$A$1504,$A320,$D$5:$D$1504,"تسليم",$E$5:$E$1504,"&gt;"&amp;$E320))</f>
        <v/>
      </c>
      <c r="J320" s="33" t="str">
        <f aca="false">IF($G320="","",IF(H320&gt;0,IF(I320&gt;0,MIN(H320,I320),H320),IF(I320&gt;0,I320,تاريخ_الاحتساب)))</f>
        <v/>
      </c>
      <c r="K320" s="34" t="str">
        <f aca="false">IF($G320="","",IF(AND(H320=0,I320=0),"جارية","مغلقة"))</f>
        <v/>
      </c>
      <c r="L320" s="26" t="str">
        <f aca="false">IF($G320="","",MAX(0,NETWORKDAYS.INTL($E320,J320,رمز_العطلة,أيام_الأجازات)-1))</f>
        <v/>
      </c>
      <c r="M320" s="26" t="str">
        <f aca="false">IF($G320="","",MAX(0,L320-مهلة_المراجعة))</f>
        <v/>
      </c>
      <c r="N320" s="30" t="str">
        <f aca="false">IF($A320="",IF(OR($D320&lt;&gt;"",$E320&lt;&gt;""),"رقم المخرج ناقص",""),IF(ISNA(MATCH($A320,قائمة_المخرجات,0)),"رقم مخرج غير موجود",IF($D320="","نوع الحركة ناقص",IF(NOT(ISNUMBER($E320)),"التاريخ ناقص",IF($E320&gt;تاريخ_الاحتساب,"تاريخ بعد تاريخ الاحتساب",IF(AND($D320&lt;&gt;"تسليم",COUNTIFS($A$5:$A$1504,$A320,$D$5:$D$1504,"تسليم",$E$5:$E$1504,"&lt;="&amp;$E320)=0),"لا يوجد تسليم قبل الحركة دي",""))))))</f>
        <v/>
      </c>
    </row>
    <row r="321" customFormat="false" ht="15" hidden="false" customHeight="false" outlineLevel="0" collapsed="false">
      <c r="A321" s="20"/>
      <c r="B321" s="35" t="str">
        <f aca="false">IF($A321="","",IFERROR(INDEX(مخرج_البند,MATCH($A321,قائمة_المخرجات,0)),""))</f>
        <v/>
      </c>
      <c r="C321" s="30" t="str">
        <f aca="false">IF($A321="","",IFERROR(INDEX(مخرج_الوصف,MATCH($A321,قائمة_المخرجات,0)),""))</f>
        <v/>
      </c>
      <c r="D321" s="20"/>
      <c r="E321" s="31"/>
      <c r="F321" s="22"/>
      <c r="G321" s="36" t="str">
        <f aca="false">IF(OR($A321="",$D321&lt;&gt;"تسليم",NOT(ISNUMBER($E321))),"",COUNTIFS($A$5:$A$1504,$A321,$D$5:$D$1504,"تسليم",$E$5:$E$1504,"&lt;"&amp;$E321)+1)</f>
        <v/>
      </c>
      <c r="H321" s="33" t="str">
        <f aca="false">IF($G321="","",_xlfn.MINIFS($E$5:$E$1504,$A$5:$A$1504,$A321,$D$5:$D$1504,"&lt;&gt;تسليم",$E$5:$E$1504,"&gt;="&amp;$E321))</f>
        <v/>
      </c>
      <c r="I321" s="33" t="str">
        <f aca="false">IF($G321="","",_xlfn.MINIFS($E$5:$E$1504,$A$5:$A$1504,$A321,$D$5:$D$1504,"تسليم",$E$5:$E$1504,"&gt;"&amp;$E321))</f>
        <v/>
      </c>
      <c r="J321" s="33" t="str">
        <f aca="false">IF($G321="","",IF(H321&gt;0,IF(I321&gt;0,MIN(H321,I321),H321),IF(I321&gt;0,I321,تاريخ_الاحتساب)))</f>
        <v/>
      </c>
      <c r="K321" s="34" t="str">
        <f aca="false">IF($G321="","",IF(AND(H321=0,I321=0),"جارية","مغلقة"))</f>
        <v/>
      </c>
      <c r="L321" s="26" t="str">
        <f aca="false">IF($G321="","",MAX(0,NETWORKDAYS.INTL($E321,J321,رمز_العطلة,أيام_الأجازات)-1))</f>
        <v/>
      </c>
      <c r="M321" s="26" t="str">
        <f aca="false">IF($G321="","",MAX(0,L321-مهلة_المراجعة))</f>
        <v/>
      </c>
      <c r="N321" s="30" t="str">
        <f aca="false">IF($A321="",IF(OR($D321&lt;&gt;"",$E321&lt;&gt;""),"رقم المخرج ناقص",""),IF(ISNA(MATCH($A321,قائمة_المخرجات,0)),"رقم مخرج غير موجود",IF($D321="","نوع الحركة ناقص",IF(NOT(ISNUMBER($E321)),"التاريخ ناقص",IF($E321&gt;تاريخ_الاحتساب,"تاريخ بعد تاريخ الاحتساب",IF(AND($D321&lt;&gt;"تسليم",COUNTIFS($A$5:$A$1504,$A321,$D$5:$D$1504,"تسليم",$E$5:$E$1504,"&lt;="&amp;$E321)=0),"لا يوجد تسليم قبل الحركة دي",""))))))</f>
        <v/>
      </c>
    </row>
    <row r="322" customFormat="false" ht="15" hidden="false" customHeight="false" outlineLevel="0" collapsed="false">
      <c r="A322" s="20"/>
      <c r="B322" s="35" t="str">
        <f aca="false">IF($A322="","",IFERROR(INDEX(مخرج_البند,MATCH($A322,قائمة_المخرجات,0)),""))</f>
        <v/>
      </c>
      <c r="C322" s="30" t="str">
        <f aca="false">IF($A322="","",IFERROR(INDEX(مخرج_الوصف,MATCH($A322,قائمة_المخرجات,0)),""))</f>
        <v/>
      </c>
      <c r="D322" s="20"/>
      <c r="E322" s="31"/>
      <c r="F322" s="22"/>
      <c r="G322" s="36" t="str">
        <f aca="false">IF(OR($A322="",$D322&lt;&gt;"تسليم",NOT(ISNUMBER($E322))),"",COUNTIFS($A$5:$A$1504,$A322,$D$5:$D$1504,"تسليم",$E$5:$E$1504,"&lt;"&amp;$E322)+1)</f>
        <v/>
      </c>
      <c r="H322" s="33" t="str">
        <f aca="false">IF($G322="","",_xlfn.MINIFS($E$5:$E$1504,$A$5:$A$1504,$A322,$D$5:$D$1504,"&lt;&gt;تسليم",$E$5:$E$1504,"&gt;="&amp;$E322))</f>
        <v/>
      </c>
      <c r="I322" s="33" t="str">
        <f aca="false">IF($G322="","",_xlfn.MINIFS($E$5:$E$1504,$A$5:$A$1504,$A322,$D$5:$D$1504,"تسليم",$E$5:$E$1504,"&gt;"&amp;$E322))</f>
        <v/>
      </c>
      <c r="J322" s="33" t="str">
        <f aca="false">IF($G322="","",IF(H322&gt;0,IF(I322&gt;0,MIN(H322,I322),H322),IF(I322&gt;0,I322,تاريخ_الاحتساب)))</f>
        <v/>
      </c>
      <c r="K322" s="34" t="str">
        <f aca="false">IF($G322="","",IF(AND(H322=0,I322=0),"جارية","مغلقة"))</f>
        <v/>
      </c>
      <c r="L322" s="26" t="str">
        <f aca="false">IF($G322="","",MAX(0,NETWORKDAYS.INTL($E322,J322,رمز_العطلة,أيام_الأجازات)-1))</f>
        <v/>
      </c>
      <c r="M322" s="26" t="str">
        <f aca="false">IF($G322="","",MAX(0,L322-مهلة_المراجعة))</f>
        <v/>
      </c>
      <c r="N322" s="30" t="str">
        <f aca="false">IF($A322="",IF(OR($D322&lt;&gt;"",$E322&lt;&gt;""),"رقم المخرج ناقص",""),IF(ISNA(MATCH($A322,قائمة_المخرجات,0)),"رقم مخرج غير موجود",IF($D322="","نوع الحركة ناقص",IF(NOT(ISNUMBER($E322)),"التاريخ ناقص",IF($E322&gt;تاريخ_الاحتساب,"تاريخ بعد تاريخ الاحتساب",IF(AND($D322&lt;&gt;"تسليم",COUNTIFS($A$5:$A$1504,$A322,$D$5:$D$1504,"تسليم",$E$5:$E$1504,"&lt;="&amp;$E322)=0),"لا يوجد تسليم قبل الحركة دي",""))))))</f>
        <v/>
      </c>
    </row>
    <row r="323" customFormat="false" ht="15" hidden="false" customHeight="false" outlineLevel="0" collapsed="false">
      <c r="A323" s="20"/>
      <c r="B323" s="35" t="str">
        <f aca="false">IF($A323="","",IFERROR(INDEX(مخرج_البند,MATCH($A323,قائمة_المخرجات,0)),""))</f>
        <v/>
      </c>
      <c r="C323" s="30" t="str">
        <f aca="false">IF($A323="","",IFERROR(INDEX(مخرج_الوصف,MATCH($A323,قائمة_المخرجات,0)),""))</f>
        <v/>
      </c>
      <c r="D323" s="20"/>
      <c r="E323" s="31"/>
      <c r="F323" s="22"/>
      <c r="G323" s="36" t="str">
        <f aca="false">IF(OR($A323="",$D323&lt;&gt;"تسليم",NOT(ISNUMBER($E323))),"",COUNTIFS($A$5:$A$1504,$A323,$D$5:$D$1504,"تسليم",$E$5:$E$1504,"&lt;"&amp;$E323)+1)</f>
        <v/>
      </c>
      <c r="H323" s="33" t="str">
        <f aca="false">IF($G323="","",_xlfn.MINIFS($E$5:$E$1504,$A$5:$A$1504,$A323,$D$5:$D$1504,"&lt;&gt;تسليم",$E$5:$E$1504,"&gt;="&amp;$E323))</f>
        <v/>
      </c>
      <c r="I323" s="33" t="str">
        <f aca="false">IF($G323="","",_xlfn.MINIFS($E$5:$E$1504,$A$5:$A$1504,$A323,$D$5:$D$1504,"تسليم",$E$5:$E$1504,"&gt;"&amp;$E323))</f>
        <v/>
      </c>
      <c r="J323" s="33" t="str">
        <f aca="false">IF($G323="","",IF(H323&gt;0,IF(I323&gt;0,MIN(H323,I323),H323),IF(I323&gt;0,I323,تاريخ_الاحتساب)))</f>
        <v/>
      </c>
      <c r="K323" s="34" t="str">
        <f aca="false">IF($G323="","",IF(AND(H323=0,I323=0),"جارية","مغلقة"))</f>
        <v/>
      </c>
      <c r="L323" s="26" t="str">
        <f aca="false">IF($G323="","",MAX(0,NETWORKDAYS.INTL($E323,J323,رمز_العطلة,أيام_الأجازات)-1))</f>
        <v/>
      </c>
      <c r="M323" s="26" t="str">
        <f aca="false">IF($G323="","",MAX(0,L323-مهلة_المراجعة))</f>
        <v/>
      </c>
      <c r="N323" s="30" t="str">
        <f aca="false">IF($A323="",IF(OR($D323&lt;&gt;"",$E323&lt;&gt;""),"رقم المخرج ناقص",""),IF(ISNA(MATCH($A323,قائمة_المخرجات,0)),"رقم مخرج غير موجود",IF($D323="","نوع الحركة ناقص",IF(NOT(ISNUMBER($E323)),"التاريخ ناقص",IF($E323&gt;تاريخ_الاحتساب,"تاريخ بعد تاريخ الاحتساب",IF(AND($D323&lt;&gt;"تسليم",COUNTIFS($A$5:$A$1504,$A323,$D$5:$D$1504,"تسليم",$E$5:$E$1504,"&lt;="&amp;$E323)=0),"لا يوجد تسليم قبل الحركة دي",""))))))</f>
        <v/>
      </c>
    </row>
    <row r="324" customFormat="false" ht="15" hidden="false" customHeight="false" outlineLevel="0" collapsed="false">
      <c r="A324" s="20"/>
      <c r="B324" s="35" t="str">
        <f aca="false">IF($A324="","",IFERROR(INDEX(مخرج_البند,MATCH($A324,قائمة_المخرجات,0)),""))</f>
        <v/>
      </c>
      <c r="C324" s="30" t="str">
        <f aca="false">IF($A324="","",IFERROR(INDEX(مخرج_الوصف,MATCH($A324,قائمة_المخرجات,0)),""))</f>
        <v/>
      </c>
      <c r="D324" s="20"/>
      <c r="E324" s="31"/>
      <c r="F324" s="22"/>
      <c r="G324" s="36" t="str">
        <f aca="false">IF(OR($A324="",$D324&lt;&gt;"تسليم",NOT(ISNUMBER($E324))),"",COUNTIFS($A$5:$A$1504,$A324,$D$5:$D$1504,"تسليم",$E$5:$E$1504,"&lt;"&amp;$E324)+1)</f>
        <v/>
      </c>
      <c r="H324" s="33" t="str">
        <f aca="false">IF($G324="","",_xlfn.MINIFS($E$5:$E$1504,$A$5:$A$1504,$A324,$D$5:$D$1504,"&lt;&gt;تسليم",$E$5:$E$1504,"&gt;="&amp;$E324))</f>
        <v/>
      </c>
      <c r="I324" s="33" t="str">
        <f aca="false">IF($G324="","",_xlfn.MINIFS($E$5:$E$1504,$A$5:$A$1504,$A324,$D$5:$D$1504,"تسليم",$E$5:$E$1504,"&gt;"&amp;$E324))</f>
        <v/>
      </c>
      <c r="J324" s="33" t="str">
        <f aca="false">IF($G324="","",IF(H324&gt;0,IF(I324&gt;0,MIN(H324,I324),H324),IF(I324&gt;0,I324,تاريخ_الاحتساب)))</f>
        <v/>
      </c>
      <c r="K324" s="34" t="str">
        <f aca="false">IF($G324="","",IF(AND(H324=0,I324=0),"جارية","مغلقة"))</f>
        <v/>
      </c>
      <c r="L324" s="26" t="str">
        <f aca="false">IF($G324="","",MAX(0,NETWORKDAYS.INTL($E324,J324,رمز_العطلة,أيام_الأجازات)-1))</f>
        <v/>
      </c>
      <c r="M324" s="26" t="str">
        <f aca="false">IF($G324="","",MAX(0,L324-مهلة_المراجعة))</f>
        <v/>
      </c>
      <c r="N324" s="30" t="str">
        <f aca="false">IF($A324="",IF(OR($D324&lt;&gt;"",$E324&lt;&gt;""),"رقم المخرج ناقص",""),IF(ISNA(MATCH($A324,قائمة_المخرجات,0)),"رقم مخرج غير موجود",IF($D324="","نوع الحركة ناقص",IF(NOT(ISNUMBER($E324)),"التاريخ ناقص",IF($E324&gt;تاريخ_الاحتساب,"تاريخ بعد تاريخ الاحتساب",IF(AND($D324&lt;&gt;"تسليم",COUNTIFS($A$5:$A$1504,$A324,$D$5:$D$1504,"تسليم",$E$5:$E$1504,"&lt;="&amp;$E324)=0),"لا يوجد تسليم قبل الحركة دي",""))))))</f>
        <v/>
      </c>
    </row>
    <row r="325" customFormat="false" ht="15" hidden="false" customHeight="false" outlineLevel="0" collapsed="false">
      <c r="A325" s="20"/>
      <c r="B325" s="35" t="str">
        <f aca="false">IF($A325="","",IFERROR(INDEX(مخرج_البند,MATCH($A325,قائمة_المخرجات,0)),""))</f>
        <v/>
      </c>
      <c r="C325" s="30" t="str">
        <f aca="false">IF($A325="","",IFERROR(INDEX(مخرج_الوصف,MATCH($A325,قائمة_المخرجات,0)),""))</f>
        <v/>
      </c>
      <c r="D325" s="20"/>
      <c r="E325" s="31"/>
      <c r="F325" s="22"/>
      <c r="G325" s="36" t="str">
        <f aca="false">IF(OR($A325="",$D325&lt;&gt;"تسليم",NOT(ISNUMBER($E325))),"",COUNTIFS($A$5:$A$1504,$A325,$D$5:$D$1504,"تسليم",$E$5:$E$1504,"&lt;"&amp;$E325)+1)</f>
        <v/>
      </c>
      <c r="H325" s="33" t="str">
        <f aca="false">IF($G325="","",_xlfn.MINIFS($E$5:$E$1504,$A$5:$A$1504,$A325,$D$5:$D$1504,"&lt;&gt;تسليم",$E$5:$E$1504,"&gt;="&amp;$E325))</f>
        <v/>
      </c>
      <c r="I325" s="33" t="str">
        <f aca="false">IF($G325="","",_xlfn.MINIFS($E$5:$E$1504,$A$5:$A$1504,$A325,$D$5:$D$1504,"تسليم",$E$5:$E$1504,"&gt;"&amp;$E325))</f>
        <v/>
      </c>
      <c r="J325" s="33" t="str">
        <f aca="false">IF($G325="","",IF(H325&gt;0,IF(I325&gt;0,MIN(H325,I325),H325),IF(I325&gt;0,I325,تاريخ_الاحتساب)))</f>
        <v/>
      </c>
      <c r="K325" s="34" t="str">
        <f aca="false">IF($G325="","",IF(AND(H325=0,I325=0),"جارية","مغلقة"))</f>
        <v/>
      </c>
      <c r="L325" s="26" t="str">
        <f aca="false">IF($G325="","",MAX(0,NETWORKDAYS.INTL($E325,J325,رمز_العطلة,أيام_الأجازات)-1))</f>
        <v/>
      </c>
      <c r="M325" s="26" t="str">
        <f aca="false">IF($G325="","",MAX(0,L325-مهلة_المراجعة))</f>
        <v/>
      </c>
      <c r="N325" s="30" t="str">
        <f aca="false">IF($A325="",IF(OR($D325&lt;&gt;"",$E325&lt;&gt;""),"رقم المخرج ناقص",""),IF(ISNA(MATCH($A325,قائمة_المخرجات,0)),"رقم مخرج غير موجود",IF($D325="","نوع الحركة ناقص",IF(NOT(ISNUMBER($E325)),"التاريخ ناقص",IF($E325&gt;تاريخ_الاحتساب,"تاريخ بعد تاريخ الاحتساب",IF(AND($D325&lt;&gt;"تسليم",COUNTIFS($A$5:$A$1504,$A325,$D$5:$D$1504,"تسليم",$E$5:$E$1504,"&lt;="&amp;$E325)=0),"لا يوجد تسليم قبل الحركة دي",""))))))</f>
        <v/>
      </c>
    </row>
    <row r="326" customFormat="false" ht="15" hidden="false" customHeight="false" outlineLevel="0" collapsed="false">
      <c r="A326" s="20"/>
      <c r="B326" s="35" t="str">
        <f aca="false">IF($A326="","",IFERROR(INDEX(مخرج_البند,MATCH($A326,قائمة_المخرجات,0)),""))</f>
        <v/>
      </c>
      <c r="C326" s="30" t="str">
        <f aca="false">IF($A326="","",IFERROR(INDEX(مخرج_الوصف,MATCH($A326,قائمة_المخرجات,0)),""))</f>
        <v/>
      </c>
      <c r="D326" s="20"/>
      <c r="E326" s="31"/>
      <c r="F326" s="22"/>
      <c r="G326" s="36" t="str">
        <f aca="false">IF(OR($A326="",$D326&lt;&gt;"تسليم",NOT(ISNUMBER($E326))),"",COUNTIFS($A$5:$A$1504,$A326,$D$5:$D$1504,"تسليم",$E$5:$E$1504,"&lt;"&amp;$E326)+1)</f>
        <v/>
      </c>
      <c r="H326" s="33" t="str">
        <f aca="false">IF($G326="","",_xlfn.MINIFS($E$5:$E$1504,$A$5:$A$1504,$A326,$D$5:$D$1504,"&lt;&gt;تسليم",$E$5:$E$1504,"&gt;="&amp;$E326))</f>
        <v/>
      </c>
      <c r="I326" s="33" t="str">
        <f aca="false">IF($G326="","",_xlfn.MINIFS($E$5:$E$1504,$A$5:$A$1504,$A326,$D$5:$D$1504,"تسليم",$E$5:$E$1504,"&gt;"&amp;$E326))</f>
        <v/>
      </c>
      <c r="J326" s="33" t="str">
        <f aca="false">IF($G326="","",IF(H326&gt;0,IF(I326&gt;0,MIN(H326,I326),H326),IF(I326&gt;0,I326,تاريخ_الاحتساب)))</f>
        <v/>
      </c>
      <c r="K326" s="34" t="str">
        <f aca="false">IF($G326="","",IF(AND(H326=0,I326=0),"جارية","مغلقة"))</f>
        <v/>
      </c>
      <c r="L326" s="26" t="str">
        <f aca="false">IF($G326="","",MAX(0,NETWORKDAYS.INTL($E326,J326,رمز_العطلة,أيام_الأجازات)-1))</f>
        <v/>
      </c>
      <c r="M326" s="26" t="str">
        <f aca="false">IF($G326="","",MAX(0,L326-مهلة_المراجعة))</f>
        <v/>
      </c>
      <c r="N326" s="30" t="str">
        <f aca="false">IF($A326="",IF(OR($D326&lt;&gt;"",$E326&lt;&gt;""),"رقم المخرج ناقص",""),IF(ISNA(MATCH($A326,قائمة_المخرجات,0)),"رقم مخرج غير موجود",IF($D326="","نوع الحركة ناقص",IF(NOT(ISNUMBER($E326)),"التاريخ ناقص",IF($E326&gt;تاريخ_الاحتساب,"تاريخ بعد تاريخ الاحتساب",IF(AND($D326&lt;&gt;"تسليم",COUNTIFS($A$5:$A$1504,$A326,$D$5:$D$1504,"تسليم",$E$5:$E$1504,"&lt;="&amp;$E326)=0),"لا يوجد تسليم قبل الحركة دي",""))))))</f>
        <v/>
      </c>
    </row>
    <row r="327" customFormat="false" ht="15" hidden="false" customHeight="false" outlineLevel="0" collapsed="false">
      <c r="A327" s="20"/>
      <c r="B327" s="35" t="str">
        <f aca="false">IF($A327="","",IFERROR(INDEX(مخرج_البند,MATCH($A327,قائمة_المخرجات,0)),""))</f>
        <v/>
      </c>
      <c r="C327" s="30" t="str">
        <f aca="false">IF($A327="","",IFERROR(INDEX(مخرج_الوصف,MATCH($A327,قائمة_المخرجات,0)),""))</f>
        <v/>
      </c>
      <c r="D327" s="20"/>
      <c r="E327" s="31"/>
      <c r="F327" s="22"/>
      <c r="G327" s="36" t="str">
        <f aca="false">IF(OR($A327="",$D327&lt;&gt;"تسليم",NOT(ISNUMBER($E327))),"",COUNTIFS($A$5:$A$1504,$A327,$D$5:$D$1504,"تسليم",$E$5:$E$1504,"&lt;"&amp;$E327)+1)</f>
        <v/>
      </c>
      <c r="H327" s="33" t="str">
        <f aca="false">IF($G327="","",_xlfn.MINIFS($E$5:$E$1504,$A$5:$A$1504,$A327,$D$5:$D$1504,"&lt;&gt;تسليم",$E$5:$E$1504,"&gt;="&amp;$E327))</f>
        <v/>
      </c>
      <c r="I327" s="33" t="str">
        <f aca="false">IF($G327="","",_xlfn.MINIFS($E$5:$E$1504,$A$5:$A$1504,$A327,$D$5:$D$1504,"تسليم",$E$5:$E$1504,"&gt;"&amp;$E327))</f>
        <v/>
      </c>
      <c r="J327" s="33" t="str">
        <f aca="false">IF($G327="","",IF(H327&gt;0,IF(I327&gt;0,MIN(H327,I327),H327),IF(I327&gt;0,I327,تاريخ_الاحتساب)))</f>
        <v/>
      </c>
      <c r="K327" s="34" t="str">
        <f aca="false">IF($G327="","",IF(AND(H327=0,I327=0),"جارية","مغلقة"))</f>
        <v/>
      </c>
      <c r="L327" s="26" t="str">
        <f aca="false">IF($G327="","",MAX(0,NETWORKDAYS.INTL($E327,J327,رمز_العطلة,أيام_الأجازات)-1))</f>
        <v/>
      </c>
      <c r="M327" s="26" t="str">
        <f aca="false">IF($G327="","",MAX(0,L327-مهلة_المراجعة))</f>
        <v/>
      </c>
      <c r="N327" s="30" t="str">
        <f aca="false">IF($A327="",IF(OR($D327&lt;&gt;"",$E327&lt;&gt;""),"رقم المخرج ناقص",""),IF(ISNA(MATCH($A327,قائمة_المخرجات,0)),"رقم مخرج غير موجود",IF($D327="","نوع الحركة ناقص",IF(NOT(ISNUMBER($E327)),"التاريخ ناقص",IF($E327&gt;تاريخ_الاحتساب,"تاريخ بعد تاريخ الاحتساب",IF(AND($D327&lt;&gt;"تسليم",COUNTIFS($A$5:$A$1504,$A327,$D$5:$D$1504,"تسليم",$E$5:$E$1504,"&lt;="&amp;$E327)=0),"لا يوجد تسليم قبل الحركة دي",""))))))</f>
        <v/>
      </c>
    </row>
    <row r="328" customFormat="false" ht="15" hidden="false" customHeight="false" outlineLevel="0" collapsed="false">
      <c r="A328" s="20"/>
      <c r="B328" s="35" t="str">
        <f aca="false">IF($A328="","",IFERROR(INDEX(مخرج_البند,MATCH($A328,قائمة_المخرجات,0)),""))</f>
        <v/>
      </c>
      <c r="C328" s="30" t="str">
        <f aca="false">IF($A328="","",IFERROR(INDEX(مخرج_الوصف,MATCH($A328,قائمة_المخرجات,0)),""))</f>
        <v/>
      </c>
      <c r="D328" s="20"/>
      <c r="E328" s="31"/>
      <c r="F328" s="22"/>
      <c r="G328" s="36" t="str">
        <f aca="false">IF(OR($A328="",$D328&lt;&gt;"تسليم",NOT(ISNUMBER($E328))),"",COUNTIFS($A$5:$A$1504,$A328,$D$5:$D$1504,"تسليم",$E$5:$E$1504,"&lt;"&amp;$E328)+1)</f>
        <v/>
      </c>
      <c r="H328" s="33" t="str">
        <f aca="false">IF($G328="","",_xlfn.MINIFS($E$5:$E$1504,$A$5:$A$1504,$A328,$D$5:$D$1504,"&lt;&gt;تسليم",$E$5:$E$1504,"&gt;="&amp;$E328))</f>
        <v/>
      </c>
      <c r="I328" s="33" t="str">
        <f aca="false">IF($G328="","",_xlfn.MINIFS($E$5:$E$1504,$A$5:$A$1504,$A328,$D$5:$D$1504,"تسليم",$E$5:$E$1504,"&gt;"&amp;$E328))</f>
        <v/>
      </c>
      <c r="J328" s="33" t="str">
        <f aca="false">IF($G328="","",IF(H328&gt;0,IF(I328&gt;0,MIN(H328,I328),H328),IF(I328&gt;0,I328,تاريخ_الاحتساب)))</f>
        <v/>
      </c>
      <c r="K328" s="34" t="str">
        <f aca="false">IF($G328="","",IF(AND(H328=0,I328=0),"جارية","مغلقة"))</f>
        <v/>
      </c>
      <c r="L328" s="26" t="str">
        <f aca="false">IF($G328="","",MAX(0,NETWORKDAYS.INTL($E328,J328,رمز_العطلة,أيام_الأجازات)-1))</f>
        <v/>
      </c>
      <c r="M328" s="26" t="str">
        <f aca="false">IF($G328="","",MAX(0,L328-مهلة_المراجعة))</f>
        <v/>
      </c>
      <c r="N328" s="30" t="str">
        <f aca="false">IF($A328="",IF(OR($D328&lt;&gt;"",$E328&lt;&gt;""),"رقم المخرج ناقص",""),IF(ISNA(MATCH($A328,قائمة_المخرجات,0)),"رقم مخرج غير موجود",IF($D328="","نوع الحركة ناقص",IF(NOT(ISNUMBER($E328)),"التاريخ ناقص",IF($E328&gt;تاريخ_الاحتساب,"تاريخ بعد تاريخ الاحتساب",IF(AND($D328&lt;&gt;"تسليم",COUNTIFS($A$5:$A$1504,$A328,$D$5:$D$1504,"تسليم",$E$5:$E$1504,"&lt;="&amp;$E328)=0),"لا يوجد تسليم قبل الحركة دي",""))))))</f>
        <v/>
      </c>
    </row>
    <row r="329" customFormat="false" ht="15" hidden="false" customHeight="false" outlineLevel="0" collapsed="false">
      <c r="A329" s="20"/>
      <c r="B329" s="35" t="str">
        <f aca="false">IF($A329="","",IFERROR(INDEX(مخرج_البند,MATCH($A329,قائمة_المخرجات,0)),""))</f>
        <v/>
      </c>
      <c r="C329" s="30" t="str">
        <f aca="false">IF($A329="","",IFERROR(INDEX(مخرج_الوصف,MATCH($A329,قائمة_المخرجات,0)),""))</f>
        <v/>
      </c>
      <c r="D329" s="20"/>
      <c r="E329" s="31"/>
      <c r="F329" s="22"/>
      <c r="G329" s="36" t="str">
        <f aca="false">IF(OR($A329="",$D329&lt;&gt;"تسليم",NOT(ISNUMBER($E329))),"",COUNTIFS($A$5:$A$1504,$A329,$D$5:$D$1504,"تسليم",$E$5:$E$1504,"&lt;"&amp;$E329)+1)</f>
        <v/>
      </c>
      <c r="H329" s="33" t="str">
        <f aca="false">IF($G329="","",_xlfn.MINIFS($E$5:$E$1504,$A$5:$A$1504,$A329,$D$5:$D$1504,"&lt;&gt;تسليم",$E$5:$E$1504,"&gt;="&amp;$E329))</f>
        <v/>
      </c>
      <c r="I329" s="33" t="str">
        <f aca="false">IF($G329="","",_xlfn.MINIFS($E$5:$E$1504,$A$5:$A$1504,$A329,$D$5:$D$1504,"تسليم",$E$5:$E$1504,"&gt;"&amp;$E329))</f>
        <v/>
      </c>
      <c r="J329" s="33" t="str">
        <f aca="false">IF($G329="","",IF(H329&gt;0,IF(I329&gt;0,MIN(H329,I329),H329),IF(I329&gt;0,I329,تاريخ_الاحتساب)))</f>
        <v/>
      </c>
      <c r="K329" s="34" t="str">
        <f aca="false">IF($G329="","",IF(AND(H329=0,I329=0),"جارية","مغلقة"))</f>
        <v/>
      </c>
      <c r="L329" s="26" t="str">
        <f aca="false">IF($G329="","",MAX(0,NETWORKDAYS.INTL($E329,J329,رمز_العطلة,أيام_الأجازات)-1))</f>
        <v/>
      </c>
      <c r="M329" s="26" t="str">
        <f aca="false">IF($G329="","",MAX(0,L329-مهلة_المراجعة))</f>
        <v/>
      </c>
      <c r="N329" s="30" t="str">
        <f aca="false">IF($A329="",IF(OR($D329&lt;&gt;"",$E329&lt;&gt;""),"رقم المخرج ناقص",""),IF(ISNA(MATCH($A329,قائمة_المخرجات,0)),"رقم مخرج غير موجود",IF($D329="","نوع الحركة ناقص",IF(NOT(ISNUMBER($E329)),"التاريخ ناقص",IF($E329&gt;تاريخ_الاحتساب,"تاريخ بعد تاريخ الاحتساب",IF(AND($D329&lt;&gt;"تسليم",COUNTIFS($A$5:$A$1504,$A329,$D$5:$D$1504,"تسليم",$E$5:$E$1504,"&lt;="&amp;$E329)=0),"لا يوجد تسليم قبل الحركة دي",""))))))</f>
        <v/>
      </c>
    </row>
    <row r="330" customFormat="false" ht="15" hidden="false" customHeight="false" outlineLevel="0" collapsed="false">
      <c r="A330" s="20"/>
      <c r="B330" s="35" t="str">
        <f aca="false">IF($A330="","",IFERROR(INDEX(مخرج_البند,MATCH($A330,قائمة_المخرجات,0)),""))</f>
        <v/>
      </c>
      <c r="C330" s="30" t="str">
        <f aca="false">IF($A330="","",IFERROR(INDEX(مخرج_الوصف,MATCH($A330,قائمة_المخرجات,0)),""))</f>
        <v/>
      </c>
      <c r="D330" s="20"/>
      <c r="E330" s="31"/>
      <c r="F330" s="22"/>
      <c r="G330" s="36" t="str">
        <f aca="false">IF(OR($A330="",$D330&lt;&gt;"تسليم",NOT(ISNUMBER($E330))),"",COUNTIFS($A$5:$A$1504,$A330,$D$5:$D$1504,"تسليم",$E$5:$E$1504,"&lt;"&amp;$E330)+1)</f>
        <v/>
      </c>
      <c r="H330" s="33" t="str">
        <f aca="false">IF($G330="","",_xlfn.MINIFS($E$5:$E$1504,$A$5:$A$1504,$A330,$D$5:$D$1504,"&lt;&gt;تسليم",$E$5:$E$1504,"&gt;="&amp;$E330))</f>
        <v/>
      </c>
      <c r="I330" s="33" t="str">
        <f aca="false">IF($G330="","",_xlfn.MINIFS($E$5:$E$1504,$A$5:$A$1504,$A330,$D$5:$D$1504,"تسليم",$E$5:$E$1504,"&gt;"&amp;$E330))</f>
        <v/>
      </c>
      <c r="J330" s="33" t="str">
        <f aca="false">IF($G330="","",IF(H330&gt;0,IF(I330&gt;0,MIN(H330,I330),H330),IF(I330&gt;0,I330,تاريخ_الاحتساب)))</f>
        <v/>
      </c>
      <c r="K330" s="34" t="str">
        <f aca="false">IF($G330="","",IF(AND(H330=0,I330=0),"جارية","مغلقة"))</f>
        <v/>
      </c>
      <c r="L330" s="26" t="str">
        <f aca="false">IF($G330="","",MAX(0,NETWORKDAYS.INTL($E330,J330,رمز_العطلة,أيام_الأجازات)-1))</f>
        <v/>
      </c>
      <c r="M330" s="26" t="str">
        <f aca="false">IF($G330="","",MAX(0,L330-مهلة_المراجعة))</f>
        <v/>
      </c>
      <c r="N330" s="30" t="str">
        <f aca="false">IF($A330="",IF(OR($D330&lt;&gt;"",$E330&lt;&gt;""),"رقم المخرج ناقص",""),IF(ISNA(MATCH($A330,قائمة_المخرجات,0)),"رقم مخرج غير موجود",IF($D330="","نوع الحركة ناقص",IF(NOT(ISNUMBER($E330)),"التاريخ ناقص",IF($E330&gt;تاريخ_الاحتساب,"تاريخ بعد تاريخ الاحتساب",IF(AND($D330&lt;&gt;"تسليم",COUNTIFS($A$5:$A$1504,$A330,$D$5:$D$1504,"تسليم",$E$5:$E$1504,"&lt;="&amp;$E330)=0),"لا يوجد تسليم قبل الحركة دي",""))))))</f>
        <v/>
      </c>
    </row>
    <row r="331" customFormat="false" ht="15" hidden="false" customHeight="false" outlineLevel="0" collapsed="false">
      <c r="A331" s="20"/>
      <c r="B331" s="35" t="str">
        <f aca="false">IF($A331="","",IFERROR(INDEX(مخرج_البند,MATCH($A331,قائمة_المخرجات,0)),""))</f>
        <v/>
      </c>
      <c r="C331" s="30" t="str">
        <f aca="false">IF($A331="","",IFERROR(INDEX(مخرج_الوصف,MATCH($A331,قائمة_المخرجات,0)),""))</f>
        <v/>
      </c>
      <c r="D331" s="20"/>
      <c r="E331" s="31"/>
      <c r="F331" s="22"/>
      <c r="G331" s="36" t="str">
        <f aca="false">IF(OR($A331="",$D331&lt;&gt;"تسليم",NOT(ISNUMBER($E331))),"",COUNTIFS($A$5:$A$1504,$A331,$D$5:$D$1504,"تسليم",$E$5:$E$1504,"&lt;"&amp;$E331)+1)</f>
        <v/>
      </c>
      <c r="H331" s="33" t="str">
        <f aca="false">IF($G331="","",_xlfn.MINIFS($E$5:$E$1504,$A$5:$A$1504,$A331,$D$5:$D$1504,"&lt;&gt;تسليم",$E$5:$E$1504,"&gt;="&amp;$E331))</f>
        <v/>
      </c>
      <c r="I331" s="33" t="str">
        <f aca="false">IF($G331="","",_xlfn.MINIFS($E$5:$E$1504,$A$5:$A$1504,$A331,$D$5:$D$1504,"تسليم",$E$5:$E$1504,"&gt;"&amp;$E331))</f>
        <v/>
      </c>
      <c r="J331" s="33" t="str">
        <f aca="false">IF($G331="","",IF(H331&gt;0,IF(I331&gt;0,MIN(H331,I331),H331),IF(I331&gt;0,I331,تاريخ_الاحتساب)))</f>
        <v/>
      </c>
      <c r="K331" s="34" t="str">
        <f aca="false">IF($G331="","",IF(AND(H331=0,I331=0),"جارية","مغلقة"))</f>
        <v/>
      </c>
      <c r="L331" s="26" t="str">
        <f aca="false">IF($G331="","",MAX(0,NETWORKDAYS.INTL($E331,J331,رمز_العطلة,أيام_الأجازات)-1))</f>
        <v/>
      </c>
      <c r="M331" s="26" t="str">
        <f aca="false">IF($G331="","",MAX(0,L331-مهلة_المراجعة))</f>
        <v/>
      </c>
      <c r="N331" s="30" t="str">
        <f aca="false">IF($A331="",IF(OR($D331&lt;&gt;"",$E331&lt;&gt;""),"رقم المخرج ناقص",""),IF(ISNA(MATCH($A331,قائمة_المخرجات,0)),"رقم مخرج غير موجود",IF($D331="","نوع الحركة ناقص",IF(NOT(ISNUMBER($E331)),"التاريخ ناقص",IF($E331&gt;تاريخ_الاحتساب,"تاريخ بعد تاريخ الاحتساب",IF(AND($D331&lt;&gt;"تسليم",COUNTIFS($A$5:$A$1504,$A331,$D$5:$D$1504,"تسليم",$E$5:$E$1504,"&lt;="&amp;$E331)=0),"لا يوجد تسليم قبل الحركة دي",""))))))</f>
        <v/>
      </c>
    </row>
    <row r="332" customFormat="false" ht="15" hidden="false" customHeight="false" outlineLevel="0" collapsed="false">
      <c r="A332" s="20"/>
      <c r="B332" s="35" t="str">
        <f aca="false">IF($A332="","",IFERROR(INDEX(مخرج_البند,MATCH($A332,قائمة_المخرجات,0)),""))</f>
        <v/>
      </c>
      <c r="C332" s="30" t="str">
        <f aca="false">IF($A332="","",IFERROR(INDEX(مخرج_الوصف,MATCH($A332,قائمة_المخرجات,0)),""))</f>
        <v/>
      </c>
      <c r="D332" s="20"/>
      <c r="E332" s="31"/>
      <c r="F332" s="22"/>
      <c r="G332" s="36" t="str">
        <f aca="false">IF(OR($A332="",$D332&lt;&gt;"تسليم",NOT(ISNUMBER($E332))),"",COUNTIFS($A$5:$A$1504,$A332,$D$5:$D$1504,"تسليم",$E$5:$E$1504,"&lt;"&amp;$E332)+1)</f>
        <v/>
      </c>
      <c r="H332" s="33" t="str">
        <f aca="false">IF($G332="","",_xlfn.MINIFS($E$5:$E$1504,$A$5:$A$1504,$A332,$D$5:$D$1504,"&lt;&gt;تسليم",$E$5:$E$1504,"&gt;="&amp;$E332))</f>
        <v/>
      </c>
      <c r="I332" s="33" t="str">
        <f aca="false">IF($G332="","",_xlfn.MINIFS($E$5:$E$1504,$A$5:$A$1504,$A332,$D$5:$D$1504,"تسليم",$E$5:$E$1504,"&gt;"&amp;$E332))</f>
        <v/>
      </c>
      <c r="J332" s="33" t="str">
        <f aca="false">IF($G332="","",IF(H332&gt;0,IF(I332&gt;0,MIN(H332,I332),H332),IF(I332&gt;0,I332,تاريخ_الاحتساب)))</f>
        <v/>
      </c>
      <c r="K332" s="34" t="str">
        <f aca="false">IF($G332="","",IF(AND(H332=0,I332=0),"جارية","مغلقة"))</f>
        <v/>
      </c>
      <c r="L332" s="26" t="str">
        <f aca="false">IF($G332="","",MAX(0,NETWORKDAYS.INTL($E332,J332,رمز_العطلة,أيام_الأجازات)-1))</f>
        <v/>
      </c>
      <c r="M332" s="26" t="str">
        <f aca="false">IF($G332="","",MAX(0,L332-مهلة_المراجعة))</f>
        <v/>
      </c>
      <c r="N332" s="30" t="str">
        <f aca="false">IF($A332="",IF(OR($D332&lt;&gt;"",$E332&lt;&gt;""),"رقم المخرج ناقص",""),IF(ISNA(MATCH($A332,قائمة_المخرجات,0)),"رقم مخرج غير موجود",IF($D332="","نوع الحركة ناقص",IF(NOT(ISNUMBER($E332)),"التاريخ ناقص",IF($E332&gt;تاريخ_الاحتساب,"تاريخ بعد تاريخ الاحتساب",IF(AND($D332&lt;&gt;"تسليم",COUNTIFS($A$5:$A$1504,$A332,$D$5:$D$1504,"تسليم",$E$5:$E$1504,"&lt;="&amp;$E332)=0),"لا يوجد تسليم قبل الحركة دي",""))))))</f>
        <v/>
      </c>
    </row>
    <row r="333" customFormat="false" ht="15" hidden="false" customHeight="false" outlineLevel="0" collapsed="false">
      <c r="A333" s="20"/>
      <c r="B333" s="35" t="str">
        <f aca="false">IF($A333="","",IFERROR(INDEX(مخرج_البند,MATCH($A333,قائمة_المخرجات,0)),""))</f>
        <v/>
      </c>
      <c r="C333" s="30" t="str">
        <f aca="false">IF($A333="","",IFERROR(INDEX(مخرج_الوصف,MATCH($A333,قائمة_المخرجات,0)),""))</f>
        <v/>
      </c>
      <c r="D333" s="20"/>
      <c r="E333" s="31"/>
      <c r="F333" s="22"/>
      <c r="G333" s="36" t="str">
        <f aca="false">IF(OR($A333="",$D333&lt;&gt;"تسليم",NOT(ISNUMBER($E333))),"",COUNTIFS($A$5:$A$1504,$A333,$D$5:$D$1504,"تسليم",$E$5:$E$1504,"&lt;"&amp;$E333)+1)</f>
        <v/>
      </c>
      <c r="H333" s="33" t="str">
        <f aca="false">IF($G333="","",_xlfn.MINIFS($E$5:$E$1504,$A$5:$A$1504,$A333,$D$5:$D$1504,"&lt;&gt;تسليم",$E$5:$E$1504,"&gt;="&amp;$E333))</f>
        <v/>
      </c>
      <c r="I333" s="33" t="str">
        <f aca="false">IF($G333="","",_xlfn.MINIFS($E$5:$E$1504,$A$5:$A$1504,$A333,$D$5:$D$1504,"تسليم",$E$5:$E$1504,"&gt;"&amp;$E333))</f>
        <v/>
      </c>
      <c r="J333" s="33" t="str">
        <f aca="false">IF($G333="","",IF(H333&gt;0,IF(I333&gt;0,MIN(H333,I333),H333),IF(I333&gt;0,I333,تاريخ_الاحتساب)))</f>
        <v/>
      </c>
      <c r="K333" s="34" t="str">
        <f aca="false">IF($G333="","",IF(AND(H333=0,I333=0),"جارية","مغلقة"))</f>
        <v/>
      </c>
      <c r="L333" s="26" t="str">
        <f aca="false">IF($G333="","",MAX(0,NETWORKDAYS.INTL($E333,J333,رمز_العطلة,أيام_الأجازات)-1))</f>
        <v/>
      </c>
      <c r="M333" s="26" t="str">
        <f aca="false">IF($G333="","",MAX(0,L333-مهلة_المراجعة))</f>
        <v/>
      </c>
      <c r="N333" s="30" t="str">
        <f aca="false">IF($A333="",IF(OR($D333&lt;&gt;"",$E333&lt;&gt;""),"رقم المخرج ناقص",""),IF(ISNA(MATCH($A333,قائمة_المخرجات,0)),"رقم مخرج غير موجود",IF($D333="","نوع الحركة ناقص",IF(NOT(ISNUMBER($E333)),"التاريخ ناقص",IF($E333&gt;تاريخ_الاحتساب,"تاريخ بعد تاريخ الاحتساب",IF(AND($D333&lt;&gt;"تسليم",COUNTIFS($A$5:$A$1504,$A333,$D$5:$D$1504,"تسليم",$E$5:$E$1504,"&lt;="&amp;$E333)=0),"لا يوجد تسليم قبل الحركة دي",""))))))</f>
        <v/>
      </c>
    </row>
    <row r="334" customFormat="false" ht="15" hidden="false" customHeight="false" outlineLevel="0" collapsed="false">
      <c r="A334" s="20"/>
      <c r="B334" s="35" t="str">
        <f aca="false">IF($A334="","",IFERROR(INDEX(مخرج_البند,MATCH($A334,قائمة_المخرجات,0)),""))</f>
        <v/>
      </c>
      <c r="C334" s="30" t="str">
        <f aca="false">IF($A334="","",IFERROR(INDEX(مخرج_الوصف,MATCH($A334,قائمة_المخرجات,0)),""))</f>
        <v/>
      </c>
      <c r="D334" s="20"/>
      <c r="E334" s="31"/>
      <c r="F334" s="22"/>
      <c r="G334" s="36" t="str">
        <f aca="false">IF(OR($A334="",$D334&lt;&gt;"تسليم",NOT(ISNUMBER($E334))),"",COUNTIFS($A$5:$A$1504,$A334,$D$5:$D$1504,"تسليم",$E$5:$E$1504,"&lt;"&amp;$E334)+1)</f>
        <v/>
      </c>
      <c r="H334" s="33" t="str">
        <f aca="false">IF($G334="","",_xlfn.MINIFS($E$5:$E$1504,$A$5:$A$1504,$A334,$D$5:$D$1504,"&lt;&gt;تسليم",$E$5:$E$1504,"&gt;="&amp;$E334))</f>
        <v/>
      </c>
      <c r="I334" s="33" t="str">
        <f aca="false">IF($G334="","",_xlfn.MINIFS($E$5:$E$1504,$A$5:$A$1504,$A334,$D$5:$D$1504,"تسليم",$E$5:$E$1504,"&gt;"&amp;$E334))</f>
        <v/>
      </c>
      <c r="J334" s="33" t="str">
        <f aca="false">IF($G334="","",IF(H334&gt;0,IF(I334&gt;0,MIN(H334,I334),H334),IF(I334&gt;0,I334,تاريخ_الاحتساب)))</f>
        <v/>
      </c>
      <c r="K334" s="34" t="str">
        <f aca="false">IF($G334="","",IF(AND(H334=0,I334=0),"جارية","مغلقة"))</f>
        <v/>
      </c>
      <c r="L334" s="26" t="str">
        <f aca="false">IF($G334="","",MAX(0,NETWORKDAYS.INTL($E334,J334,رمز_العطلة,أيام_الأجازات)-1))</f>
        <v/>
      </c>
      <c r="M334" s="26" t="str">
        <f aca="false">IF($G334="","",MAX(0,L334-مهلة_المراجعة))</f>
        <v/>
      </c>
      <c r="N334" s="30" t="str">
        <f aca="false">IF($A334="",IF(OR($D334&lt;&gt;"",$E334&lt;&gt;""),"رقم المخرج ناقص",""),IF(ISNA(MATCH($A334,قائمة_المخرجات,0)),"رقم مخرج غير موجود",IF($D334="","نوع الحركة ناقص",IF(NOT(ISNUMBER($E334)),"التاريخ ناقص",IF($E334&gt;تاريخ_الاحتساب,"تاريخ بعد تاريخ الاحتساب",IF(AND($D334&lt;&gt;"تسليم",COUNTIFS($A$5:$A$1504,$A334,$D$5:$D$1504,"تسليم",$E$5:$E$1504,"&lt;="&amp;$E334)=0),"لا يوجد تسليم قبل الحركة دي",""))))))</f>
        <v/>
      </c>
    </row>
    <row r="335" customFormat="false" ht="15" hidden="false" customHeight="false" outlineLevel="0" collapsed="false">
      <c r="A335" s="20"/>
      <c r="B335" s="35" t="str">
        <f aca="false">IF($A335="","",IFERROR(INDEX(مخرج_البند,MATCH($A335,قائمة_المخرجات,0)),""))</f>
        <v/>
      </c>
      <c r="C335" s="30" t="str">
        <f aca="false">IF($A335="","",IFERROR(INDEX(مخرج_الوصف,MATCH($A335,قائمة_المخرجات,0)),""))</f>
        <v/>
      </c>
      <c r="D335" s="20"/>
      <c r="E335" s="31"/>
      <c r="F335" s="22"/>
      <c r="G335" s="36" t="str">
        <f aca="false">IF(OR($A335="",$D335&lt;&gt;"تسليم",NOT(ISNUMBER($E335))),"",COUNTIFS($A$5:$A$1504,$A335,$D$5:$D$1504,"تسليم",$E$5:$E$1504,"&lt;"&amp;$E335)+1)</f>
        <v/>
      </c>
      <c r="H335" s="33" t="str">
        <f aca="false">IF($G335="","",_xlfn.MINIFS($E$5:$E$1504,$A$5:$A$1504,$A335,$D$5:$D$1504,"&lt;&gt;تسليم",$E$5:$E$1504,"&gt;="&amp;$E335))</f>
        <v/>
      </c>
      <c r="I335" s="33" t="str">
        <f aca="false">IF($G335="","",_xlfn.MINIFS($E$5:$E$1504,$A$5:$A$1504,$A335,$D$5:$D$1504,"تسليم",$E$5:$E$1504,"&gt;"&amp;$E335))</f>
        <v/>
      </c>
      <c r="J335" s="33" t="str">
        <f aca="false">IF($G335="","",IF(H335&gt;0,IF(I335&gt;0,MIN(H335,I335),H335),IF(I335&gt;0,I335,تاريخ_الاحتساب)))</f>
        <v/>
      </c>
      <c r="K335" s="34" t="str">
        <f aca="false">IF($G335="","",IF(AND(H335=0,I335=0),"جارية","مغلقة"))</f>
        <v/>
      </c>
      <c r="L335" s="26" t="str">
        <f aca="false">IF($G335="","",MAX(0,NETWORKDAYS.INTL($E335,J335,رمز_العطلة,أيام_الأجازات)-1))</f>
        <v/>
      </c>
      <c r="M335" s="26" t="str">
        <f aca="false">IF($G335="","",MAX(0,L335-مهلة_المراجعة))</f>
        <v/>
      </c>
      <c r="N335" s="30" t="str">
        <f aca="false">IF($A335="",IF(OR($D335&lt;&gt;"",$E335&lt;&gt;""),"رقم المخرج ناقص",""),IF(ISNA(MATCH($A335,قائمة_المخرجات,0)),"رقم مخرج غير موجود",IF($D335="","نوع الحركة ناقص",IF(NOT(ISNUMBER($E335)),"التاريخ ناقص",IF($E335&gt;تاريخ_الاحتساب,"تاريخ بعد تاريخ الاحتساب",IF(AND($D335&lt;&gt;"تسليم",COUNTIFS($A$5:$A$1504,$A335,$D$5:$D$1504,"تسليم",$E$5:$E$1504,"&lt;="&amp;$E335)=0),"لا يوجد تسليم قبل الحركة دي",""))))))</f>
        <v/>
      </c>
    </row>
    <row r="336" customFormat="false" ht="15" hidden="false" customHeight="false" outlineLevel="0" collapsed="false">
      <c r="A336" s="20"/>
      <c r="B336" s="35" t="str">
        <f aca="false">IF($A336="","",IFERROR(INDEX(مخرج_البند,MATCH($A336,قائمة_المخرجات,0)),""))</f>
        <v/>
      </c>
      <c r="C336" s="30" t="str">
        <f aca="false">IF($A336="","",IFERROR(INDEX(مخرج_الوصف,MATCH($A336,قائمة_المخرجات,0)),""))</f>
        <v/>
      </c>
      <c r="D336" s="20"/>
      <c r="E336" s="31"/>
      <c r="F336" s="22"/>
      <c r="G336" s="36" t="str">
        <f aca="false">IF(OR($A336="",$D336&lt;&gt;"تسليم",NOT(ISNUMBER($E336))),"",COUNTIFS($A$5:$A$1504,$A336,$D$5:$D$1504,"تسليم",$E$5:$E$1504,"&lt;"&amp;$E336)+1)</f>
        <v/>
      </c>
      <c r="H336" s="33" t="str">
        <f aca="false">IF($G336="","",_xlfn.MINIFS($E$5:$E$1504,$A$5:$A$1504,$A336,$D$5:$D$1504,"&lt;&gt;تسليم",$E$5:$E$1504,"&gt;="&amp;$E336))</f>
        <v/>
      </c>
      <c r="I336" s="33" t="str">
        <f aca="false">IF($G336="","",_xlfn.MINIFS($E$5:$E$1504,$A$5:$A$1504,$A336,$D$5:$D$1504,"تسليم",$E$5:$E$1504,"&gt;"&amp;$E336))</f>
        <v/>
      </c>
      <c r="J336" s="33" t="str">
        <f aca="false">IF($G336="","",IF(H336&gt;0,IF(I336&gt;0,MIN(H336,I336),H336),IF(I336&gt;0,I336,تاريخ_الاحتساب)))</f>
        <v/>
      </c>
      <c r="K336" s="34" t="str">
        <f aca="false">IF($G336="","",IF(AND(H336=0,I336=0),"جارية","مغلقة"))</f>
        <v/>
      </c>
      <c r="L336" s="26" t="str">
        <f aca="false">IF($G336="","",MAX(0,NETWORKDAYS.INTL($E336,J336,رمز_العطلة,أيام_الأجازات)-1))</f>
        <v/>
      </c>
      <c r="M336" s="26" t="str">
        <f aca="false">IF($G336="","",MAX(0,L336-مهلة_المراجعة))</f>
        <v/>
      </c>
      <c r="N336" s="30" t="str">
        <f aca="false">IF($A336="",IF(OR($D336&lt;&gt;"",$E336&lt;&gt;""),"رقم المخرج ناقص",""),IF(ISNA(MATCH($A336,قائمة_المخرجات,0)),"رقم مخرج غير موجود",IF($D336="","نوع الحركة ناقص",IF(NOT(ISNUMBER($E336)),"التاريخ ناقص",IF($E336&gt;تاريخ_الاحتساب,"تاريخ بعد تاريخ الاحتساب",IF(AND($D336&lt;&gt;"تسليم",COUNTIFS($A$5:$A$1504,$A336,$D$5:$D$1504,"تسليم",$E$5:$E$1504,"&lt;="&amp;$E336)=0),"لا يوجد تسليم قبل الحركة دي",""))))))</f>
        <v/>
      </c>
    </row>
    <row r="337" customFormat="false" ht="15" hidden="false" customHeight="false" outlineLevel="0" collapsed="false">
      <c r="A337" s="20"/>
      <c r="B337" s="35" t="str">
        <f aca="false">IF($A337="","",IFERROR(INDEX(مخرج_البند,MATCH($A337,قائمة_المخرجات,0)),""))</f>
        <v/>
      </c>
      <c r="C337" s="30" t="str">
        <f aca="false">IF($A337="","",IFERROR(INDEX(مخرج_الوصف,MATCH($A337,قائمة_المخرجات,0)),""))</f>
        <v/>
      </c>
      <c r="D337" s="20"/>
      <c r="E337" s="31"/>
      <c r="F337" s="22"/>
      <c r="G337" s="36" t="str">
        <f aca="false">IF(OR($A337="",$D337&lt;&gt;"تسليم",NOT(ISNUMBER($E337))),"",COUNTIFS($A$5:$A$1504,$A337,$D$5:$D$1504,"تسليم",$E$5:$E$1504,"&lt;"&amp;$E337)+1)</f>
        <v/>
      </c>
      <c r="H337" s="33" t="str">
        <f aca="false">IF($G337="","",_xlfn.MINIFS($E$5:$E$1504,$A$5:$A$1504,$A337,$D$5:$D$1504,"&lt;&gt;تسليم",$E$5:$E$1504,"&gt;="&amp;$E337))</f>
        <v/>
      </c>
      <c r="I337" s="33" t="str">
        <f aca="false">IF($G337="","",_xlfn.MINIFS($E$5:$E$1504,$A$5:$A$1504,$A337,$D$5:$D$1504,"تسليم",$E$5:$E$1504,"&gt;"&amp;$E337))</f>
        <v/>
      </c>
      <c r="J337" s="33" t="str">
        <f aca="false">IF($G337="","",IF(H337&gt;0,IF(I337&gt;0,MIN(H337,I337),H337),IF(I337&gt;0,I337,تاريخ_الاحتساب)))</f>
        <v/>
      </c>
      <c r="K337" s="34" t="str">
        <f aca="false">IF($G337="","",IF(AND(H337=0,I337=0),"جارية","مغلقة"))</f>
        <v/>
      </c>
      <c r="L337" s="26" t="str">
        <f aca="false">IF($G337="","",MAX(0,NETWORKDAYS.INTL($E337,J337,رمز_العطلة,أيام_الأجازات)-1))</f>
        <v/>
      </c>
      <c r="M337" s="26" t="str">
        <f aca="false">IF($G337="","",MAX(0,L337-مهلة_المراجعة))</f>
        <v/>
      </c>
      <c r="N337" s="30" t="str">
        <f aca="false">IF($A337="",IF(OR($D337&lt;&gt;"",$E337&lt;&gt;""),"رقم المخرج ناقص",""),IF(ISNA(MATCH($A337,قائمة_المخرجات,0)),"رقم مخرج غير موجود",IF($D337="","نوع الحركة ناقص",IF(NOT(ISNUMBER($E337)),"التاريخ ناقص",IF($E337&gt;تاريخ_الاحتساب,"تاريخ بعد تاريخ الاحتساب",IF(AND($D337&lt;&gt;"تسليم",COUNTIFS($A$5:$A$1504,$A337,$D$5:$D$1504,"تسليم",$E$5:$E$1504,"&lt;="&amp;$E337)=0),"لا يوجد تسليم قبل الحركة دي",""))))))</f>
        <v/>
      </c>
    </row>
    <row r="338" customFormat="false" ht="15" hidden="false" customHeight="false" outlineLevel="0" collapsed="false">
      <c r="A338" s="20"/>
      <c r="B338" s="35" t="str">
        <f aca="false">IF($A338="","",IFERROR(INDEX(مخرج_البند,MATCH($A338,قائمة_المخرجات,0)),""))</f>
        <v/>
      </c>
      <c r="C338" s="30" t="str">
        <f aca="false">IF($A338="","",IFERROR(INDEX(مخرج_الوصف,MATCH($A338,قائمة_المخرجات,0)),""))</f>
        <v/>
      </c>
      <c r="D338" s="20"/>
      <c r="E338" s="31"/>
      <c r="F338" s="22"/>
      <c r="G338" s="36" t="str">
        <f aca="false">IF(OR($A338="",$D338&lt;&gt;"تسليم",NOT(ISNUMBER($E338))),"",COUNTIFS($A$5:$A$1504,$A338,$D$5:$D$1504,"تسليم",$E$5:$E$1504,"&lt;"&amp;$E338)+1)</f>
        <v/>
      </c>
      <c r="H338" s="33" t="str">
        <f aca="false">IF($G338="","",_xlfn.MINIFS($E$5:$E$1504,$A$5:$A$1504,$A338,$D$5:$D$1504,"&lt;&gt;تسليم",$E$5:$E$1504,"&gt;="&amp;$E338))</f>
        <v/>
      </c>
      <c r="I338" s="33" t="str">
        <f aca="false">IF($G338="","",_xlfn.MINIFS($E$5:$E$1504,$A$5:$A$1504,$A338,$D$5:$D$1504,"تسليم",$E$5:$E$1504,"&gt;"&amp;$E338))</f>
        <v/>
      </c>
      <c r="J338" s="33" t="str">
        <f aca="false">IF($G338="","",IF(H338&gt;0,IF(I338&gt;0,MIN(H338,I338),H338),IF(I338&gt;0,I338,تاريخ_الاحتساب)))</f>
        <v/>
      </c>
      <c r="K338" s="34" t="str">
        <f aca="false">IF($G338="","",IF(AND(H338=0,I338=0),"جارية","مغلقة"))</f>
        <v/>
      </c>
      <c r="L338" s="26" t="str">
        <f aca="false">IF($G338="","",MAX(0,NETWORKDAYS.INTL($E338,J338,رمز_العطلة,أيام_الأجازات)-1))</f>
        <v/>
      </c>
      <c r="M338" s="26" t="str">
        <f aca="false">IF($G338="","",MAX(0,L338-مهلة_المراجعة))</f>
        <v/>
      </c>
      <c r="N338" s="30" t="str">
        <f aca="false">IF($A338="",IF(OR($D338&lt;&gt;"",$E338&lt;&gt;""),"رقم المخرج ناقص",""),IF(ISNA(MATCH($A338,قائمة_المخرجات,0)),"رقم مخرج غير موجود",IF($D338="","نوع الحركة ناقص",IF(NOT(ISNUMBER($E338)),"التاريخ ناقص",IF($E338&gt;تاريخ_الاحتساب,"تاريخ بعد تاريخ الاحتساب",IF(AND($D338&lt;&gt;"تسليم",COUNTIFS($A$5:$A$1504,$A338,$D$5:$D$1504,"تسليم",$E$5:$E$1504,"&lt;="&amp;$E338)=0),"لا يوجد تسليم قبل الحركة دي",""))))))</f>
        <v/>
      </c>
    </row>
    <row r="339" customFormat="false" ht="15" hidden="false" customHeight="false" outlineLevel="0" collapsed="false">
      <c r="A339" s="20"/>
      <c r="B339" s="35" t="str">
        <f aca="false">IF($A339="","",IFERROR(INDEX(مخرج_البند,MATCH($A339,قائمة_المخرجات,0)),""))</f>
        <v/>
      </c>
      <c r="C339" s="30" t="str">
        <f aca="false">IF($A339="","",IFERROR(INDEX(مخرج_الوصف,MATCH($A339,قائمة_المخرجات,0)),""))</f>
        <v/>
      </c>
      <c r="D339" s="20"/>
      <c r="E339" s="31"/>
      <c r="F339" s="22"/>
      <c r="G339" s="36" t="str">
        <f aca="false">IF(OR($A339="",$D339&lt;&gt;"تسليم",NOT(ISNUMBER($E339))),"",COUNTIFS($A$5:$A$1504,$A339,$D$5:$D$1504,"تسليم",$E$5:$E$1504,"&lt;"&amp;$E339)+1)</f>
        <v/>
      </c>
      <c r="H339" s="33" t="str">
        <f aca="false">IF($G339="","",_xlfn.MINIFS($E$5:$E$1504,$A$5:$A$1504,$A339,$D$5:$D$1504,"&lt;&gt;تسليم",$E$5:$E$1504,"&gt;="&amp;$E339))</f>
        <v/>
      </c>
      <c r="I339" s="33" t="str">
        <f aca="false">IF($G339="","",_xlfn.MINIFS($E$5:$E$1504,$A$5:$A$1504,$A339,$D$5:$D$1504,"تسليم",$E$5:$E$1504,"&gt;"&amp;$E339))</f>
        <v/>
      </c>
      <c r="J339" s="33" t="str">
        <f aca="false">IF($G339="","",IF(H339&gt;0,IF(I339&gt;0,MIN(H339,I339),H339),IF(I339&gt;0,I339,تاريخ_الاحتساب)))</f>
        <v/>
      </c>
      <c r="K339" s="34" t="str">
        <f aca="false">IF($G339="","",IF(AND(H339=0,I339=0),"جارية","مغلقة"))</f>
        <v/>
      </c>
      <c r="L339" s="26" t="str">
        <f aca="false">IF($G339="","",MAX(0,NETWORKDAYS.INTL($E339,J339,رمز_العطلة,أيام_الأجازات)-1))</f>
        <v/>
      </c>
      <c r="M339" s="26" t="str">
        <f aca="false">IF($G339="","",MAX(0,L339-مهلة_المراجعة))</f>
        <v/>
      </c>
      <c r="N339" s="30" t="str">
        <f aca="false">IF($A339="",IF(OR($D339&lt;&gt;"",$E339&lt;&gt;""),"رقم المخرج ناقص",""),IF(ISNA(MATCH($A339,قائمة_المخرجات,0)),"رقم مخرج غير موجود",IF($D339="","نوع الحركة ناقص",IF(NOT(ISNUMBER($E339)),"التاريخ ناقص",IF($E339&gt;تاريخ_الاحتساب,"تاريخ بعد تاريخ الاحتساب",IF(AND($D339&lt;&gt;"تسليم",COUNTIFS($A$5:$A$1504,$A339,$D$5:$D$1504,"تسليم",$E$5:$E$1504,"&lt;="&amp;$E339)=0),"لا يوجد تسليم قبل الحركة دي",""))))))</f>
        <v/>
      </c>
    </row>
    <row r="340" customFormat="false" ht="15" hidden="false" customHeight="false" outlineLevel="0" collapsed="false">
      <c r="A340" s="20"/>
      <c r="B340" s="35" t="str">
        <f aca="false">IF($A340="","",IFERROR(INDEX(مخرج_البند,MATCH($A340,قائمة_المخرجات,0)),""))</f>
        <v/>
      </c>
      <c r="C340" s="30" t="str">
        <f aca="false">IF($A340="","",IFERROR(INDEX(مخرج_الوصف,MATCH($A340,قائمة_المخرجات,0)),""))</f>
        <v/>
      </c>
      <c r="D340" s="20"/>
      <c r="E340" s="31"/>
      <c r="F340" s="22"/>
      <c r="G340" s="36" t="str">
        <f aca="false">IF(OR($A340="",$D340&lt;&gt;"تسليم",NOT(ISNUMBER($E340))),"",COUNTIFS($A$5:$A$1504,$A340,$D$5:$D$1504,"تسليم",$E$5:$E$1504,"&lt;"&amp;$E340)+1)</f>
        <v/>
      </c>
      <c r="H340" s="33" t="str">
        <f aca="false">IF($G340="","",_xlfn.MINIFS($E$5:$E$1504,$A$5:$A$1504,$A340,$D$5:$D$1504,"&lt;&gt;تسليم",$E$5:$E$1504,"&gt;="&amp;$E340))</f>
        <v/>
      </c>
      <c r="I340" s="33" t="str">
        <f aca="false">IF($G340="","",_xlfn.MINIFS($E$5:$E$1504,$A$5:$A$1504,$A340,$D$5:$D$1504,"تسليم",$E$5:$E$1504,"&gt;"&amp;$E340))</f>
        <v/>
      </c>
      <c r="J340" s="33" t="str">
        <f aca="false">IF($G340="","",IF(H340&gt;0,IF(I340&gt;0,MIN(H340,I340),H340),IF(I340&gt;0,I340,تاريخ_الاحتساب)))</f>
        <v/>
      </c>
      <c r="K340" s="34" t="str">
        <f aca="false">IF($G340="","",IF(AND(H340=0,I340=0),"جارية","مغلقة"))</f>
        <v/>
      </c>
      <c r="L340" s="26" t="str">
        <f aca="false">IF($G340="","",MAX(0,NETWORKDAYS.INTL($E340,J340,رمز_العطلة,أيام_الأجازات)-1))</f>
        <v/>
      </c>
      <c r="M340" s="26" t="str">
        <f aca="false">IF($G340="","",MAX(0,L340-مهلة_المراجعة))</f>
        <v/>
      </c>
      <c r="N340" s="30" t="str">
        <f aca="false">IF($A340="",IF(OR($D340&lt;&gt;"",$E340&lt;&gt;""),"رقم المخرج ناقص",""),IF(ISNA(MATCH($A340,قائمة_المخرجات,0)),"رقم مخرج غير موجود",IF($D340="","نوع الحركة ناقص",IF(NOT(ISNUMBER($E340)),"التاريخ ناقص",IF($E340&gt;تاريخ_الاحتساب,"تاريخ بعد تاريخ الاحتساب",IF(AND($D340&lt;&gt;"تسليم",COUNTIFS($A$5:$A$1504,$A340,$D$5:$D$1504,"تسليم",$E$5:$E$1504,"&lt;="&amp;$E340)=0),"لا يوجد تسليم قبل الحركة دي",""))))))</f>
        <v/>
      </c>
    </row>
    <row r="341" customFormat="false" ht="15" hidden="false" customHeight="false" outlineLevel="0" collapsed="false">
      <c r="A341" s="20"/>
      <c r="B341" s="35" t="str">
        <f aca="false">IF($A341="","",IFERROR(INDEX(مخرج_البند,MATCH($A341,قائمة_المخرجات,0)),""))</f>
        <v/>
      </c>
      <c r="C341" s="30" t="str">
        <f aca="false">IF($A341="","",IFERROR(INDEX(مخرج_الوصف,MATCH($A341,قائمة_المخرجات,0)),""))</f>
        <v/>
      </c>
      <c r="D341" s="20"/>
      <c r="E341" s="31"/>
      <c r="F341" s="22"/>
      <c r="G341" s="36" t="str">
        <f aca="false">IF(OR($A341="",$D341&lt;&gt;"تسليم",NOT(ISNUMBER($E341))),"",COUNTIFS($A$5:$A$1504,$A341,$D$5:$D$1504,"تسليم",$E$5:$E$1504,"&lt;"&amp;$E341)+1)</f>
        <v/>
      </c>
      <c r="H341" s="33" t="str">
        <f aca="false">IF($G341="","",_xlfn.MINIFS($E$5:$E$1504,$A$5:$A$1504,$A341,$D$5:$D$1504,"&lt;&gt;تسليم",$E$5:$E$1504,"&gt;="&amp;$E341))</f>
        <v/>
      </c>
      <c r="I341" s="33" t="str">
        <f aca="false">IF($G341="","",_xlfn.MINIFS($E$5:$E$1504,$A$5:$A$1504,$A341,$D$5:$D$1504,"تسليم",$E$5:$E$1504,"&gt;"&amp;$E341))</f>
        <v/>
      </c>
      <c r="J341" s="33" t="str">
        <f aca="false">IF($G341="","",IF(H341&gt;0,IF(I341&gt;0,MIN(H341,I341),H341),IF(I341&gt;0,I341,تاريخ_الاحتساب)))</f>
        <v/>
      </c>
      <c r="K341" s="34" t="str">
        <f aca="false">IF($G341="","",IF(AND(H341=0,I341=0),"جارية","مغلقة"))</f>
        <v/>
      </c>
      <c r="L341" s="26" t="str">
        <f aca="false">IF($G341="","",MAX(0,NETWORKDAYS.INTL($E341,J341,رمز_العطلة,أيام_الأجازات)-1))</f>
        <v/>
      </c>
      <c r="M341" s="26" t="str">
        <f aca="false">IF($G341="","",MAX(0,L341-مهلة_المراجعة))</f>
        <v/>
      </c>
      <c r="N341" s="30" t="str">
        <f aca="false">IF($A341="",IF(OR($D341&lt;&gt;"",$E341&lt;&gt;""),"رقم المخرج ناقص",""),IF(ISNA(MATCH($A341,قائمة_المخرجات,0)),"رقم مخرج غير موجود",IF($D341="","نوع الحركة ناقص",IF(NOT(ISNUMBER($E341)),"التاريخ ناقص",IF($E341&gt;تاريخ_الاحتساب,"تاريخ بعد تاريخ الاحتساب",IF(AND($D341&lt;&gt;"تسليم",COUNTIFS($A$5:$A$1504,$A341,$D$5:$D$1504,"تسليم",$E$5:$E$1504,"&lt;="&amp;$E341)=0),"لا يوجد تسليم قبل الحركة دي",""))))))</f>
        <v/>
      </c>
    </row>
    <row r="342" customFormat="false" ht="15" hidden="false" customHeight="false" outlineLevel="0" collapsed="false">
      <c r="A342" s="20"/>
      <c r="B342" s="35" t="str">
        <f aca="false">IF($A342="","",IFERROR(INDEX(مخرج_البند,MATCH($A342,قائمة_المخرجات,0)),""))</f>
        <v/>
      </c>
      <c r="C342" s="30" t="str">
        <f aca="false">IF($A342="","",IFERROR(INDEX(مخرج_الوصف,MATCH($A342,قائمة_المخرجات,0)),""))</f>
        <v/>
      </c>
      <c r="D342" s="20"/>
      <c r="E342" s="31"/>
      <c r="F342" s="22"/>
      <c r="G342" s="36" t="str">
        <f aca="false">IF(OR($A342="",$D342&lt;&gt;"تسليم",NOT(ISNUMBER($E342))),"",COUNTIFS($A$5:$A$1504,$A342,$D$5:$D$1504,"تسليم",$E$5:$E$1504,"&lt;"&amp;$E342)+1)</f>
        <v/>
      </c>
      <c r="H342" s="33" t="str">
        <f aca="false">IF($G342="","",_xlfn.MINIFS($E$5:$E$1504,$A$5:$A$1504,$A342,$D$5:$D$1504,"&lt;&gt;تسليم",$E$5:$E$1504,"&gt;="&amp;$E342))</f>
        <v/>
      </c>
      <c r="I342" s="33" t="str">
        <f aca="false">IF($G342="","",_xlfn.MINIFS($E$5:$E$1504,$A$5:$A$1504,$A342,$D$5:$D$1504,"تسليم",$E$5:$E$1504,"&gt;"&amp;$E342))</f>
        <v/>
      </c>
      <c r="J342" s="33" t="str">
        <f aca="false">IF($G342="","",IF(H342&gt;0,IF(I342&gt;0,MIN(H342,I342),H342),IF(I342&gt;0,I342,تاريخ_الاحتساب)))</f>
        <v/>
      </c>
      <c r="K342" s="34" t="str">
        <f aca="false">IF($G342="","",IF(AND(H342=0,I342=0),"جارية","مغلقة"))</f>
        <v/>
      </c>
      <c r="L342" s="26" t="str">
        <f aca="false">IF($G342="","",MAX(0,NETWORKDAYS.INTL($E342,J342,رمز_العطلة,أيام_الأجازات)-1))</f>
        <v/>
      </c>
      <c r="M342" s="26" t="str">
        <f aca="false">IF($G342="","",MAX(0,L342-مهلة_المراجعة))</f>
        <v/>
      </c>
      <c r="N342" s="30" t="str">
        <f aca="false">IF($A342="",IF(OR($D342&lt;&gt;"",$E342&lt;&gt;""),"رقم المخرج ناقص",""),IF(ISNA(MATCH($A342,قائمة_المخرجات,0)),"رقم مخرج غير موجود",IF($D342="","نوع الحركة ناقص",IF(NOT(ISNUMBER($E342)),"التاريخ ناقص",IF($E342&gt;تاريخ_الاحتساب,"تاريخ بعد تاريخ الاحتساب",IF(AND($D342&lt;&gt;"تسليم",COUNTIFS($A$5:$A$1504,$A342,$D$5:$D$1504,"تسليم",$E$5:$E$1504,"&lt;="&amp;$E342)=0),"لا يوجد تسليم قبل الحركة دي",""))))))</f>
        <v/>
      </c>
    </row>
    <row r="343" customFormat="false" ht="15" hidden="false" customHeight="false" outlineLevel="0" collapsed="false">
      <c r="A343" s="20"/>
      <c r="B343" s="35" t="str">
        <f aca="false">IF($A343="","",IFERROR(INDEX(مخرج_البند,MATCH($A343,قائمة_المخرجات,0)),""))</f>
        <v/>
      </c>
      <c r="C343" s="30" t="str">
        <f aca="false">IF($A343="","",IFERROR(INDEX(مخرج_الوصف,MATCH($A343,قائمة_المخرجات,0)),""))</f>
        <v/>
      </c>
      <c r="D343" s="20"/>
      <c r="E343" s="31"/>
      <c r="F343" s="22"/>
      <c r="G343" s="36" t="str">
        <f aca="false">IF(OR($A343="",$D343&lt;&gt;"تسليم",NOT(ISNUMBER($E343))),"",COUNTIFS($A$5:$A$1504,$A343,$D$5:$D$1504,"تسليم",$E$5:$E$1504,"&lt;"&amp;$E343)+1)</f>
        <v/>
      </c>
      <c r="H343" s="33" t="str">
        <f aca="false">IF($G343="","",_xlfn.MINIFS($E$5:$E$1504,$A$5:$A$1504,$A343,$D$5:$D$1504,"&lt;&gt;تسليم",$E$5:$E$1504,"&gt;="&amp;$E343))</f>
        <v/>
      </c>
      <c r="I343" s="33" t="str">
        <f aca="false">IF($G343="","",_xlfn.MINIFS($E$5:$E$1504,$A$5:$A$1504,$A343,$D$5:$D$1504,"تسليم",$E$5:$E$1504,"&gt;"&amp;$E343))</f>
        <v/>
      </c>
      <c r="J343" s="33" t="str">
        <f aca="false">IF($G343="","",IF(H343&gt;0,IF(I343&gt;0,MIN(H343,I343),H343),IF(I343&gt;0,I343,تاريخ_الاحتساب)))</f>
        <v/>
      </c>
      <c r="K343" s="34" t="str">
        <f aca="false">IF($G343="","",IF(AND(H343=0,I343=0),"جارية","مغلقة"))</f>
        <v/>
      </c>
      <c r="L343" s="26" t="str">
        <f aca="false">IF($G343="","",MAX(0,NETWORKDAYS.INTL($E343,J343,رمز_العطلة,أيام_الأجازات)-1))</f>
        <v/>
      </c>
      <c r="M343" s="26" t="str">
        <f aca="false">IF($G343="","",MAX(0,L343-مهلة_المراجعة))</f>
        <v/>
      </c>
      <c r="N343" s="30" t="str">
        <f aca="false">IF($A343="",IF(OR($D343&lt;&gt;"",$E343&lt;&gt;""),"رقم المخرج ناقص",""),IF(ISNA(MATCH($A343,قائمة_المخرجات,0)),"رقم مخرج غير موجود",IF($D343="","نوع الحركة ناقص",IF(NOT(ISNUMBER($E343)),"التاريخ ناقص",IF($E343&gt;تاريخ_الاحتساب,"تاريخ بعد تاريخ الاحتساب",IF(AND($D343&lt;&gt;"تسليم",COUNTIFS($A$5:$A$1504,$A343,$D$5:$D$1504,"تسليم",$E$5:$E$1504,"&lt;="&amp;$E343)=0),"لا يوجد تسليم قبل الحركة دي",""))))))</f>
        <v/>
      </c>
    </row>
    <row r="344" customFormat="false" ht="15" hidden="false" customHeight="false" outlineLevel="0" collapsed="false">
      <c r="A344" s="20"/>
      <c r="B344" s="35" t="str">
        <f aca="false">IF($A344="","",IFERROR(INDEX(مخرج_البند,MATCH($A344,قائمة_المخرجات,0)),""))</f>
        <v/>
      </c>
      <c r="C344" s="30" t="str">
        <f aca="false">IF($A344="","",IFERROR(INDEX(مخرج_الوصف,MATCH($A344,قائمة_المخرجات,0)),""))</f>
        <v/>
      </c>
      <c r="D344" s="20"/>
      <c r="E344" s="31"/>
      <c r="F344" s="22"/>
      <c r="G344" s="36" t="str">
        <f aca="false">IF(OR($A344="",$D344&lt;&gt;"تسليم",NOT(ISNUMBER($E344))),"",COUNTIFS($A$5:$A$1504,$A344,$D$5:$D$1504,"تسليم",$E$5:$E$1504,"&lt;"&amp;$E344)+1)</f>
        <v/>
      </c>
      <c r="H344" s="33" t="str">
        <f aca="false">IF($G344="","",_xlfn.MINIFS($E$5:$E$1504,$A$5:$A$1504,$A344,$D$5:$D$1504,"&lt;&gt;تسليم",$E$5:$E$1504,"&gt;="&amp;$E344))</f>
        <v/>
      </c>
      <c r="I344" s="33" t="str">
        <f aca="false">IF($G344="","",_xlfn.MINIFS($E$5:$E$1504,$A$5:$A$1504,$A344,$D$5:$D$1504,"تسليم",$E$5:$E$1504,"&gt;"&amp;$E344))</f>
        <v/>
      </c>
      <c r="J344" s="33" t="str">
        <f aca="false">IF($G344="","",IF(H344&gt;0,IF(I344&gt;0,MIN(H344,I344),H344),IF(I344&gt;0,I344,تاريخ_الاحتساب)))</f>
        <v/>
      </c>
      <c r="K344" s="34" t="str">
        <f aca="false">IF($G344="","",IF(AND(H344=0,I344=0),"جارية","مغلقة"))</f>
        <v/>
      </c>
      <c r="L344" s="26" t="str">
        <f aca="false">IF($G344="","",MAX(0,NETWORKDAYS.INTL($E344,J344,رمز_العطلة,أيام_الأجازات)-1))</f>
        <v/>
      </c>
      <c r="M344" s="26" t="str">
        <f aca="false">IF($G344="","",MAX(0,L344-مهلة_المراجعة))</f>
        <v/>
      </c>
      <c r="N344" s="30" t="str">
        <f aca="false">IF($A344="",IF(OR($D344&lt;&gt;"",$E344&lt;&gt;""),"رقم المخرج ناقص",""),IF(ISNA(MATCH($A344,قائمة_المخرجات,0)),"رقم مخرج غير موجود",IF($D344="","نوع الحركة ناقص",IF(NOT(ISNUMBER($E344)),"التاريخ ناقص",IF($E344&gt;تاريخ_الاحتساب,"تاريخ بعد تاريخ الاحتساب",IF(AND($D344&lt;&gt;"تسليم",COUNTIFS($A$5:$A$1504,$A344,$D$5:$D$1504,"تسليم",$E$5:$E$1504,"&lt;="&amp;$E344)=0),"لا يوجد تسليم قبل الحركة دي",""))))))</f>
        <v/>
      </c>
    </row>
    <row r="345" customFormat="false" ht="15" hidden="false" customHeight="false" outlineLevel="0" collapsed="false">
      <c r="A345" s="20"/>
      <c r="B345" s="35" t="str">
        <f aca="false">IF($A345="","",IFERROR(INDEX(مخرج_البند,MATCH($A345,قائمة_المخرجات,0)),""))</f>
        <v/>
      </c>
      <c r="C345" s="30" t="str">
        <f aca="false">IF($A345="","",IFERROR(INDEX(مخرج_الوصف,MATCH($A345,قائمة_المخرجات,0)),""))</f>
        <v/>
      </c>
      <c r="D345" s="20"/>
      <c r="E345" s="31"/>
      <c r="F345" s="22"/>
      <c r="G345" s="36" t="str">
        <f aca="false">IF(OR($A345="",$D345&lt;&gt;"تسليم",NOT(ISNUMBER($E345))),"",COUNTIFS($A$5:$A$1504,$A345,$D$5:$D$1504,"تسليم",$E$5:$E$1504,"&lt;"&amp;$E345)+1)</f>
        <v/>
      </c>
      <c r="H345" s="33" t="str">
        <f aca="false">IF($G345="","",_xlfn.MINIFS($E$5:$E$1504,$A$5:$A$1504,$A345,$D$5:$D$1504,"&lt;&gt;تسليم",$E$5:$E$1504,"&gt;="&amp;$E345))</f>
        <v/>
      </c>
      <c r="I345" s="33" t="str">
        <f aca="false">IF($G345="","",_xlfn.MINIFS($E$5:$E$1504,$A$5:$A$1504,$A345,$D$5:$D$1504,"تسليم",$E$5:$E$1504,"&gt;"&amp;$E345))</f>
        <v/>
      </c>
      <c r="J345" s="33" t="str">
        <f aca="false">IF($G345="","",IF(H345&gt;0,IF(I345&gt;0,MIN(H345,I345),H345),IF(I345&gt;0,I345,تاريخ_الاحتساب)))</f>
        <v/>
      </c>
      <c r="K345" s="34" t="str">
        <f aca="false">IF($G345="","",IF(AND(H345=0,I345=0),"جارية","مغلقة"))</f>
        <v/>
      </c>
      <c r="L345" s="26" t="str">
        <f aca="false">IF($G345="","",MAX(0,NETWORKDAYS.INTL($E345,J345,رمز_العطلة,أيام_الأجازات)-1))</f>
        <v/>
      </c>
      <c r="M345" s="26" t="str">
        <f aca="false">IF($G345="","",MAX(0,L345-مهلة_المراجعة))</f>
        <v/>
      </c>
      <c r="N345" s="30" t="str">
        <f aca="false">IF($A345="",IF(OR($D345&lt;&gt;"",$E345&lt;&gt;""),"رقم المخرج ناقص",""),IF(ISNA(MATCH($A345,قائمة_المخرجات,0)),"رقم مخرج غير موجود",IF($D345="","نوع الحركة ناقص",IF(NOT(ISNUMBER($E345)),"التاريخ ناقص",IF($E345&gt;تاريخ_الاحتساب,"تاريخ بعد تاريخ الاحتساب",IF(AND($D345&lt;&gt;"تسليم",COUNTIFS($A$5:$A$1504,$A345,$D$5:$D$1504,"تسليم",$E$5:$E$1504,"&lt;="&amp;$E345)=0),"لا يوجد تسليم قبل الحركة دي",""))))))</f>
        <v/>
      </c>
    </row>
    <row r="346" customFormat="false" ht="15" hidden="false" customHeight="false" outlineLevel="0" collapsed="false">
      <c r="A346" s="20"/>
      <c r="B346" s="35" t="str">
        <f aca="false">IF($A346="","",IFERROR(INDEX(مخرج_البند,MATCH($A346,قائمة_المخرجات,0)),""))</f>
        <v/>
      </c>
      <c r="C346" s="30" t="str">
        <f aca="false">IF($A346="","",IFERROR(INDEX(مخرج_الوصف,MATCH($A346,قائمة_المخرجات,0)),""))</f>
        <v/>
      </c>
      <c r="D346" s="20"/>
      <c r="E346" s="31"/>
      <c r="F346" s="22"/>
      <c r="G346" s="36" t="str">
        <f aca="false">IF(OR($A346="",$D346&lt;&gt;"تسليم",NOT(ISNUMBER($E346))),"",COUNTIFS($A$5:$A$1504,$A346,$D$5:$D$1504,"تسليم",$E$5:$E$1504,"&lt;"&amp;$E346)+1)</f>
        <v/>
      </c>
      <c r="H346" s="33" t="str">
        <f aca="false">IF($G346="","",_xlfn.MINIFS($E$5:$E$1504,$A$5:$A$1504,$A346,$D$5:$D$1504,"&lt;&gt;تسليم",$E$5:$E$1504,"&gt;="&amp;$E346))</f>
        <v/>
      </c>
      <c r="I346" s="33" t="str">
        <f aca="false">IF($G346="","",_xlfn.MINIFS($E$5:$E$1504,$A$5:$A$1504,$A346,$D$5:$D$1504,"تسليم",$E$5:$E$1504,"&gt;"&amp;$E346))</f>
        <v/>
      </c>
      <c r="J346" s="33" t="str">
        <f aca="false">IF($G346="","",IF(H346&gt;0,IF(I346&gt;0,MIN(H346,I346),H346),IF(I346&gt;0,I346,تاريخ_الاحتساب)))</f>
        <v/>
      </c>
      <c r="K346" s="34" t="str">
        <f aca="false">IF($G346="","",IF(AND(H346=0,I346=0),"جارية","مغلقة"))</f>
        <v/>
      </c>
      <c r="L346" s="26" t="str">
        <f aca="false">IF($G346="","",MAX(0,NETWORKDAYS.INTL($E346,J346,رمز_العطلة,أيام_الأجازات)-1))</f>
        <v/>
      </c>
      <c r="M346" s="26" t="str">
        <f aca="false">IF($G346="","",MAX(0,L346-مهلة_المراجعة))</f>
        <v/>
      </c>
      <c r="N346" s="30" t="str">
        <f aca="false">IF($A346="",IF(OR($D346&lt;&gt;"",$E346&lt;&gt;""),"رقم المخرج ناقص",""),IF(ISNA(MATCH($A346,قائمة_المخرجات,0)),"رقم مخرج غير موجود",IF($D346="","نوع الحركة ناقص",IF(NOT(ISNUMBER($E346)),"التاريخ ناقص",IF($E346&gt;تاريخ_الاحتساب,"تاريخ بعد تاريخ الاحتساب",IF(AND($D346&lt;&gt;"تسليم",COUNTIFS($A$5:$A$1504,$A346,$D$5:$D$1504,"تسليم",$E$5:$E$1504,"&lt;="&amp;$E346)=0),"لا يوجد تسليم قبل الحركة دي",""))))))</f>
        <v/>
      </c>
    </row>
    <row r="347" customFormat="false" ht="15" hidden="false" customHeight="false" outlineLevel="0" collapsed="false">
      <c r="A347" s="20"/>
      <c r="B347" s="35" t="str">
        <f aca="false">IF($A347="","",IFERROR(INDEX(مخرج_البند,MATCH($A347,قائمة_المخرجات,0)),""))</f>
        <v/>
      </c>
      <c r="C347" s="30" t="str">
        <f aca="false">IF($A347="","",IFERROR(INDEX(مخرج_الوصف,MATCH($A347,قائمة_المخرجات,0)),""))</f>
        <v/>
      </c>
      <c r="D347" s="20"/>
      <c r="E347" s="31"/>
      <c r="F347" s="22"/>
      <c r="G347" s="36" t="str">
        <f aca="false">IF(OR($A347="",$D347&lt;&gt;"تسليم",NOT(ISNUMBER($E347))),"",COUNTIFS($A$5:$A$1504,$A347,$D$5:$D$1504,"تسليم",$E$5:$E$1504,"&lt;"&amp;$E347)+1)</f>
        <v/>
      </c>
      <c r="H347" s="33" t="str">
        <f aca="false">IF($G347="","",_xlfn.MINIFS($E$5:$E$1504,$A$5:$A$1504,$A347,$D$5:$D$1504,"&lt;&gt;تسليم",$E$5:$E$1504,"&gt;="&amp;$E347))</f>
        <v/>
      </c>
      <c r="I347" s="33" t="str">
        <f aca="false">IF($G347="","",_xlfn.MINIFS($E$5:$E$1504,$A$5:$A$1504,$A347,$D$5:$D$1504,"تسليم",$E$5:$E$1504,"&gt;"&amp;$E347))</f>
        <v/>
      </c>
      <c r="J347" s="33" t="str">
        <f aca="false">IF($G347="","",IF(H347&gt;0,IF(I347&gt;0,MIN(H347,I347),H347),IF(I347&gt;0,I347,تاريخ_الاحتساب)))</f>
        <v/>
      </c>
      <c r="K347" s="34" t="str">
        <f aca="false">IF($G347="","",IF(AND(H347=0,I347=0),"جارية","مغلقة"))</f>
        <v/>
      </c>
      <c r="L347" s="26" t="str">
        <f aca="false">IF($G347="","",MAX(0,NETWORKDAYS.INTL($E347,J347,رمز_العطلة,أيام_الأجازات)-1))</f>
        <v/>
      </c>
      <c r="M347" s="26" t="str">
        <f aca="false">IF($G347="","",MAX(0,L347-مهلة_المراجعة))</f>
        <v/>
      </c>
      <c r="N347" s="30" t="str">
        <f aca="false">IF($A347="",IF(OR($D347&lt;&gt;"",$E347&lt;&gt;""),"رقم المخرج ناقص",""),IF(ISNA(MATCH($A347,قائمة_المخرجات,0)),"رقم مخرج غير موجود",IF($D347="","نوع الحركة ناقص",IF(NOT(ISNUMBER($E347)),"التاريخ ناقص",IF($E347&gt;تاريخ_الاحتساب,"تاريخ بعد تاريخ الاحتساب",IF(AND($D347&lt;&gt;"تسليم",COUNTIFS($A$5:$A$1504,$A347,$D$5:$D$1504,"تسليم",$E$5:$E$1504,"&lt;="&amp;$E347)=0),"لا يوجد تسليم قبل الحركة دي",""))))))</f>
        <v/>
      </c>
    </row>
    <row r="348" customFormat="false" ht="15" hidden="false" customHeight="false" outlineLevel="0" collapsed="false">
      <c r="A348" s="20"/>
      <c r="B348" s="35" t="str">
        <f aca="false">IF($A348="","",IFERROR(INDEX(مخرج_البند,MATCH($A348,قائمة_المخرجات,0)),""))</f>
        <v/>
      </c>
      <c r="C348" s="30" t="str">
        <f aca="false">IF($A348="","",IFERROR(INDEX(مخرج_الوصف,MATCH($A348,قائمة_المخرجات,0)),""))</f>
        <v/>
      </c>
      <c r="D348" s="20"/>
      <c r="E348" s="31"/>
      <c r="F348" s="22"/>
      <c r="G348" s="36" t="str">
        <f aca="false">IF(OR($A348="",$D348&lt;&gt;"تسليم",NOT(ISNUMBER($E348))),"",COUNTIFS($A$5:$A$1504,$A348,$D$5:$D$1504,"تسليم",$E$5:$E$1504,"&lt;"&amp;$E348)+1)</f>
        <v/>
      </c>
      <c r="H348" s="33" t="str">
        <f aca="false">IF($G348="","",_xlfn.MINIFS($E$5:$E$1504,$A$5:$A$1504,$A348,$D$5:$D$1504,"&lt;&gt;تسليم",$E$5:$E$1504,"&gt;="&amp;$E348))</f>
        <v/>
      </c>
      <c r="I348" s="33" t="str">
        <f aca="false">IF($G348="","",_xlfn.MINIFS($E$5:$E$1504,$A$5:$A$1504,$A348,$D$5:$D$1504,"تسليم",$E$5:$E$1504,"&gt;"&amp;$E348))</f>
        <v/>
      </c>
      <c r="J348" s="33" t="str">
        <f aca="false">IF($G348="","",IF(H348&gt;0,IF(I348&gt;0,MIN(H348,I348),H348),IF(I348&gt;0,I348,تاريخ_الاحتساب)))</f>
        <v/>
      </c>
      <c r="K348" s="34" t="str">
        <f aca="false">IF($G348="","",IF(AND(H348=0,I348=0),"جارية","مغلقة"))</f>
        <v/>
      </c>
      <c r="L348" s="26" t="str">
        <f aca="false">IF($G348="","",MAX(0,NETWORKDAYS.INTL($E348,J348,رمز_العطلة,أيام_الأجازات)-1))</f>
        <v/>
      </c>
      <c r="M348" s="26" t="str">
        <f aca="false">IF($G348="","",MAX(0,L348-مهلة_المراجعة))</f>
        <v/>
      </c>
      <c r="N348" s="30" t="str">
        <f aca="false">IF($A348="",IF(OR($D348&lt;&gt;"",$E348&lt;&gt;""),"رقم المخرج ناقص",""),IF(ISNA(MATCH($A348,قائمة_المخرجات,0)),"رقم مخرج غير موجود",IF($D348="","نوع الحركة ناقص",IF(NOT(ISNUMBER($E348)),"التاريخ ناقص",IF($E348&gt;تاريخ_الاحتساب,"تاريخ بعد تاريخ الاحتساب",IF(AND($D348&lt;&gt;"تسليم",COUNTIFS($A$5:$A$1504,$A348,$D$5:$D$1504,"تسليم",$E$5:$E$1504,"&lt;="&amp;$E348)=0),"لا يوجد تسليم قبل الحركة دي",""))))))</f>
        <v/>
      </c>
    </row>
    <row r="349" customFormat="false" ht="15" hidden="false" customHeight="false" outlineLevel="0" collapsed="false">
      <c r="A349" s="20"/>
      <c r="B349" s="35" t="str">
        <f aca="false">IF($A349="","",IFERROR(INDEX(مخرج_البند,MATCH($A349,قائمة_المخرجات,0)),""))</f>
        <v/>
      </c>
      <c r="C349" s="30" t="str">
        <f aca="false">IF($A349="","",IFERROR(INDEX(مخرج_الوصف,MATCH($A349,قائمة_المخرجات,0)),""))</f>
        <v/>
      </c>
      <c r="D349" s="20"/>
      <c r="E349" s="31"/>
      <c r="F349" s="22"/>
      <c r="G349" s="36" t="str">
        <f aca="false">IF(OR($A349="",$D349&lt;&gt;"تسليم",NOT(ISNUMBER($E349))),"",COUNTIFS($A$5:$A$1504,$A349,$D$5:$D$1504,"تسليم",$E$5:$E$1504,"&lt;"&amp;$E349)+1)</f>
        <v/>
      </c>
      <c r="H349" s="33" t="str">
        <f aca="false">IF($G349="","",_xlfn.MINIFS($E$5:$E$1504,$A$5:$A$1504,$A349,$D$5:$D$1504,"&lt;&gt;تسليم",$E$5:$E$1504,"&gt;="&amp;$E349))</f>
        <v/>
      </c>
      <c r="I349" s="33" t="str">
        <f aca="false">IF($G349="","",_xlfn.MINIFS($E$5:$E$1504,$A$5:$A$1504,$A349,$D$5:$D$1504,"تسليم",$E$5:$E$1504,"&gt;"&amp;$E349))</f>
        <v/>
      </c>
      <c r="J349" s="33" t="str">
        <f aca="false">IF($G349="","",IF(H349&gt;0,IF(I349&gt;0,MIN(H349,I349),H349),IF(I349&gt;0,I349,تاريخ_الاحتساب)))</f>
        <v/>
      </c>
      <c r="K349" s="34" t="str">
        <f aca="false">IF($G349="","",IF(AND(H349=0,I349=0),"جارية","مغلقة"))</f>
        <v/>
      </c>
      <c r="L349" s="26" t="str">
        <f aca="false">IF($G349="","",MAX(0,NETWORKDAYS.INTL($E349,J349,رمز_العطلة,أيام_الأجازات)-1))</f>
        <v/>
      </c>
      <c r="M349" s="26" t="str">
        <f aca="false">IF($G349="","",MAX(0,L349-مهلة_المراجعة))</f>
        <v/>
      </c>
      <c r="N349" s="30" t="str">
        <f aca="false">IF($A349="",IF(OR($D349&lt;&gt;"",$E349&lt;&gt;""),"رقم المخرج ناقص",""),IF(ISNA(MATCH($A349,قائمة_المخرجات,0)),"رقم مخرج غير موجود",IF($D349="","نوع الحركة ناقص",IF(NOT(ISNUMBER($E349)),"التاريخ ناقص",IF($E349&gt;تاريخ_الاحتساب,"تاريخ بعد تاريخ الاحتساب",IF(AND($D349&lt;&gt;"تسليم",COUNTIFS($A$5:$A$1504,$A349,$D$5:$D$1504,"تسليم",$E$5:$E$1504,"&lt;="&amp;$E349)=0),"لا يوجد تسليم قبل الحركة دي",""))))))</f>
        <v/>
      </c>
    </row>
    <row r="350" customFormat="false" ht="15" hidden="false" customHeight="false" outlineLevel="0" collapsed="false">
      <c r="A350" s="20"/>
      <c r="B350" s="35" t="str">
        <f aca="false">IF($A350="","",IFERROR(INDEX(مخرج_البند,MATCH($A350,قائمة_المخرجات,0)),""))</f>
        <v/>
      </c>
      <c r="C350" s="30" t="str">
        <f aca="false">IF($A350="","",IFERROR(INDEX(مخرج_الوصف,MATCH($A350,قائمة_المخرجات,0)),""))</f>
        <v/>
      </c>
      <c r="D350" s="20"/>
      <c r="E350" s="31"/>
      <c r="F350" s="22"/>
      <c r="G350" s="36" t="str">
        <f aca="false">IF(OR($A350="",$D350&lt;&gt;"تسليم",NOT(ISNUMBER($E350))),"",COUNTIFS($A$5:$A$1504,$A350,$D$5:$D$1504,"تسليم",$E$5:$E$1504,"&lt;"&amp;$E350)+1)</f>
        <v/>
      </c>
      <c r="H350" s="33" t="str">
        <f aca="false">IF($G350="","",_xlfn.MINIFS($E$5:$E$1504,$A$5:$A$1504,$A350,$D$5:$D$1504,"&lt;&gt;تسليم",$E$5:$E$1504,"&gt;="&amp;$E350))</f>
        <v/>
      </c>
      <c r="I350" s="33" t="str">
        <f aca="false">IF($G350="","",_xlfn.MINIFS($E$5:$E$1504,$A$5:$A$1504,$A350,$D$5:$D$1504,"تسليم",$E$5:$E$1504,"&gt;"&amp;$E350))</f>
        <v/>
      </c>
      <c r="J350" s="33" t="str">
        <f aca="false">IF($G350="","",IF(H350&gt;0,IF(I350&gt;0,MIN(H350,I350),H350),IF(I350&gt;0,I350,تاريخ_الاحتساب)))</f>
        <v/>
      </c>
      <c r="K350" s="34" t="str">
        <f aca="false">IF($G350="","",IF(AND(H350=0,I350=0),"جارية","مغلقة"))</f>
        <v/>
      </c>
      <c r="L350" s="26" t="str">
        <f aca="false">IF($G350="","",MAX(0,NETWORKDAYS.INTL($E350,J350,رمز_العطلة,أيام_الأجازات)-1))</f>
        <v/>
      </c>
      <c r="M350" s="26" t="str">
        <f aca="false">IF($G350="","",MAX(0,L350-مهلة_المراجعة))</f>
        <v/>
      </c>
      <c r="N350" s="30" t="str">
        <f aca="false">IF($A350="",IF(OR($D350&lt;&gt;"",$E350&lt;&gt;""),"رقم المخرج ناقص",""),IF(ISNA(MATCH($A350,قائمة_المخرجات,0)),"رقم مخرج غير موجود",IF($D350="","نوع الحركة ناقص",IF(NOT(ISNUMBER($E350)),"التاريخ ناقص",IF($E350&gt;تاريخ_الاحتساب,"تاريخ بعد تاريخ الاحتساب",IF(AND($D350&lt;&gt;"تسليم",COUNTIFS($A$5:$A$1504,$A350,$D$5:$D$1504,"تسليم",$E$5:$E$1504,"&lt;="&amp;$E350)=0),"لا يوجد تسليم قبل الحركة دي",""))))))</f>
        <v/>
      </c>
    </row>
    <row r="351" customFormat="false" ht="15" hidden="false" customHeight="false" outlineLevel="0" collapsed="false">
      <c r="A351" s="20"/>
      <c r="B351" s="35" t="str">
        <f aca="false">IF($A351="","",IFERROR(INDEX(مخرج_البند,MATCH($A351,قائمة_المخرجات,0)),""))</f>
        <v/>
      </c>
      <c r="C351" s="30" t="str">
        <f aca="false">IF($A351="","",IFERROR(INDEX(مخرج_الوصف,MATCH($A351,قائمة_المخرجات,0)),""))</f>
        <v/>
      </c>
      <c r="D351" s="20"/>
      <c r="E351" s="31"/>
      <c r="F351" s="22"/>
      <c r="G351" s="36" t="str">
        <f aca="false">IF(OR($A351="",$D351&lt;&gt;"تسليم",NOT(ISNUMBER($E351))),"",COUNTIFS($A$5:$A$1504,$A351,$D$5:$D$1504,"تسليم",$E$5:$E$1504,"&lt;"&amp;$E351)+1)</f>
        <v/>
      </c>
      <c r="H351" s="33" t="str">
        <f aca="false">IF($G351="","",_xlfn.MINIFS($E$5:$E$1504,$A$5:$A$1504,$A351,$D$5:$D$1504,"&lt;&gt;تسليم",$E$5:$E$1504,"&gt;="&amp;$E351))</f>
        <v/>
      </c>
      <c r="I351" s="33" t="str">
        <f aca="false">IF($G351="","",_xlfn.MINIFS($E$5:$E$1504,$A$5:$A$1504,$A351,$D$5:$D$1504,"تسليم",$E$5:$E$1504,"&gt;"&amp;$E351))</f>
        <v/>
      </c>
      <c r="J351" s="33" t="str">
        <f aca="false">IF($G351="","",IF(H351&gt;0,IF(I351&gt;0,MIN(H351,I351),H351),IF(I351&gt;0,I351,تاريخ_الاحتساب)))</f>
        <v/>
      </c>
      <c r="K351" s="34" t="str">
        <f aca="false">IF($G351="","",IF(AND(H351=0,I351=0),"جارية","مغلقة"))</f>
        <v/>
      </c>
      <c r="L351" s="26" t="str">
        <f aca="false">IF($G351="","",MAX(0,NETWORKDAYS.INTL($E351,J351,رمز_العطلة,أيام_الأجازات)-1))</f>
        <v/>
      </c>
      <c r="M351" s="26" t="str">
        <f aca="false">IF($G351="","",MAX(0,L351-مهلة_المراجعة))</f>
        <v/>
      </c>
      <c r="N351" s="30" t="str">
        <f aca="false">IF($A351="",IF(OR($D351&lt;&gt;"",$E351&lt;&gt;""),"رقم المخرج ناقص",""),IF(ISNA(MATCH($A351,قائمة_المخرجات,0)),"رقم مخرج غير موجود",IF($D351="","نوع الحركة ناقص",IF(NOT(ISNUMBER($E351)),"التاريخ ناقص",IF($E351&gt;تاريخ_الاحتساب,"تاريخ بعد تاريخ الاحتساب",IF(AND($D351&lt;&gt;"تسليم",COUNTIFS($A$5:$A$1504,$A351,$D$5:$D$1504,"تسليم",$E$5:$E$1504,"&lt;="&amp;$E351)=0),"لا يوجد تسليم قبل الحركة دي",""))))))</f>
        <v/>
      </c>
    </row>
    <row r="352" customFormat="false" ht="15" hidden="false" customHeight="false" outlineLevel="0" collapsed="false">
      <c r="A352" s="20"/>
      <c r="B352" s="35" t="str">
        <f aca="false">IF($A352="","",IFERROR(INDEX(مخرج_البند,MATCH($A352,قائمة_المخرجات,0)),""))</f>
        <v/>
      </c>
      <c r="C352" s="30" t="str">
        <f aca="false">IF($A352="","",IFERROR(INDEX(مخرج_الوصف,MATCH($A352,قائمة_المخرجات,0)),""))</f>
        <v/>
      </c>
      <c r="D352" s="20"/>
      <c r="E352" s="31"/>
      <c r="F352" s="22"/>
      <c r="G352" s="36" t="str">
        <f aca="false">IF(OR($A352="",$D352&lt;&gt;"تسليم",NOT(ISNUMBER($E352))),"",COUNTIFS($A$5:$A$1504,$A352,$D$5:$D$1504,"تسليم",$E$5:$E$1504,"&lt;"&amp;$E352)+1)</f>
        <v/>
      </c>
      <c r="H352" s="33" t="str">
        <f aca="false">IF($G352="","",_xlfn.MINIFS($E$5:$E$1504,$A$5:$A$1504,$A352,$D$5:$D$1504,"&lt;&gt;تسليم",$E$5:$E$1504,"&gt;="&amp;$E352))</f>
        <v/>
      </c>
      <c r="I352" s="33" t="str">
        <f aca="false">IF($G352="","",_xlfn.MINIFS($E$5:$E$1504,$A$5:$A$1504,$A352,$D$5:$D$1504,"تسليم",$E$5:$E$1504,"&gt;"&amp;$E352))</f>
        <v/>
      </c>
      <c r="J352" s="33" t="str">
        <f aca="false">IF($G352="","",IF(H352&gt;0,IF(I352&gt;0,MIN(H352,I352),H352),IF(I352&gt;0,I352,تاريخ_الاحتساب)))</f>
        <v/>
      </c>
      <c r="K352" s="34" t="str">
        <f aca="false">IF($G352="","",IF(AND(H352=0,I352=0),"جارية","مغلقة"))</f>
        <v/>
      </c>
      <c r="L352" s="26" t="str">
        <f aca="false">IF($G352="","",MAX(0,NETWORKDAYS.INTL($E352,J352,رمز_العطلة,أيام_الأجازات)-1))</f>
        <v/>
      </c>
      <c r="M352" s="26" t="str">
        <f aca="false">IF($G352="","",MAX(0,L352-مهلة_المراجعة))</f>
        <v/>
      </c>
      <c r="N352" s="30" t="str">
        <f aca="false">IF($A352="",IF(OR($D352&lt;&gt;"",$E352&lt;&gt;""),"رقم المخرج ناقص",""),IF(ISNA(MATCH($A352,قائمة_المخرجات,0)),"رقم مخرج غير موجود",IF($D352="","نوع الحركة ناقص",IF(NOT(ISNUMBER($E352)),"التاريخ ناقص",IF($E352&gt;تاريخ_الاحتساب,"تاريخ بعد تاريخ الاحتساب",IF(AND($D352&lt;&gt;"تسليم",COUNTIFS($A$5:$A$1504,$A352,$D$5:$D$1504,"تسليم",$E$5:$E$1504,"&lt;="&amp;$E352)=0),"لا يوجد تسليم قبل الحركة دي",""))))))</f>
        <v/>
      </c>
    </row>
    <row r="353" customFormat="false" ht="15" hidden="false" customHeight="false" outlineLevel="0" collapsed="false">
      <c r="A353" s="20"/>
      <c r="B353" s="35" t="str">
        <f aca="false">IF($A353="","",IFERROR(INDEX(مخرج_البند,MATCH($A353,قائمة_المخرجات,0)),""))</f>
        <v/>
      </c>
      <c r="C353" s="30" t="str">
        <f aca="false">IF($A353="","",IFERROR(INDEX(مخرج_الوصف,MATCH($A353,قائمة_المخرجات,0)),""))</f>
        <v/>
      </c>
      <c r="D353" s="20"/>
      <c r="E353" s="31"/>
      <c r="F353" s="22"/>
      <c r="G353" s="36" t="str">
        <f aca="false">IF(OR($A353="",$D353&lt;&gt;"تسليم",NOT(ISNUMBER($E353))),"",COUNTIFS($A$5:$A$1504,$A353,$D$5:$D$1504,"تسليم",$E$5:$E$1504,"&lt;"&amp;$E353)+1)</f>
        <v/>
      </c>
      <c r="H353" s="33" t="str">
        <f aca="false">IF($G353="","",_xlfn.MINIFS($E$5:$E$1504,$A$5:$A$1504,$A353,$D$5:$D$1504,"&lt;&gt;تسليم",$E$5:$E$1504,"&gt;="&amp;$E353))</f>
        <v/>
      </c>
      <c r="I353" s="33" t="str">
        <f aca="false">IF($G353="","",_xlfn.MINIFS($E$5:$E$1504,$A$5:$A$1504,$A353,$D$5:$D$1504,"تسليم",$E$5:$E$1504,"&gt;"&amp;$E353))</f>
        <v/>
      </c>
      <c r="J353" s="33" t="str">
        <f aca="false">IF($G353="","",IF(H353&gt;0,IF(I353&gt;0,MIN(H353,I353),H353),IF(I353&gt;0,I353,تاريخ_الاحتساب)))</f>
        <v/>
      </c>
      <c r="K353" s="34" t="str">
        <f aca="false">IF($G353="","",IF(AND(H353=0,I353=0),"جارية","مغلقة"))</f>
        <v/>
      </c>
      <c r="L353" s="26" t="str">
        <f aca="false">IF($G353="","",MAX(0,NETWORKDAYS.INTL($E353,J353,رمز_العطلة,أيام_الأجازات)-1))</f>
        <v/>
      </c>
      <c r="M353" s="26" t="str">
        <f aca="false">IF($G353="","",MAX(0,L353-مهلة_المراجعة))</f>
        <v/>
      </c>
      <c r="N353" s="30" t="str">
        <f aca="false">IF($A353="",IF(OR($D353&lt;&gt;"",$E353&lt;&gt;""),"رقم المخرج ناقص",""),IF(ISNA(MATCH($A353,قائمة_المخرجات,0)),"رقم مخرج غير موجود",IF($D353="","نوع الحركة ناقص",IF(NOT(ISNUMBER($E353)),"التاريخ ناقص",IF($E353&gt;تاريخ_الاحتساب,"تاريخ بعد تاريخ الاحتساب",IF(AND($D353&lt;&gt;"تسليم",COUNTIFS($A$5:$A$1504,$A353,$D$5:$D$1504,"تسليم",$E$5:$E$1504,"&lt;="&amp;$E353)=0),"لا يوجد تسليم قبل الحركة دي",""))))))</f>
        <v/>
      </c>
    </row>
    <row r="354" customFormat="false" ht="15" hidden="false" customHeight="false" outlineLevel="0" collapsed="false">
      <c r="A354" s="20"/>
      <c r="B354" s="35" t="str">
        <f aca="false">IF($A354="","",IFERROR(INDEX(مخرج_البند,MATCH($A354,قائمة_المخرجات,0)),""))</f>
        <v/>
      </c>
      <c r="C354" s="30" t="str">
        <f aca="false">IF($A354="","",IFERROR(INDEX(مخرج_الوصف,MATCH($A354,قائمة_المخرجات,0)),""))</f>
        <v/>
      </c>
      <c r="D354" s="20"/>
      <c r="E354" s="31"/>
      <c r="F354" s="22"/>
      <c r="G354" s="36" t="str">
        <f aca="false">IF(OR($A354="",$D354&lt;&gt;"تسليم",NOT(ISNUMBER($E354))),"",COUNTIFS($A$5:$A$1504,$A354,$D$5:$D$1504,"تسليم",$E$5:$E$1504,"&lt;"&amp;$E354)+1)</f>
        <v/>
      </c>
      <c r="H354" s="33" t="str">
        <f aca="false">IF($G354="","",_xlfn.MINIFS($E$5:$E$1504,$A$5:$A$1504,$A354,$D$5:$D$1504,"&lt;&gt;تسليم",$E$5:$E$1504,"&gt;="&amp;$E354))</f>
        <v/>
      </c>
      <c r="I354" s="33" t="str">
        <f aca="false">IF($G354="","",_xlfn.MINIFS($E$5:$E$1504,$A$5:$A$1504,$A354,$D$5:$D$1504,"تسليم",$E$5:$E$1504,"&gt;"&amp;$E354))</f>
        <v/>
      </c>
      <c r="J354" s="33" t="str">
        <f aca="false">IF($G354="","",IF(H354&gt;0,IF(I354&gt;0,MIN(H354,I354),H354),IF(I354&gt;0,I354,تاريخ_الاحتساب)))</f>
        <v/>
      </c>
      <c r="K354" s="34" t="str">
        <f aca="false">IF($G354="","",IF(AND(H354=0,I354=0),"جارية","مغلقة"))</f>
        <v/>
      </c>
      <c r="L354" s="26" t="str">
        <f aca="false">IF($G354="","",MAX(0,NETWORKDAYS.INTL($E354,J354,رمز_العطلة,أيام_الأجازات)-1))</f>
        <v/>
      </c>
      <c r="M354" s="26" t="str">
        <f aca="false">IF($G354="","",MAX(0,L354-مهلة_المراجعة))</f>
        <v/>
      </c>
      <c r="N354" s="30" t="str">
        <f aca="false">IF($A354="",IF(OR($D354&lt;&gt;"",$E354&lt;&gt;""),"رقم المخرج ناقص",""),IF(ISNA(MATCH($A354,قائمة_المخرجات,0)),"رقم مخرج غير موجود",IF($D354="","نوع الحركة ناقص",IF(NOT(ISNUMBER($E354)),"التاريخ ناقص",IF($E354&gt;تاريخ_الاحتساب,"تاريخ بعد تاريخ الاحتساب",IF(AND($D354&lt;&gt;"تسليم",COUNTIFS($A$5:$A$1504,$A354,$D$5:$D$1504,"تسليم",$E$5:$E$1504,"&lt;="&amp;$E354)=0),"لا يوجد تسليم قبل الحركة دي",""))))))</f>
        <v/>
      </c>
    </row>
    <row r="355" customFormat="false" ht="15" hidden="false" customHeight="false" outlineLevel="0" collapsed="false">
      <c r="A355" s="20"/>
      <c r="B355" s="35" t="str">
        <f aca="false">IF($A355="","",IFERROR(INDEX(مخرج_البند,MATCH($A355,قائمة_المخرجات,0)),""))</f>
        <v/>
      </c>
      <c r="C355" s="30" t="str">
        <f aca="false">IF($A355="","",IFERROR(INDEX(مخرج_الوصف,MATCH($A355,قائمة_المخرجات,0)),""))</f>
        <v/>
      </c>
      <c r="D355" s="20"/>
      <c r="E355" s="31"/>
      <c r="F355" s="22"/>
      <c r="G355" s="36" t="str">
        <f aca="false">IF(OR($A355="",$D355&lt;&gt;"تسليم",NOT(ISNUMBER($E355))),"",COUNTIFS($A$5:$A$1504,$A355,$D$5:$D$1504,"تسليم",$E$5:$E$1504,"&lt;"&amp;$E355)+1)</f>
        <v/>
      </c>
      <c r="H355" s="33" t="str">
        <f aca="false">IF($G355="","",_xlfn.MINIFS($E$5:$E$1504,$A$5:$A$1504,$A355,$D$5:$D$1504,"&lt;&gt;تسليم",$E$5:$E$1504,"&gt;="&amp;$E355))</f>
        <v/>
      </c>
      <c r="I355" s="33" t="str">
        <f aca="false">IF($G355="","",_xlfn.MINIFS($E$5:$E$1504,$A$5:$A$1504,$A355,$D$5:$D$1504,"تسليم",$E$5:$E$1504,"&gt;"&amp;$E355))</f>
        <v/>
      </c>
      <c r="J355" s="33" t="str">
        <f aca="false">IF($G355="","",IF(H355&gt;0,IF(I355&gt;0,MIN(H355,I355),H355),IF(I355&gt;0,I355,تاريخ_الاحتساب)))</f>
        <v/>
      </c>
      <c r="K355" s="34" t="str">
        <f aca="false">IF($G355="","",IF(AND(H355=0,I355=0),"جارية","مغلقة"))</f>
        <v/>
      </c>
      <c r="L355" s="26" t="str">
        <f aca="false">IF($G355="","",MAX(0,NETWORKDAYS.INTL($E355,J355,رمز_العطلة,أيام_الأجازات)-1))</f>
        <v/>
      </c>
      <c r="M355" s="26" t="str">
        <f aca="false">IF($G355="","",MAX(0,L355-مهلة_المراجعة))</f>
        <v/>
      </c>
      <c r="N355" s="30" t="str">
        <f aca="false">IF($A355="",IF(OR($D355&lt;&gt;"",$E355&lt;&gt;""),"رقم المخرج ناقص",""),IF(ISNA(MATCH($A355,قائمة_المخرجات,0)),"رقم مخرج غير موجود",IF($D355="","نوع الحركة ناقص",IF(NOT(ISNUMBER($E355)),"التاريخ ناقص",IF($E355&gt;تاريخ_الاحتساب,"تاريخ بعد تاريخ الاحتساب",IF(AND($D355&lt;&gt;"تسليم",COUNTIFS($A$5:$A$1504,$A355,$D$5:$D$1504,"تسليم",$E$5:$E$1504,"&lt;="&amp;$E355)=0),"لا يوجد تسليم قبل الحركة دي",""))))))</f>
        <v/>
      </c>
    </row>
    <row r="356" customFormat="false" ht="15" hidden="false" customHeight="false" outlineLevel="0" collapsed="false">
      <c r="A356" s="20"/>
      <c r="B356" s="35" t="str">
        <f aca="false">IF($A356="","",IFERROR(INDEX(مخرج_البند,MATCH($A356,قائمة_المخرجات,0)),""))</f>
        <v/>
      </c>
      <c r="C356" s="30" t="str">
        <f aca="false">IF($A356="","",IFERROR(INDEX(مخرج_الوصف,MATCH($A356,قائمة_المخرجات,0)),""))</f>
        <v/>
      </c>
      <c r="D356" s="20"/>
      <c r="E356" s="31"/>
      <c r="F356" s="22"/>
      <c r="G356" s="36" t="str">
        <f aca="false">IF(OR($A356="",$D356&lt;&gt;"تسليم",NOT(ISNUMBER($E356))),"",COUNTIFS($A$5:$A$1504,$A356,$D$5:$D$1504,"تسليم",$E$5:$E$1504,"&lt;"&amp;$E356)+1)</f>
        <v/>
      </c>
      <c r="H356" s="33" t="str">
        <f aca="false">IF($G356="","",_xlfn.MINIFS($E$5:$E$1504,$A$5:$A$1504,$A356,$D$5:$D$1504,"&lt;&gt;تسليم",$E$5:$E$1504,"&gt;="&amp;$E356))</f>
        <v/>
      </c>
      <c r="I356" s="33" t="str">
        <f aca="false">IF($G356="","",_xlfn.MINIFS($E$5:$E$1504,$A$5:$A$1504,$A356,$D$5:$D$1504,"تسليم",$E$5:$E$1504,"&gt;"&amp;$E356))</f>
        <v/>
      </c>
      <c r="J356" s="33" t="str">
        <f aca="false">IF($G356="","",IF(H356&gt;0,IF(I356&gt;0,MIN(H356,I356),H356),IF(I356&gt;0,I356,تاريخ_الاحتساب)))</f>
        <v/>
      </c>
      <c r="K356" s="34" t="str">
        <f aca="false">IF($G356="","",IF(AND(H356=0,I356=0),"جارية","مغلقة"))</f>
        <v/>
      </c>
      <c r="L356" s="26" t="str">
        <f aca="false">IF($G356="","",MAX(0,NETWORKDAYS.INTL($E356,J356,رمز_العطلة,أيام_الأجازات)-1))</f>
        <v/>
      </c>
      <c r="M356" s="26" t="str">
        <f aca="false">IF($G356="","",MAX(0,L356-مهلة_المراجعة))</f>
        <v/>
      </c>
      <c r="N356" s="30" t="str">
        <f aca="false">IF($A356="",IF(OR($D356&lt;&gt;"",$E356&lt;&gt;""),"رقم المخرج ناقص",""),IF(ISNA(MATCH($A356,قائمة_المخرجات,0)),"رقم مخرج غير موجود",IF($D356="","نوع الحركة ناقص",IF(NOT(ISNUMBER($E356)),"التاريخ ناقص",IF($E356&gt;تاريخ_الاحتساب,"تاريخ بعد تاريخ الاحتساب",IF(AND($D356&lt;&gt;"تسليم",COUNTIFS($A$5:$A$1504,$A356,$D$5:$D$1504,"تسليم",$E$5:$E$1504,"&lt;="&amp;$E356)=0),"لا يوجد تسليم قبل الحركة دي",""))))))</f>
        <v/>
      </c>
    </row>
    <row r="357" customFormat="false" ht="15" hidden="false" customHeight="false" outlineLevel="0" collapsed="false">
      <c r="A357" s="20"/>
      <c r="B357" s="35" t="str">
        <f aca="false">IF($A357="","",IFERROR(INDEX(مخرج_البند,MATCH($A357,قائمة_المخرجات,0)),""))</f>
        <v/>
      </c>
      <c r="C357" s="30" t="str">
        <f aca="false">IF($A357="","",IFERROR(INDEX(مخرج_الوصف,MATCH($A357,قائمة_المخرجات,0)),""))</f>
        <v/>
      </c>
      <c r="D357" s="20"/>
      <c r="E357" s="31"/>
      <c r="F357" s="22"/>
      <c r="G357" s="36" t="str">
        <f aca="false">IF(OR($A357="",$D357&lt;&gt;"تسليم",NOT(ISNUMBER($E357))),"",COUNTIFS($A$5:$A$1504,$A357,$D$5:$D$1504,"تسليم",$E$5:$E$1504,"&lt;"&amp;$E357)+1)</f>
        <v/>
      </c>
      <c r="H357" s="33" t="str">
        <f aca="false">IF($G357="","",_xlfn.MINIFS($E$5:$E$1504,$A$5:$A$1504,$A357,$D$5:$D$1504,"&lt;&gt;تسليم",$E$5:$E$1504,"&gt;="&amp;$E357))</f>
        <v/>
      </c>
      <c r="I357" s="33" t="str">
        <f aca="false">IF($G357="","",_xlfn.MINIFS($E$5:$E$1504,$A$5:$A$1504,$A357,$D$5:$D$1504,"تسليم",$E$5:$E$1504,"&gt;"&amp;$E357))</f>
        <v/>
      </c>
      <c r="J357" s="33" t="str">
        <f aca="false">IF($G357="","",IF(H357&gt;0,IF(I357&gt;0,MIN(H357,I357),H357),IF(I357&gt;0,I357,تاريخ_الاحتساب)))</f>
        <v/>
      </c>
      <c r="K357" s="34" t="str">
        <f aca="false">IF($G357="","",IF(AND(H357=0,I357=0),"جارية","مغلقة"))</f>
        <v/>
      </c>
      <c r="L357" s="26" t="str">
        <f aca="false">IF($G357="","",MAX(0,NETWORKDAYS.INTL($E357,J357,رمز_العطلة,أيام_الأجازات)-1))</f>
        <v/>
      </c>
      <c r="M357" s="26" t="str">
        <f aca="false">IF($G357="","",MAX(0,L357-مهلة_المراجعة))</f>
        <v/>
      </c>
      <c r="N357" s="30" t="str">
        <f aca="false">IF($A357="",IF(OR($D357&lt;&gt;"",$E357&lt;&gt;""),"رقم المخرج ناقص",""),IF(ISNA(MATCH($A357,قائمة_المخرجات,0)),"رقم مخرج غير موجود",IF($D357="","نوع الحركة ناقص",IF(NOT(ISNUMBER($E357)),"التاريخ ناقص",IF($E357&gt;تاريخ_الاحتساب,"تاريخ بعد تاريخ الاحتساب",IF(AND($D357&lt;&gt;"تسليم",COUNTIFS($A$5:$A$1504,$A357,$D$5:$D$1504,"تسليم",$E$5:$E$1504,"&lt;="&amp;$E357)=0),"لا يوجد تسليم قبل الحركة دي",""))))))</f>
        <v/>
      </c>
    </row>
    <row r="358" customFormat="false" ht="15" hidden="false" customHeight="false" outlineLevel="0" collapsed="false">
      <c r="A358" s="20"/>
      <c r="B358" s="35" t="str">
        <f aca="false">IF($A358="","",IFERROR(INDEX(مخرج_البند,MATCH($A358,قائمة_المخرجات,0)),""))</f>
        <v/>
      </c>
      <c r="C358" s="30" t="str">
        <f aca="false">IF($A358="","",IFERROR(INDEX(مخرج_الوصف,MATCH($A358,قائمة_المخرجات,0)),""))</f>
        <v/>
      </c>
      <c r="D358" s="20"/>
      <c r="E358" s="31"/>
      <c r="F358" s="22"/>
      <c r="G358" s="36" t="str">
        <f aca="false">IF(OR($A358="",$D358&lt;&gt;"تسليم",NOT(ISNUMBER($E358))),"",COUNTIFS($A$5:$A$1504,$A358,$D$5:$D$1504,"تسليم",$E$5:$E$1504,"&lt;"&amp;$E358)+1)</f>
        <v/>
      </c>
      <c r="H358" s="33" t="str">
        <f aca="false">IF($G358="","",_xlfn.MINIFS($E$5:$E$1504,$A$5:$A$1504,$A358,$D$5:$D$1504,"&lt;&gt;تسليم",$E$5:$E$1504,"&gt;="&amp;$E358))</f>
        <v/>
      </c>
      <c r="I358" s="33" t="str">
        <f aca="false">IF($G358="","",_xlfn.MINIFS($E$5:$E$1504,$A$5:$A$1504,$A358,$D$5:$D$1504,"تسليم",$E$5:$E$1504,"&gt;"&amp;$E358))</f>
        <v/>
      </c>
      <c r="J358" s="33" t="str">
        <f aca="false">IF($G358="","",IF(H358&gt;0,IF(I358&gt;0,MIN(H358,I358),H358),IF(I358&gt;0,I358,تاريخ_الاحتساب)))</f>
        <v/>
      </c>
      <c r="K358" s="34" t="str">
        <f aca="false">IF($G358="","",IF(AND(H358=0,I358=0),"جارية","مغلقة"))</f>
        <v/>
      </c>
      <c r="L358" s="26" t="str">
        <f aca="false">IF($G358="","",MAX(0,NETWORKDAYS.INTL($E358,J358,رمز_العطلة,أيام_الأجازات)-1))</f>
        <v/>
      </c>
      <c r="M358" s="26" t="str">
        <f aca="false">IF($G358="","",MAX(0,L358-مهلة_المراجعة))</f>
        <v/>
      </c>
      <c r="N358" s="30" t="str">
        <f aca="false">IF($A358="",IF(OR($D358&lt;&gt;"",$E358&lt;&gt;""),"رقم المخرج ناقص",""),IF(ISNA(MATCH($A358,قائمة_المخرجات,0)),"رقم مخرج غير موجود",IF($D358="","نوع الحركة ناقص",IF(NOT(ISNUMBER($E358)),"التاريخ ناقص",IF($E358&gt;تاريخ_الاحتساب,"تاريخ بعد تاريخ الاحتساب",IF(AND($D358&lt;&gt;"تسليم",COUNTIFS($A$5:$A$1504,$A358,$D$5:$D$1504,"تسليم",$E$5:$E$1504,"&lt;="&amp;$E358)=0),"لا يوجد تسليم قبل الحركة دي",""))))))</f>
        <v/>
      </c>
    </row>
    <row r="359" customFormat="false" ht="15" hidden="false" customHeight="false" outlineLevel="0" collapsed="false">
      <c r="A359" s="20"/>
      <c r="B359" s="35" t="str">
        <f aca="false">IF($A359="","",IFERROR(INDEX(مخرج_البند,MATCH($A359,قائمة_المخرجات,0)),""))</f>
        <v/>
      </c>
      <c r="C359" s="30" t="str">
        <f aca="false">IF($A359="","",IFERROR(INDEX(مخرج_الوصف,MATCH($A359,قائمة_المخرجات,0)),""))</f>
        <v/>
      </c>
      <c r="D359" s="20"/>
      <c r="E359" s="31"/>
      <c r="F359" s="22"/>
      <c r="G359" s="36" t="str">
        <f aca="false">IF(OR($A359="",$D359&lt;&gt;"تسليم",NOT(ISNUMBER($E359))),"",COUNTIFS($A$5:$A$1504,$A359,$D$5:$D$1504,"تسليم",$E$5:$E$1504,"&lt;"&amp;$E359)+1)</f>
        <v/>
      </c>
      <c r="H359" s="33" t="str">
        <f aca="false">IF($G359="","",_xlfn.MINIFS($E$5:$E$1504,$A$5:$A$1504,$A359,$D$5:$D$1504,"&lt;&gt;تسليم",$E$5:$E$1504,"&gt;="&amp;$E359))</f>
        <v/>
      </c>
      <c r="I359" s="33" t="str">
        <f aca="false">IF($G359="","",_xlfn.MINIFS($E$5:$E$1504,$A$5:$A$1504,$A359,$D$5:$D$1504,"تسليم",$E$5:$E$1504,"&gt;"&amp;$E359))</f>
        <v/>
      </c>
      <c r="J359" s="33" t="str">
        <f aca="false">IF($G359="","",IF(H359&gt;0,IF(I359&gt;0,MIN(H359,I359),H359),IF(I359&gt;0,I359,تاريخ_الاحتساب)))</f>
        <v/>
      </c>
      <c r="K359" s="34" t="str">
        <f aca="false">IF($G359="","",IF(AND(H359=0,I359=0),"جارية","مغلقة"))</f>
        <v/>
      </c>
      <c r="L359" s="26" t="str">
        <f aca="false">IF($G359="","",MAX(0,NETWORKDAYS.INTL($E359,J359,رمز_العطلة,أيام_الأجازات)-1))</f>
        <v/>
      </c>
      <c r="M359" s="26" t="str">
        <f aca="false">IF($G359="","",MAX(0,L359-مهلة_المراجعة))</f>
        <v/>
      </c>
      <c r="N359" s="30" t="str">
        <f aca="false">IF($A359="",IF(OR($D359&lt;&gt;"",$E359&lt;&gt;""),"رقم المخرج ناقص",""),IF(ISNA(MATCH($A359,قائمة_المخرجات,0)),"رقم مخرج غير موجود",IF($D359="","نوع الحركة ناقص",IF(NOT(ISNUMBER($E359)),"التاريخ ناقص",IF($E359&gt;تاريخ_الاحتساب,"تاريخ بعد تاريخ الاحتساب",IF(AND($D359&lt;&gt;"تسليم",COUNTIFS($A$5:$A$1504,$A359,$D$5:$D$1504,"تسليم",$E$5:$E$1504,"&lt;="&amp;$E359)=0),"لا يوجد تسليم قبل الحركة دي",""))))))</f>
        <v/>
      </c>
    </row>
    <row r="360" customFormat="false" ht="15" hidden="false" customHeight="false" outlineLevel="0" collapsed="false">
      <c r="A360" s="20"/>
      <c r="B360" s="35" t="str">
        <f aca="false">IF($A360="","",IFERROR(INDEX(مخرج_البند,MATCH($A360,قائمة_المخرجات,0)),""))</f>
        <v/>
      </c>
      <c r="C360" s="30" t="str">
        <f aca="false">IF($A360="","",IFERROR(INDEX(مخرج_الوصف,MATCH($A360,قائمة_المخرجات,0)),""))</f>
        <v/>
      </c>
      <c r="D360" s="20"/>
      <c r="E360" s="31"/>
      <c r="F360" s="22"/>
      <c r="G360" s="36" t="str">
        <f aca="false">IF(OR($A360="",$D360&lt;&gt;"تسليم",NOT(ISNUMBER($E360))),"",COUNTIFS($A$5:$A$1504,$A360,$D$5:$D$1504,"تسليم",$E$5:$E$1504,"&lt;"&amp;$E360)+1)</f>
        <v/>
      </c>
      <c r="H360" s="33" t="str">
        <f aca="false">IF($G360="","",_xlfn.MINIFS($E$5:$E$1504,$A$5:$A$1504,$A360,$D$5:$D$1504,"&lt;&gt;تسليم",$E$5:$E$1504,"&gt;="&amp;$E360))</f>
        <v/>
      </c>
      <c r="I360" s="33" t="str">
        <f aca="false">IF($G360="","",_xlfn.MINIFS($E$5:$E$1504,$A$5:$A$1504,$A360,$D$5:$D$1504,"تسليم",$E$5:$E$1504,"&gt;"&amp;$E360))</f>
        <v/>
      </c>
      <c r="J360" s="33" t="str">
        <f aca="false">IF($G360="","",IF(H360&gt;0,IF(I360&gt;0,MIN(H360,I360),H360),IF(I360&gt;0,I360,تاريخ_الاحتساب)))</f>
        <v/>
      </c>
      <c r="K360" s="34" t="str">
        <f aca="false">IF($G360="","",IF(AND(H360=0,I360=0),"جارية","مغلقة"))</f>
        <v/>
      </c>
      <c r="L360" s="26" t="str">
        <f aca="false">IF($G360="","",MAX(0,NETWORKDAYS.INTL($E360,J360,رمز_العطلة,أيام_الأجازات)-1))</f>
        <v/>
      </c>
      <c r="M360" s="26" t="str">
        <f aca="false">IF($G360="","",MAX(0,L360-مهلة_المراجعة))</f>
        <v/>
      </c>
      <c r="N360" s="30" t="str">
        <f aca="false">IF($A360="",IF(OR($D360&lt;&gt;"",$E360&lt;&gt;""),"رقم المخرج ناقص",""),IF(ISNA(MATCH($A360,قائمة_المخرجات,0)),"رقم مخرج غير موجود",IF($D360="","نوع الحركة ناقص",IF(NOT(ISNUMBER($E360)),"التاريخ ناقص",IF($E360&gt;تاريخ_الاحتساب,"تاريخ بعد تاريخ الاحتساب",IF(AND($D360&lt;&gt;"تسليم",COUNTIFS($A$5:$A$1504,$A360,$D$5:$D$1504,"تسليم",$E$5:$E$1504,"&lt;="&amp;$E360)=0),"لا يوجد تسليم قبل الحركة دي",""))))))</f>
        <v/>
      </c>
    </row>
    <row r="361" customFormat="false" ht="15" hidden="false" customHeight="false" outlineLevel="0" collapsed="false">
      <c r="A361" s="20"/>
      <c r="B361" s="35" t="str">
        <f aca="false">IF($A361="","",IFERROR(INDEX(مخرج_البند,MATCH($A361,قائمة_المخرجات,0)),""))</f>
        <v/>
      </c>
      <c r="C361" s="30" t="str">
        <f aca="false">IF($A361="","",IFERROR(INDEX(مخرج_الوصف,MATCH($A361,قائمة_المخرجات,0)),""))</f>
        <v/>
      </c>
      <c r="D361" s="20"/>
      <c r="E361" s="31"/>
      <c r="F361" s="22"/>
      <c r="G361" s="36" t="str">
        <f aca="false">IF(OR($A361="",$D361&lt;&gt;"تسليم",NOT(ISNUMBER($E361))),"",COUNTIFS($A$5:$A$1504,$A361,$D$5:$D$1504,"تسليم",$E$5:$E$1504,"&lt;"&amp;$E361)+1)</f>
        <v/>
      </c>
      <c r="H361" s="33" t="str">
        <f aca="false">IF($G361="","",_xlfn.MINIFS($E$5:$E$1504,$A$5:$A$1504,$A361,$D$5:$D$1504,"&lt;&gt;تسليم",$E$5:$E$1504,"&gt;="&amp;$E361))</f>
        <v/>
      </c>
      <c r="I361" s="33" t="str">
        <f aca="false">IF($G361="","",_xlfn.MINIFS($E$5:$E$1504,$A$5:$A$1504,$A361,$D$5:$D$1504,"تسليم",$E$5:$E$1504,"&gt;"&amp;$E361))</f>
        <v/>
      </c>
      <c r="J361" s="33" t="str">
        <f aca="false">IF($G361="","",IF(H361&gt;0,IF(I361&gt;0,MIN(H361,I361),H361),IF(I361&gt;0,I361,تاريخ_الاحتساب)))</f>
        <v/>
      </c>
      <c r="K361" s="34" t="str">
        <f aca="false">IF($G361="","",IF(AND(H361=0,I361=0),"جارية","مغلقة"))</f>
        <v/>
      </c>
      <c r="L361" s="26" t="str">
        <f aca="false">IF($G361="","",MAX(0,NETWORKDAYS.INTL($E361,J361,رمز_العطلة,أيام_الأجازات)-1))</f>
        <v/>
      </c>
      <c r="M361" s="26" t="str">
        <f aca="false">IF($G361="","",MAX(0,L361-مهلة_المراجعة))</f>
        <v/>
      </c>
      <c r="N361" s="30" t="str">
        <f aca="false">IF($A361="",IF(OR($D361&lt;&gt;"",$E361&lt;&gt;""),"رقم المخرج ناقص",""),IF(ISNA(MATCH($A361,قائمة_المخرجات,0)),"رقم مخرج غير موجود",IF($D361="","نوع الحركة ناقص",IF(NOT(ISNUMBER($E361)),"التاريخ ناقص",IF($E361&gt;تاريخ_الاحتساب,"تاريخ بعد تاريخ الاحتساب",IF(AND($D361&lt;&gt;"تسليم",COUNTIFS($A$5:$A$1504,$A361,$D$5:$D$1504,"تسليم",$E$5:$E$1504,"&lt;="&amp;$E361)=0),"لا يوجد تسليم قبل الحركة دي",""))))))</f>
        <v/>
      </c>
    </row>
    <row r="362" customFormat="false" ht="15" hidden="false" customHeight="false" outlineLevel="0" collapsed="false">
      <c r="A362" s="20"/>
      <c r="B362" s="35" t="str">
        <f aca="false">IF($A362="","",IFERROR(INDEX(مخرج_البند,MATCH($A362,قائمة_المخرجات,0)),""))</f>
        <v/>
      </c>
      <c r="C362" s="30" t="str">
        <f aca="false">IF($A362="","",IFERROR(INDEX(مخرج_الوصف,MATCH($A362,قائمة_المخرجات,0)),""))</f>
        <v/>
      </c>
      <c r="D362" s="20"/>
      <c r="E362" s="31"/>
      <c r="F362" s="22"/>
      <c r="G362" s="36" t="str">
        <f aca="false">IF(OR($A362="",$D362&lt;&gt;"تسليم",NOT(ISNUMBER($E362))),"",COUNTIFS($A$5:$A$1504,$A362,$D$5:$D$1504,"تسليم",$E$5:$E$1504,"&lt;"&amp;$E362)+1)</f>
        <v/>
      </c>
      <c r="H362" s="33" t="str">
        <f aca="false">IF($G362="","",_xlfn.MINIFS($E$5:$E$1504,$A$5:$A$1504,$A362,$D$5:$D$1504,"&lt;&gt;تسليم",$E$5:$E$1504,"&gt;="&amp;$E362))</f>
        <v/>
      </c>
      <c r="I362" s="33" t="str">
        <f aca="false">IF($G362="","",_xlfn.MINIFS($E$5:$E$1504,$A$5:$A$1504,$A362,$D$5:$D$1504,"تسليم",$E$5:$E$1504,"&gt;"&amp;$E362))</f>
        <v/>
      </c>
      <c r="J362" s="33" t="str">
        <f aca="false">IF($G362="","",IF(H362&gt;0,IF(I362&gt;0,MIN(H362,I362),H362),IF(I362&gt;0,I362,تاريخ_الاحتساب)))</f>
        <v/>
      </c>
      <c r="K362" s="34" t="str">
        <f aca="false">IF($G362="","",IF(AND(H362=0,I362=0),"جارية","مغلقة"))</f>
        <v/>
      </c>
      <c r="L362" s="26" t="str">
        <f aca="false">IF($G362="","",MAX(0,NETWORKDAYS.INTL($E362,J362,رمز_العطلة,أيام_الأجازات)-1))</f>
        <v/>
      </c>
      <c r="M362" s="26" t="str">
        <f aca="false">IF($G362="","",MAX(0,L362-مهلة_المراجعة))</f>
        <v/>
      </c>
      <c r="N362" s="30" t="str">
        <f aca="false">IF($A362="",IF(OR($D362&lt;&gt;"",$E362&lt;&gt;""),"رقم المخرج ناقص",""),IF(ISNA(MATCH($A362,قائمة_المخرجات,0)),"رقم مخرج غير موجود",IF($D362="","نوع الحركة ناقص",IF(NOT(ISNUMBER($E362)),"التاريخ ناقص",IF($E362&gt;تاريخ_الاحتساب,"تاريخ بعد تاريخ الاحتساب",IF(AND($D362&lt;&gt;"تسليم",COUNTIFS($A$5:$A$1504,$A362,$D$5:$D$1504,"تسليم",$E$5:$E$1504,"&lt;="&amp;$E362)=0),"لا يوجد تسليم قبل الحركة دي",""))))))</f>
        <v/>
      </c>
    </row>
    <row r="363" customFormat="false" ht="15" hidden="false" customHeight="false" outlineLevel="0" collapsed="false">
      <c r="A363" s="20"/>
      <c r="B363" s="35" t="str">
        <f aca="false">IF($A363="","",IFERROR(INDEX(مخرج_البند,MATCH($A363,قائمة_المخرجات,0)),""))</f>
        <v/>
      </c>
      <c r="C363" s="30" t="str">
        <f aca="false">IF($A363="","",IFERROR(INDEX(مخرج_الوصف,MATCH($A363,قائمة_المخرجات,0)),""))</f>
        <v/>
      </c>
      <c r="D363" s="20"/>
      <c r="E363" s="31"/>
      <c r="F363" s="22"/>
      <c r="G363" s="36" t="str">
        <f aca="false">IF(OR($A363="",$D363&lt;&gt;"تسليم",NOT(ISNUMBER($E363))),"",COUNTIFS($A$5:$A$1504,$A363,$D$5:$D$1504,"تسليم",$E$5:$E$1504,"&lt;"&amp;$E363)+1)</f>
        <v/>
      </c>
      <c r="H363" s="33" t="str">
        <f aca="false">IF($G363="","",_xlfn.MINIFS($E$5:$E$1504,$A$5:$A$1504,$A363,$D$5:$D$1504,"&lt;&gt;تسليم",$E$5:$E$1504,"&gt;="&amp;$E363))</f>
        <v/>
      </c>
      <c r="I363" s="33" t="str">
        <f aca="false">IF($G363="","",_xlfn.MINIFS($E$5:$E$1504,$A$5:$A$1504,$A363,$D$5:$D$1504,"تسليم",$E$5:$E$1504,"&gt;"&amp;$E363))</f>
        <v/>
      </c>
      <c r="J363" s="33" t="str">
        <f aca="false">IF($G363="","",IF(H363&gt;0,IF(I363&gt;0,MIN(H363,I363),H363),IF(I363&gt;0,I363,تاريخ_الاحتساب)))</f>
        <v/>
      </c>
      <c r="K363" s="34" t="str">
        <f aca="false">IF($G363="","",IF(AND(H363=0,I363=0),"جارية","مغلقة"))</f>
        <v/>
      </c>
      <c r="L363" s="26" t="str">
        <f aca="false">IF($G363="","",MAX(0,NETWORKDAYS.INTL($E363,J363,رمز_العطلة,أيام_الأجازات)-1))</f>
        <v/>
      </c>
      <c r="M363" s="26" t="str">
        <f aca="false">IF($G363="","",MAX(0,L363-مهلة_المراجعة))</f>
        <v/>
      </c>
      <c r="N363" s="30" t="str">
        <f aca="false">IF($A363="",IF(OR($D363&lt;&gt;"",$E363&lt;&gt;""),"رقم المخرج ناقص",""),IF(ISNA(MATCH($A363,قائمة_المخرجات,0)),"رقم مخرج غير موجود",IF($D363="","نوع الحركة ناقص",IF(NOT(ISNUMBER($E363)),"التاريخ ناقص",IF($E363&gt;تاريخ_الاحتساب,"تاريخ بعد تاريخ الاحتساب",IF(AND($D363&lt;&gt;"تسليم",COUNTIFS($A$5:$A$1504,$A363,$D$5:$D$1504,"تسليم",$E$5:$E$1504,"&lt;="&amp;$E363)=0),"لا يوجد تسليم قبل الحركة دي",""))))))</f>
        <v/>
      </c>
    </row>
    <row r="364" customFormat="false" ht="15" hidden="false" customHeight="false" outlineLevel="0" collapsed="false">
      <c r="A364" s="20"/>
      <c r="B364" s="35" t="str">
        <f aca="false">IF($A364="","",IFERROR(INDEX(مخرج_البند,MATCH($A364,قائمة_المخرجات,0)),""))</f>
        <v/>
      </c>
      <c r="C364" s="30" t="str">
        <f aca="false">IF($A364="","",IFERROR(INDEX(مخرج_الوصف,MATCH($A364,قائمة_المخرجات,0)),""))</f>
        <v/>
      </c>
      <c r="D364" s="20"/>
      <c r="E364" s="31"/>
      <c r="F364" s="22"/>
      <c r="G364" s="36" t="str">
        <f aca="false">IF(OR($A364="",$D364&lt;&gt;"تسليم",NOT(ISNUMBER($E364))),"",COUNTIFS($A$5:$A$1504,$A364,$D$5:$D$1504,"تسليم",$E$5:$E$1504,"&lt;"&amp;$E364)+1)</f>
        <v/>
      </c>
      <c r="H364" s="33" t="str">
        <f aca="false">IF($G364="","",_xlfn.MINIFS($E$5:$E$1504,$A$5:$A$1504,$A364,$D$5:$D$1504,"&lt;&gt;تسليم",$E$5:$E$1504,"&gt;="&amp;$E364))</f>
        <v/>
      </c>
      <c r="I364" s="33" t="str">
        <f aca="false">IF($G364="","",_xlfn.MINIFS($E$5:$E$1504,$A$5:$A$1504,$A364,$D$5:$D$1504,"تسليم",$E$5:$E$1504,"&gt;"&amp;$E364))</f>
        <v/>
      </c>
      <c r="J364" s="33" t="str">
        <f aca="false">IF($G364="","",IF(H364&gt;0,IF(I364&gt;0,MIN(H364,I364),H364),IF(I364&gt;0,I364,تاريخ_الاحتساب)))</f>
        <v/>
      </c>
      <c r="K364" s="34" t="str">
        <f aca="false">IF($G364="","",IF(AND(H364=0,I364=0),"جارية","مغلقة"))</f>
        <v/>
      </c>
      <c r="L364" s="26" t="str">
        <f aca="false">IF($G364="","",MAX(0,NETWORKDAYS.INTL($E364,J364,رمز_العطلة,أيام_الأجازات)-1))</f>
        <v/>
      </c>
      <c r="M364" s="26" t="str">
        <f aca="false">IF($G364="","",MAX(0,L364-مهلة_المراجعة))</f>
        <v/>
      </c>
      <c r="N364" s="30" t="str">
        <f aca="false">IF($A364="",IF(OR($D364&lt;&gt;"",$E364&lt;&gt;""),"رقم المخرج ناقص",""),IF(ISNA(MATCH($A364,قائمة_المخرجات,0)),"رقم مخرج غير موجود",IF($D364="","نوع الحركة ناقص",IF(NOT(ISNUMBER($E364)),"التاريخ ناقص",IF($E364&gt;تاريخ_الاحتساب,"تاريخ بعد تاريخ الاحتساب",IF(AND($D364&lt;&gt;"تسليم",COUNTIFS($A$5:$A$1504,$A364,$D$5:$D$1504,"تسليم",$E$5:$E$1504,"&lt;="&amp;$E364)=0),"لا يوجد تسليم قبل الحركة دي",""))))))</f>
        <v/>
      </c>
    </row>
    <row r="365" customFormat="false" ht="15" hidden="false" customHeight="false" outlineLevel="0" collapsed="false">
      <c r="A365" s="20"/>
      <c r="B365" s="35" t="str">
        <f aca="false">IF($A365="","",IFERROR(INDEX(مخرج_البند,MATCH($A365,قائمة_المخرجات,0)),""))</f>
        <v/>
      </c>
      <c r="C365" s="30" t="str">
        <f aca="false">IF($A365="","",IFERROR(INDEX(مخرج_الوصف,MATCH($A365,قائمة_المخرجات,0)),""))</f>
        <v/>
      </c>
      <c r="D365" s="20"/>
      <c r="E365" s="31"/>
      <c r="F365" s="22"/>
      <c r="G365" s="36" t="str">
        <f aca="false">IF(OR($A365="",$D365&lt;&gt;"تسليم",NOT(ISNUMBER($E365))),"",COUNTIFS($A$5:$A$1504,$A365,$D$5:$D$1504,"تسليم",$E$5:$E$1504,"&lt;"&amp;$E365)+1)</f>
        <v/>
      </c>
      <c r="H365" s="33" t="str">
        <f aca="false">IF($G365="","",_xlfn.MINIFS($E$5:$E$1504,$A$5:$A$1504,$A365,$D$5:$D$1504,"&lt;&gt;تسليم",$E$5:$E$1504,"&gt;="&amp;$E365))</f>
        <v/>
      </c>
      <c r="I365" s="33" t="str">
        <f aca="false">IF($G365="","",_xlfn.MINIFS($E$5:$E$1504,$A$5:$A$1504,$A365,$D$5:$D$1504,"تسليم",$E$5:$E$1504,"&gt;"&amp;$E365))</f>
        <v/>
      </c>
      <c r="J365" s="33" t="str">
        <f aca="false">IF($G365="","",IF(H365&gt;0,IF(I365&gt;0,MIN(H365,I365),H365),IF(I365&gt;0,I365,تاريخ_الاحتساب)))</f>
        <v/>
      </c>
      <c r="K365" s="34" t="str">
        <f aca="false">IF($G365="","",IF(AND(H365=0,I365=0),"جارية","مغلقة"))</f>
        <v/>
      </c>
      <c r="L365" s="26" t="str">
        <f aca="false">IF($G365="","",MAX(0,NETWORKDAYS.INTL($E365,J365,رمز_العطلة,أيام_الأجازات)-1))</f>
        <v/>
      </c>
      <c r="M365" s="26" t="str">
        <f aca="false">IF($G365="","",MAX(0,L365-مهلة_المراجعة))</f>
        <v/>
      </c>
      <c r="N365" s="30" t="str">
        <f aca="false">IF($A365="",IF(OR($D365&lt;&gt;"",$E365&lt;&gt;""),"رقم المخرج ناقص",""),IF(ISNA(MATCH($A365,قائمة_المخرجات,0)),"رقم مخرج غير موجود",IF($D365="","نوع الحركة ناقص",IF(NOT(ISNUMBER($E365)),"التاريخ ناقص",IF($E365&gt;تاريخ_الاحتساب,"تاريخ بعد تاريخ الاحتساب",IF(AND($D365&lt;&gt;"تسليم",COUNTIFS($A$5:$A$1504,$A365,$D$5:$D$1504,"تسليم",$E$5:$E$1504,"&lt;="&amp;$E365)=0),"لا يوجد تسليم قبل الحركة دي",""))))))</f>
        <v/>
      </c>
    </row>
    <row r="366" customFormat="false" ht="15" hidden="false" customHeight="false" outlineLevel="0" collapsed="false">
      <c r="A366" s="20"/>
      <c r="B366" s="35" t="str">
        <f aca="false">IF($A366="","",IFERROR(INDEX(مخرج_البند,MATCH($A366,قائمة_المخرجات,0)),""))</f>
        <v/>
      </c>
      <c r="C366" s="30" t="str">
        <f aca="false">IF($A366="","",IFERROR(INDEX(مخرج_الوصف,MATCH($A366,قائمة_المخرجات,0)),""))</f>
        <v/>
      </c>
      <c r="D366" s="20"/>
      <c r="E366" s="31"/>
      <c r="F366" s="22"/>
      <c r="G366" s="36" t="str">
        <f aca="false">IF(OR($A366="",$D366&lt;&gt;"تسليم",NOT(ISNUMBER($E366))),"",COUNTIFS($A$5:$A$1504,$A366,$D$5:$D$1504,"تسليم",$E$5:$E$1504,"&lt;"&amp;$E366)+1)</f>
        <v/>
      </c>
      <c r="H366" s="33" t="str">
        <f aca="false">IF($G366="","",_xlfn.MINIFS($E$5:$E$1504,$A$5:$A$1504,$A366,$D$5:$D$1504,"&lt;&gt;تسليم",$E$5:$E$1504,"&gt;="&amp;$E366))</f>
        <v/>
      </c>
      <c r="I366" s="33" t="str">
        <f aca="false">IF($G366="","",_xlfn.MINIFS($E$5:$E$1504,$A$5:$A$1504,$A366,$D$5:$D$1504,"تسليم",$E$5:$E$1504,"&gt;"&amp;$E366))</f>
        <v/>
      </c>
      <c r="J366" s="33" t="str">
        <f aca="false">IF($G366="","",IF(H366&gt;0,IF(I366&gt;0,MIN(H366,I366),H366),IF(I366&gt;0,I366,تاريخ_الاحتساب)))</f>
        <v/>
      </c>
      <c r="K366" s="34" t="str">
        <f aca="false">IF($G366="","",IF(AND(H366=0,I366=0),"جارية","مغلقة"))</f>
        <v/>
      </c>
      <c r="L366" s="26" t="str">
        <f aca="false">IF($G366="","",MAX(0,NETWORKDAYS.INTL($E366,J366,رمز_العطلة,أيام_الأجازات)-1))</f>
        <v/>
      </c>
      <c r="M366" s="26" t="str">
        <f aca="false">IF($G366="","",MAX(0,L366-مهلة_المراجعة))</f>
        <v/>
      </c>
      <c r="N366" s="30" t="str">
        <f aca="false">IF($A366="",IF(OR($D366&lt;&gt;"",$E366&lt;&gt;""),"رقم المخرج ناقص",""),IF(ISNA(MATCH($A366,قائمة_المخرجات,0)),"رقم مخرج غير موجود",IF($D366="","نوع الحركة ناقص",IF(NOT(ISNUMBER($E366)),"التاريخ ناقص",IF($E366&gt;تاريخ_الاحتساب,"تاريخ بعد تاريخ الاحتساب",IF(AND($D366&lt;&gt;"تسليم",COUNTIFS($A$5:$A$1504,$A366,$D$5:$D$1504,"تسليم",$E$5:$E$1504,"&lt;="&amp;$E366)=0),"لا يوجد تسليم قبل الحركة دي",""))))))</f>
        <v/>
      </c>
    </row>
    <row r="367" customFormat="false" ht="15" hidden="false" customHeight="false" outlineLevel="0" collapsed="false">
      <c r="A367" s="20"/>
      <c r="B367" s="35" t="str">
        <f aca="false">IF($A367="","",IFERROR(INDEX(مخرج_البند,MATCH($A367,قائمة_المخرجات,0)),""))</f>
        <v/>
      </c>
      <c r="C367" s="30" t="str">
        <f aca="false">IF($A367="","",IFERROR(INDEX(مخرج_الوصف,MATCH($A367,قائمة_المخرجات,0)),""))</f>
        <v/>
      </c>
      <c r="D367" s="20"/>
      <c r="E367" s="31"/>
      <c r="F367" s="22"/>
      <c r="G367" s="36" t="str">
        <f aca="false">IF(OR($A367="",$D367&lt;&gt;"تسليم",NOT(ISNUMBER($E367))),"",COUNTIFS($A$5:$A$1504,$A367,$D$5:$D$1504,"تسليم",$E$5:$E$1504,"&lt;"&amp;$E367)+1)</f>
        <v/>
      </c>
      <c r="H367" s="33" t="str">
        <f aca="false">IF($G367="","",_xlfn.MINIFS($E$5:$E$1504,$A$5:$A$1504,$A367,$D$5:$D$1504,"&lt;&gt;تسليم",$E$5:$E$1504,"&gt;="&amp;$E367))</f>
        <v/>
      </c>
      <c r="I367" s="33" t="str">
        <f aca="false">IF($G367="","",_xlfn.MINIFS($E$5:$E$1504,$A$5:$A$1504,$A367,$D$5:$D$1504,"تسليم",$E$5:$E$1504,"&gt;"&amp;$E367))</f>
        <v/>
      </c>
      <c r="J367" s="33" t="str">
        <f aca="false">IF($G367="","",IF(H367&gt;0,IF(I367&gt;0,MIN(H367,I367),H367),IF(I367&gt;0,I367,تاريخ_الاحتساب)))</f>
        <v/>
      </c>
      <c r="K367" s="34" t="str">
        <f aca="false">IF($G367="","",IF(AND(H367=0,I367=0),"جارية","مغلقة"))</f>
        <v/>
      </c>
      <c r="L367" s="26" t="str">
        <f aca="false">IF($G367="","",MAX(0,NETWORKDAYS.INTL($E367,J367,رمز_العطلة,أيام_الأجازات)-1))</f>
        <v/>
      </c>
      <c r="M367" s="26" t="str">
        <f aca="false">IF($G367="","",MAX(0,L367-مهلة_المراجعة))</f>
        <v/>
      </c>
      <c r="N367" s="30" t="str">
        <f aca="false">IF($A367="",IF(OR($D367&lt;&gt;"",$E367&lt;&gt;""),"رقم المخرج ناقص",""),IF(ISNA(MATCH($A367,قائمة_المخرجات,0)),"رقم مخرج غير موجود",IF($D367="","نوع الحركة ناقص",IF(NOT(ISNUMBER($E367)),"التاريخ ناقص",IF($E367&gt;تاريخ_الاحتساب,"تاريخ بعد تاريخ الاحتساب",IF(AND($D367&lt;&gt;"تسليم",COUNTIFS($A$5:$A$1504,$A367,$D$5:$D$1504,"تسليم",$E$5:$E$1504,"&lt;="&amp;$E367)=0),"لا يوجد تسليم قبل الحركة دي",""))))))</f>
        <v/>
      </c>
    </row>
    <row r="368" customFormat="false" ht="15" hidden="false" customHeight="false" outlineLevel="0" collapsed="false">
      <c r="A368" s="20"/>
      <c r="B368" s="35" t="str">
        <f aca="false">IF($A368="","",IFERROR(INDEX(مخرج_البند,MATCH($A368,قائمة_المخرجات,0)),""))</f>
        <v/>
      </c>
      <c r="C368" s="30" t="str">
        <f aca="false">IF($A368="","",IFERROR(INDEX(مخرج_الوصف,MATCH($A368,قائمة_المخرجات,0)),""))</f>
        <v/>
      </c>
      <c r="D368" s="20"/>
      <c r="E368" s="31"/>
      <c r="F368" s="22"/>
      <c r="G368" s="36" t="str">
        <f aca="false">IF(OR($A368="",$D368&lt;&gt;"تسليم",NOT(ISNUMBER($E368))),"",COUNTIFS($A$5:$A$1504,$A368,$D$5:$D$1504,"تسليم",$E$5:$E$1504,"&lt;"&amp;$E368)+1)</f>
        <v/>
      </c>
      <c r="H368" s="33" t="str">
        <f aca="false">IF($G368="","",_xlfn.MINIFS($E$5:$E$1504,$A$5:$A$1504,$A368,$D$5:$D$1504,"&lt;&gt;تسليم",$E$5:$E$1504,"&gt;="&amp;$E368))</f>
        <v/>
      </c>
      <c r="I368" s="33" t="str">
        <f aca="false">IF($G368="","",_xlfn.MINIFS($E$5:$E$1504,$A$5:$A$1504,$A368,$D$5:$D$1504,"تسليم",$E$5:$E$1504,"&gt;"&amp;$E368))</f>
        <v/>
      </c>
      <c r="J368" s="33" t="str">
        <f aca="false">IF($G368="","",IF(H368&gt;0,IF(I368&gt;0,MIN(H368,I368),H368),IF(I368&gt;0,I368,تاريخ_الاحتساب)))</f>
        <v/>
      </c>
      <c r="K368" s="34" t="str">
        <f aca="false">IF($G368="","",IF(AND(H368=0,I368=0),"جارية","مغلقة"))</f>
        <v/>
      </c>
      <c r="L368" s="26" t="str">
        <f aca="false">IF($G368="","",MAX(0,NETWORKDAYS.INTL($E368,J368,رمز_العطلة,أيام_الأجازات)-1))</f>
        <v/>
      </c>
      <c r="M368" s="26" t="str">
        <f aca="false">IF($G368="","",MAX(0,L368-مهلة_المراجعة))</f>
        <v/>
      </c>
      <c r="N368" s="30" t="str">
        <f aca="false">IF($A368="",IF(OR($D368&lt;&gt;"",$E368&lt;&gt;""),"رقم المخرج ناقص",""),IF(ISNA(MATCH($A368,قائمة_المخرجات,0)),"رقم مخرج غير موجود",IF($D368="","نوع الحركة ناقص",IF(NOT(ISNUMBER($E368)),"التاريخ ناقص",IF($E368&gt;تاريخ_الاحتساب,"تاريخ بعد تاريخ الاحتساب",IF(AND($D368&lt;&gt;"تسليم",COUNTIFS($A$5:$A$1504,$A368,$D$5:$D$1504,"تسليم",$E$5:$E$1504,"&lt;="&amp;$E368)=0),"لا يوجد تسليم قبل الحركة دي",""))))))</f>
        <v/>
      </c>
    </row>
    <row r="369" customFormat="false" ht="15" hidden="false" customHeight="false" outlineLevel="0" collapsed="false">
      <c r="A369" s="20"/>
      <c r="B369" s="35" t="str">
        <f aca="false">IF($A369="","",IFERROR(INDEX(مخرج_البند,MATCH($A369,قائمة_المخرجات,0)),""))</f>
        <v/>
      </c>
      <c r="C369" s="30" t="str">
        <f aca="false">IF($A369="","",IFERROR(INDEX(مخرج_الوصف,MATCH($A369,قائمة_المخرجات,0)),""))</f>
        <v/>
      </c>
      <c r="D369" s="20"/>
      <c r="E369" s="31"/>
      <c r="F369" s="22"/>
      <c r="G369" s="36" t="str">
        <f aca="false">IF(OR($A369="",$D369&lt;&gt;"تسليم",NOT(ISNUMBER($E369))),"",COUNTIFS($A$5:$A$1504,$A369,$D$5:$D$1504,"تسليم",$E$5:$E$1504,"&lt;"&amp;$E369)+1)</f>
        <v/>
      </c>
      <c r="H369" s="33" t="str">
        <f aca="false">IF($G369="","",_xlfn.MINIFS($E$5:$E$1504,$A$5:$A$1504,$A369,$D$5:$D$1504,"&lt;&gt;تسليم",$E$5:$E$1504,"&gt;="&amp;$E369))</f>
        <v/>
      </c>
      <c r="I369" s="33" t="str">
        <f aca="false">IF($G369="","",_xlfn.MINIFS($E$5:$E$1504,$A$5:$A$1504,$A369,$D$5:$D$1504,"تسليم",$E$5:$E$1504,"&gt;"&amp;$E369))</f>
        <v/>
      </c>
      <c r="J369" s="33" t="str">
        <f aca="false">IF($G369="","",IF(H369&gt;0,IF(I369&gt;0,MIN(H369,I369),H369),IF(I369&gt;0,I369,تاريخ_الاحتساب)))</f>
        <v/>
      </c>
      <c r="K369" s="34" t="str">
        <f aca="false">IF($G369="","",IF(AND(H369=0,I369=0),"جارية","مغلقة"))</f>
        <v/>
      </c>
      <c r="L369" s="26" t="str">
        <f aca="false">IF($G369="","",MAX(0,NETWORKDAYS.INTL($E369,J369,رمز_العطلة,أيام_الأجازات)-1))</f>
        <v/>
      </c>
      <c r="M369" s="26" t="str">
        <f aca="false">IF($G369="","",MAX(0,L369-مهلة_المراجعة))</f>
        <v/>
      </c>
      <c r="N369" s="30" t="str">
        <f aca="false">IF($A369="",IF(OR($D369&lt;&gt;"",$E369&lt;&gt;""),"رقم المخرج ناقص",""),IF(ISNA(MATCH($A369,قائمة_المخرجات,0)),"رقم مخرج غير موجود",IF($D369="","نوع الحركة ناقص",IF(NOT(ISNUMBER($E369)),"التاريخ ناقص",IF($E369&gt;تاريخ_الاحتساب,"تاريخ بعد تاريخ الاحتساب",IF(AND($D369&lt;&gt;"تسليم",COUNTIFS($A$5:$A$1504,$A369,$D$5:$D$1504,"تسليم",$E$5:$E$1504,"&lt;="&amp;$E369)=0),"لا يوجد تسليم قبل الحركة دي",""))))))</f>
        <v/>
      </c>
    </row>
    <row r="370" customFormat="false" ht="15" hidden="false" customHeight="false" outlineLevel="0" collapsed="false">
      <c r="A370" s="20"/>
      <c r="B370" s="35" t="str">
        <f aca="false">IF($A370="","",IFERROR(INDEX(مخرج_البند,MATCH($A370,قائمة_المخرجات,0)),""))</f>
        <v/>
      </c>
      <c r="C370" s="30" t="str">
        <f aca="false">IF($A370="","",IFERROR(INDEX(مخرج_الوصف,MATCH($A370,قائمة_المخرجات,0)),""))</f>
        <v/>
      </c>
      <c r="D370" s="20"/>
      <c r="E370" s="31"/>
      <c r="F370" s="22"/>
      <c r="G370" s="36" t="str">
        <f aca="false">IF(OR($A370="",$D370&lt;&gt;"تسليم",NOT(ISNUMBER($E370))),"",COUNTIFS($A$5:$A$1504,$A370,$D$5:$D$1504,"تسليم",$E$5:$E$1504,"&lt;"&amp;$E370)+1)</f>
        <v/>
      </c>
      <c r="H370" s="33" t="str">
        <f aca="false">IF($G370="","",_xlfn.MINIFS($E$5:$E$1504,$A$5:$A$1504,$A370,$D$5:$D$1504,"&lt;&gt;تسليم",$E$5:$E$1504,"&gt;="&amp;$E370))</f>
        <v/>
      </c>
      <c r="I370" s="33" t="str">
        <f aca="false">IF($G370="","",_xlfn.MINIFS($E$5:$E$1504,$A$5:$A$1504,$A370,$D$5:$D$1504,"تسليم",$E$5:$E$1504,"&gt;"&amp;$E370))</f>
        <v/>
      </c>
      <c r="J370" s="33" t="str">
        <f aca="false">IF($G370="","",IF(H370&gt;0,IF(I370&gt;0,MIN(H370,I370),H370),IF(I370&gt;0,I370,تاريخ_الاحتساب)))</f>
        <v/>
      </c>
      <c r="K370" s="34" t="str">
        <f aca="false">IF($G370="","",IF(AND(H370=0,I370=0),"جارية","مغلقة"))</f>
        <v/>
      </c>
      <c r="L370" s="26" t="str">
        <f aca="false">IF($G370="","",MAX(0,NETWORKDAYS.INTL($E370,J370,رمز_العطلة,أيام_الأجازات)-1))</f>
        <v/>
      </c>
      <c r="M370" s="26" t="str">
        <f aca="false">IF($G370="","",MAX(0,L370-مهلة_المراجعة))</f>
        <v/>
      </c>
      <c r="N370" s="30" t="str">
        <f aca="false">IF($A370="",IF(OR($D370&lt;&gt;"",$E370&lt;&gt;""),"رقم المخرج ناقص",""),IF(ISNA(MATCH($A370,قائمة_المخرجات,0)),"رقم مخرج غير موجود",IF($D370="","نوع الحركة ناقص",IF(NOT(ISNUMBER($E370)),"التاريخ ناقص",IF($E370&gt;تاريخ_الاحتساب,"تاريخ بعد تاريخ الاحتساب",IF(AND($D370&lt;&gt;"تسليم",COUNTIFS($A$5:$A$1504,$A370,$D$5:$D$1504,"تسليم",$E$5:$E$1504,"&lt;="&amp;$E370)=0),"لا يوجد تسليم قبل الحركة دي",""))))))</f>
        <v/>
      </c>
    </row>
    <row r="371" customFormat="false" ht="15" hidden="false" customHeight="false" outlineLevel="0" collapsed="false">
      <c r="A371" s="20"/>
      <c r="B371" s="35" t="str">
        <f aca="false">IF($A371="","",IFERROR(INDEX(مخرج_البند,MATCH($A371,قائمة_المخرجات,0)),""))</f>
        <v/>
      </c>
      <c r="C371" s="30" t="str">
        <f aca="false">IF($A371="","",IFERROR(INDEX(مخرج_الوصف,MATCH($A371,قائمة_المخرجات,0)),""))</f>
        <v/>
      </c>
      <c r="D371" s="20"/>
      <c r="E371" s="31"/>
      <c r="F371" s="22"/>
      <c r="G371" s="36" t="str">
        <f aca="false">IF(OR($A371="",$D371&lt;&gt;"تسليم",NOT(ISNUMBER($E371))),"",COUNTIFS($A$5:$A$1504,$A371,$D$5:$D$1504,"تسليم",$E$5:$E$1504,"&lt;"&amp;$E371)+1)</f>
        <v/>
      </c>
      <c r="H371" s="33" t="str">
        <f aca="false">IF($G371="","",_xlfn.MINIFS($E$5:$E$1504,$A$5:$A$1504,$A371,$D$5:$D$1504,"&lt;&gt;تسليم",$E$5:$E$1504,"&gt;="&amp;$E371))</f>
        <v/>
      </c>
      <c r="I371" s="33" t="str">
        <f aca="false">IF($G371="","",_xlfn.MINIFS($E$5:$E$1504,$A$5:$A$1504,$A371,$D$5:$D$1504,"تسليم",$E$5:$E$1504,"&gt;"&amp;$E371))</f>
        <v/>
      </c>
      <c r="J371" s="33" t="str">
        <f aca="false">IF($G371="","",IF(H371&gt;0,IF(I371&gt;0,MIN(H371,I371),H371),IF(I371&gt;0,I371,تاريخ_الاحتساب)))</f>
        <v/>
      </c>
      <c r="K371" s="34" t="str">
        <f aca="false">IF($G371="","",IF(AND(H371=0,I371=0),"جارية","مغلقة"))</f>
        <v/>
      </c>
      <c r="L371" s="26" t="str">
        <f aca="false">IF($G371="","",MAX(0,NETWORKDAYS.INTL($E371,J371,رمز_العطلة,أيام_الأجازات)-1))</f>
        <v/>
      </c>
      <c r="M371" s="26" t="str">
        <f aca="false">IF($G371="","",MAX(0,L371-مهلة_المراجعة))</f>
        <v/>
      </c>
      <c r="N371" s="30" t="str">
        <f aca="false">IF($A371="",IF(OR($D371&lt;&gt;"",$E371&lt;&gt;""),"رقم المخرج ناقص",""),IF(ISNA(MATCH($A371,قائمة_المخرجات,0)),"رقم مخرج غير موجود",IF($D371="","نوع الحركة ناقص",IF(NOT(ISNUMBER($E371)),"التاريخ ناقص",IF($E371&gt;تاريخ_الاحتساب,"تاريخ بعد تاريخ الاحتساب",IF(AND($D371&lt;&gt;"تسليم",COUNTIFS($A$5:$A$1504,$A371,$D$5:$D$1504,"تسليم",$E$5:$E$1504,"&lt;="&amp;$E371)=0),"لا يوجد تسليم قبل الحركة دي",""))))))</f>
        <v/>
      </c>
    </row>
    <row r="372" customFormat="false" ht="15" hidden="false" customHeight="false" outlineLevel="0" collapsed="false">
      <c r="A372" s="20"/>
      <c r="B372" s="35" t="str">
        <f aca="false">IF($A372="","",IFERROR(INDEX(مخرج_البند,MATCH($A372,قائمة_المخرجات,0)),""))</f>
        <v/>
      </c>
      <c r="C372" s="30" t="str">
        <f aca="false">IF($A372="","",IFERROR(INDEX(مخرج_الوصف,MATCH($A372,قائمة_المخرجات,0)),""))</f>
        <v/>
      </c>
      <c r="D372" s="20"/>
      <c r="E372" s="31"/>
      <c r="F372" s="22"/>
      <c r="G372" s="36" t="str">
        <f aca="false">IF(OR($A372="",$D372&lt;&gt;"تسليم",NOT(ISNUMBER($E372))),"",COUNTIFS($A$5:$A$1504,$A372,$D$5:$D$1504,"تسليم",$E$5:$E$1504,"&lt;"&amp;$E372)+1)</f>
        <v/>
      </c>
      <c r="H372" s="33" t="str">
        <f aca="false">IF($G372="","",_xlfn.MINIFS($E$5:$E$1504,$A$5:$A$1504,$A372,$D$5:$D$1504,"&lt;&gt;تسليم",$E$5:$E$1504,"&gt;="&amp;$E372))</f>
        <v/>
      </c>
      <c r="I372" s="33" t="str">
        <f aca="false">IF($G372="","",_xlfn.MINIFS($E$5:$E$1504,$A$5:$A$1504,$A372,$D$5:$D$1504,"تسليم",$E$5:$E$1504,"&gt;"&amp;$E372))</f>
        <v/>
      </c>
      <c r="J372" s="33" t="str">
        <f aca="false">IF($G372="","",IF(H372&gt;0,IF(I372&gt;0,MIN(H372,I372),H372),IF(I372&gt;0,I372,تاريخ_الاحتساب)))</f>
        <v/>
      </c>
      <c r="K372" s="34" t="str">
        <f aca="false">IF($G372="","",IF(AND(H372=0,I372=0),"جارية","مغلقة"))</f>
        <v/>
      </c>
      <c r="L372" s="26" t="str">
        <f aca="false">IF($G372="","",MAX(0,NETWORKDAYS.INTL($E372,J372,رمز_العطلة,أيام_الأجازات)-1))</f>
        <v/>
      </c>
      <c r="M372" s="26" t="str">
        <f aca="false">IF($G372="","",MAX(0,L372-مهلة_المراجعة))</f>
        <v/>
      </c>
      <c r="N372" s="30" t="str">
        <f aca="false">IF($A372="",IF(OR($D372&lt;&gt;"",$E372&lt;&gt;""),"رقم المخرج ناقص",""),IF(ISNA(MATCH($A372,قائمة_المخرجات,0)),"رقم مخرج غير موجود",IF($D372="","نوع الحركة ناقص",IF(NOT(ISNUMBER($E372)),"التاريخ ناقص",IF($E372&gt;تاريخ_الاحتساب,"تاريخ بعد تاريخ الاحتساب",IF(AND($D372&lt;&gt;"تسليم",COUNTIFS($A$5:$A$1504,$A372,$D$5:$D$1504,"تسليم",$E$5:$E$1504,"&lt;="&amp;$E372)=0),"لا يوجد تسليم قبل الحركة دي",""))))))</f>
        <v/>
      </c>
    </row>
    <row r="373" customFormat="false" ht="15" hidden="false" customHeight="false" outlineLevel="0" collapsed="false">
      <c r="A373" s="20"/>
      <c r="B373" s="35" t="str">
        <f aca="false">IF($A373="","",IFERROR(INDEX(مخرج_البند,MATCH($A373,قائمة_المخرجات,0)),""))</f>
        <v/>
      </c>
      <c r="C373" s="30" t="str">
        <f aca="false">IF($A373="","",IFERROR(INDEX(مخرج_الوصف,MATCH($A373,قائمة_المخرجات,0)),""))</f>
        <v/>
      </c>
      <c r="D373" s="20"/>
      <c r="E373" s="31"/>
      <c r="F373" s="22"/>
      <c r="G373" s="36" t="str">
        <f aca="false">IF(OR($A373="",$D373&lt;&gt;"تسليم",NOT(ISNUMBER($E373))),"",COUNTIFS($A$5:$A$1504,$A373,$D$5:$D$1504,"تسليم",$E$5:$E$1504,"&lt;"&amp;$E373)+1)</f>
        <v/>
      </c>
      <c r="H373" s="33" t="str">
        <f aca="false">IF($G373="","",_xlfn.MINIFS($E$5:$E$1504,$A$5:$A$1504,$A373,$D$5:$D$1504,"&lt;&gt;تسليم",$E$5:$E$1504,"&gt;="&amp;$E373))</f>
        <v/>
      </c>
      <c r="I373" s="33" t="str">
        <f aca="false">IF($G373="","",_xlfn.MINIFS($E$5:$E$1504,$A$5:$A$1504,$A373,$D$5:$D$1504,"تسليم",$E$5:$E$1504,"&gt;"&amp;$E373))</f>
        <v/>
      </c>
      <c r="J373" s="33" t="str">
        <f aca="false">IF($G373="","",IF(H373&gt;0,IF(I373&gt;0,MIN(H373,I373),H373),IF(I373&gt;0,I373,تاريخ_الاحتساب)))</f>
        <v/>
      </c>
      <c r="K373" s="34" t="str">
        <f aca="false">IF($G373="","",IF(AND(H373=0,I373=0),"جارية","مغلقة"))</f>
        <v/>
      </c>
      <c r="L373" s="26" t="str">
        <f aca="false">IF($G373="","",MAX(0,NETWORKDAYS.INTL($E373,J373,رمز_العطلة,أيام_الأجازات)-1))</f>
        <v/>
      </c>
      <c r="M373" s="26" t="str">
        <f aca="false">IF($G373="","",MAX(0,L373-مهلة_المراجعة))</f>
        <v/>
      </c>
      <c r="N373" s="30" t="str">
        <f aca="false">IF($A373="",IF(OR($D373&lt;&gt;"",$E373&lt;&gt;""),"رقم المخرج ناقص",""),IF(ISNA(MATCH($A373,قائمة_المخرجات,0)),"رقم مخرج غير موجود",IF($D373="","نوع الحركة ناقص",IF(NOT(ISNUMBER($E373)),"التاريخ ناقص",IF($E373&gt;تاريخ_الاحتساب,"تاريخ بعد تاريخ الاحتساب",IF(AND($D373&lt;&gt;"تسليم",COUNTIFS($A$5:$A$1504,$A373,$D$5:$D$1504,"تسليم",$E$5:$E$1504,"&lt;="&amp;$E373)=0),"لا يوجد تسليم قبل الحركة دي",""))))))</f>
        <v/>
      </c>
    </row>
    <row r="374" customFormat="false" ht="15" hidden="false" customHeight="false" outlineLevel="0" collapsed="false">
      <c r="A374" s="20"/>
      <c r="B374" s="35" t="str">
        <f aca="false">IF($A374="","",IFERROR(INDEX(مخرج_البند,MATCH($A374,قائمة_المخرجات,0)),""))</f>
        <v/>
      </c>
      <c r="C374" s="30" t="str">
        <f aca="false">IF($A374="","",IFERROR(INDEX(مخرج_الوصف,MATCH($A374,قائمة_المخرجات,0)),""))</f>
        <v/>
      </c>
      <c r="D374" s="20"/>
      <c r="E374" s="31"/>
      <c r="F374" s="22"/>
      <c r="G374" s="36" t="str">
        <f aca="false">IF(OR($A374="",$D374&lt;&gt;"تسليم",NOT(ISNUMBER($E374))),"",COUNTIFS($A$5:$A$1504,$A374,$D$5:$D$1504,"تسليم",$E$5:$E$1504,"&lt;"&amp;$E374)+1)</f>
        <v/>
      </c>
      <c r="H374" s="33" t="str">
        <f aca="false">IF($G374="","",_xlfn.MINIFS($E$5:$E$1504,$A$5:$A$1504,$A374,$D$5:$D$1504,"&lt;&gt;تسليم",$E$5:$E$1504,"&gt;="&amp;$E374))</f>
        <v/>
      </c>
      <c r="I374" s="33" t="str">
        <f aca="false">IF($G374="","",_xlfn.MINIFS($E$5:$E$1504,$A$5:$A$1504,$A374,$D$5:$D$1504,"تسليم",$E$5:$E$1504,"&gt;"&amp;$E374))</f>
        <v/>
      </c>
      <c r="J374" s="33" t="str">
        <f aca="false">IF($G374="","",IF(H374&gt;0,IF(I374&gt;0,MIN(H374,I374),H374),IF(I374&gt;0,I374,تاريخ_الاحتساب)))</f>
        <v/>
      </c>
      <c r="K374" s="34" t="str">
        <f aca="false">IF($G374="","",IF(AND(H374=0,I374=0),"جارية","مغلقة"))</f>
        <v/>
      </c>
      <c r="L374" s="26" t="str">
        <f aca="false">IF($G374="","",MAX(0,NETWORKDAYS.INTL($E374,J374,رمز_العطلة,أيام_الأجازات)-1))</f>
        <v/>
      </c>
      <c r="M374" s="26" t="str">
        <f aca="false">IF($G374="","",MAX(0,L374-مهلة_المراجعة))</f>
        <v/>
      </c>
      <c r="N374" s="30" t="str">
        <f aca="false">IF($A374="",IF(OR($D374&lt;&gt;"",$E374&lt;&gt;""),"رقم المخرج ناقص",""),IF(ISNA(MATCH($A374,قائمة_المخرجات,0)),"رقم مخرج غير موجود",IF($D374="","نوع الحركة ناقص",IF(NOT(ISNUMBER($E374)),"التاريخ ناقص",IF($E374&gt;تاريخ_الاحتساب,"تاريخ بعد تاريخ الاحتساب",IF(AND($D374&lt;&gt;"تسليم",COUNTIFS($A$5:$A$1504,$A374,$D$5:$D$1504,"تسليم",$E$5:$E$1504,"&lt;="&amp;$E374)=0),"لا يوجد تسليم قبل الحركة دي",""))))))</f>
        <v/>
      </c>
    </row>
    <row r="375" customFormat="false" ht="15" hidden="false" customHeight="false" outlineLevel="0" collapsed="false">
      <c r="A375" s="20"/>
      <c r="B375" s="35" t="str">
        <f aca="false">IF($A375="","",IFERROR(INDEX(مخرج_البند,MATCH($A375,قائمة_المخرجات,0)),""))</f>
        <v/>
      </c>
      <c r="C375" s="30" t="str">
        <f aca="false">IF($A375="","",IFERROR(INDEX(مخرج_الوصف,MATCH($A375,قائمة_المخرجات,0)),""))</f>
        <v/>
      </c>
      <c r="D375" s="20"/>
      <c r="E375" s="31"/>
      <c r="F375" s="22"/>
      <c r="G375" s="36" t="str">
        <f aca="false">IF(OR($A375="",$D375&lt;&gt;"تسليم",NOT(ISNUMBER($E375))),"",COUNTIFS($A$5:$A$1504,$A375,$D$5:$D$1504,"تسليم",$E$5:$E$1504,"&lt;"&amp;$E375)+1)</f>
        <v/>
      </c>
      <c r="H375" s="33" t="str">
        <f aca="false">IF($G375="","",_xlfn.MINIFS($E$5:$E$1504,$A$5:$A$1504,$A375,$D$5:$D$1504,"&lt;&gt;تسليم",$E$5:$E$1504,"&gt;="&amp;$E375))</f>
        <v/>
      </c>
      <c r="I375" s="33" t="str">
        <f aca="false">IF($G375="","",_xlfn.MINIFS($E$5:$E$1504,$A$5:$A$1504,$A375,$D$5:$D$1504,"تسليم",$E$5:$E$1504,"&gt;"&amp;$E375))</f>
        <v/>
      </c>
      <c r="J375" s="33" t="str">
        <f aca="false">IF($G375="","",IF(H375&gt;0,IF(I375&gt;0,MIN(H375,I375),H375),IF(I375&gt;0,I375,تاريخ_الاحتساب)))</f>
        <v/>
      </c>
      <c r="K375" s="34" t="str">
        <f aca="false">IF($G375="","",IF(AND(H375=0,I375=0),"جارية","مغلقة"))</f>
        <v/>
      </c>
      <c r="L375" s="26" t="str">
        <f aca="false">IF($G375="","",MAX(0,NETWORKDAYS.INTL($E375,J375,رمز_العطلة,أيام_الأجازات)-1))</f>
        <v/>
      </c>
      <c r="M375" s="26" t="str">
        <f aca="false">IF($G375="","",MAX(0,L375-مهلة_المراجعة))</f>
        <v/>
      </c>
      <c r="N375" s="30" t="str">
        <f aca="false">IF($A375="",IF(OR($D375&lt;&gt;"",$E375&lt;&gt;""),"رقم المخرج ناقص",""),IF(ISNA(MATCH($A375,قائمة_المخرجات,0)),"رقم مخرج غير موجود",IF($D375="","نوع الحركة ناقص",IF(NOT(ISNUMBER($E375)),"التاريخ ناقص",IF($E375&gt;تاريخ_الاحتساب,"تاريخ بعد تاريخ الاحتساب",IF(AND($D375&lt;&gt;"تسليم",COUNTIFS($A$5:$A$1504,$A375,$D$5:$D$1504,"تسليم",$E$5:$E$1504,"&lt;="&amp;$E375)=0),"لا يوجد تسليم قبل الحركة دي",""))))))</f>
        <v/>
      </c>
    </row>
    <row r="376" customFormat="false" ht="15" hidden="false" customHeight="false" outlineLevel="0" collapsed="false">
      <c r="A376" s="20"/>
      <c r="B376" s="35" t="str">
        <f aca="false">IF($A376="","",IFERROR(INDEX(مخرج_البند,MATCH($A376,قائمة_المخرجات,0)),""))</f>
        <v/>
      </c>
      <c r="C376" s="30" t="str">
        <f aca="false">IF($A376="","",IFERROR(INDEX(مخرج_الوصف,MATCH($A376,قائمة_المخرجات,0)),""))</f>
        <v/>
      </c>
      <c r="D376" s="20"/>
      <c r="E376" s="31"/>
      <c r="F376" s="22"/>
      <c r="G376" s="36" t="str">
        <f aca="false">IF(OR($A376="",$D376&lt;&gt;"تسليم",NOT(ISNUMBER($E376))),"",COUNTIFS($A$5:$A$1504,$A376,$D$5:$D$1504,"تسليم",$E$5:$E$1504,"&lt;"&amp;$E376)+1)</f>
        <v/>
      </c>
      <c r="H376" s="33" t="str">
        <f aca="false">IF($G376="","",_xlfn.MINIFS($E$5:$E$1504,$A$5:$A$1504,$A376,$D$5:$D$1504,"&lt;&gt;تسليم",$E$5:$E$1504,"&gt;="&amp;$E376))</f>
        <v/>
      </c>
      <c r="I376" s="33" t="str">
        <f aca="false">IF($G376="","",_xlfn.MINIFS($E$5:$E$1504,$A$5:$A$1504,$A376,$D$5:$D$1504,"تسليم",$E$5:$E$1504,"&gt;"&amp;$E376))</f>
        <v/>
      </c>
      <c r="J376" s="33" t="str">
        <f aca="false">IF($G376="","",IF(H376&gt;0,IF(I376&gt;0,MIN(H376,I376),H376),IF(I376&gt;0,I376,تاريخ_الاحتساب)))</f>
        <v/>
      </c>
      <c r="K376" s="34" t="str">
        <f aca="false">IF($G376="","",IF(AND(H376=0,I376=0),"جارية","مغلقة"))</f>
        <v/>
      </c>
      <c r="L376" s="26" t="str">
        <f aca="false">IF($G376="","",MAX(0,NETWORKDAYS.INTL($E376,J376,رمز_العطلة,أيام_الأجازات)-1))</f>
        <v/>
      </c>
      <c r="M376" s="26" t="str">
        <f aca="false">IF($G376="","",MAX(0,L376-مهلة_المراجعة))</f>
        <v/>
      </c>
      <c r="N376" s="30" t="str">
        <f aca="false">IF($A376="",IF(OR($D376&lt;&gt;"",$E376&lt;&gt;""),"رقم المخرج ناقص",""),IF(ISNA(MATCH($A376,قائمة_المخرجات,0)),"رقم مخرج غير موجود",IF($D376="","نوع الحركة ناقص",IF(NOT(ISNUMBER($E376)),"التاريخ ناقص",IF($E376&gt;تاريخ_الاحتساب,"تاريخ بعد تاريخ الاحتساب",IF(AND($D376&lt;&gt;"تسليم",COUNTIFS($A$5:$A$1504,$A376,$D$5:$D$1504,"تسليم",$E$5:$E$1504,"&lt;="&amp;$E376)=0),"لا يوجد تسليم قبل الحركة دي",""))))))</f>
        <v/>
      </c>
    </row>
    <row r="377" customFormat="false" ht="15" hidden="false" customHeight="false" outlineLevel="0" collapsed="false">
      <c r="A377" s="20"/>
      <c r="B377" s="35" t="str">
        <f aca="false">IF($A377="","",IFERROR(INDEX(مخرج_البند,MATCH($A377,قائمة_المخرجات,0)),""))</f>
        <v/>
      </c>
      <c r="C377" s="30" t="str">
        <f aca="false">IF($A377="","",IFERROR(INDEX(مخرج_الوصف,MATCH($A377,قائمة_المخرجات,0)),""))</f>
        <v/>
      </c>
      <c r="D377" s="20"/>
      <c r="E377" s="31"/>
      <c r="F377" s="22"/>
      <c r="G377" s="36" t="str">
        <f aca="false">IF(OR($A377="",$D377&lt;&gt;"تسليم",NOT(ISNUMBER($E377))),"",COUNTIFS($A$5:$A$1504,$A377,$D$5:$D$1504,"تسليم",$E$5:$E$1504,"&lt;"&amp;$E377)+1)</f>
        <v/>
      </c>
      <c r="H377" s="33" t="str">
        <f aca="false">IF($G377="","",_xlfn.MINIFS($E$5:$E$1504,$A$5:$A$1504,$A377,$D$5:$D$1504,"&lt;&gt;تسليم",$E$5:$E$1504,"&gt;="&amp;$E377))</f>
        <v/>
      </c>
      <c r="I377" s="33" t="str">
        <f aca="false">IF($G377="","",_xlfn.MINIFS($E$5:$E$1504,$A$5:$A$1504,$A377,$D$5:$D$1504,"تسليم",$E$5:$E$1504,"&gt;"&amp;$E377))</f>
        <v/>
      </c>
      <c r="J377" s="33" t="str">
        <f aca="false">IF($G377="","",IF(H377&gt;0,IF(I377&gt;0,MIN(H377,I377),H377),IF(I377&gt;0,I377,تاريخ_الاحتساب)))</f>
        <v/>
      </c>
      <c r="K377" s="34" t="str">
        <f aca="false">IF($G377="","",IF(AND(H377=0,I377=0),"جارية","مغلقة"))</f>
        <v/>
      </c>
      <c r="L377" s="26" t="str">
        <f aca="false">IF($G377="","",MAX(0,NETWORKDAYS.INTL($E377,J377,رمز_العطلة,أيام_الأجازات)-1))</f>
        <v/>
      </c>
      <c r="M377" s="26" t="str">
        <f aca="false">IF($G377="","",MAX(0,L377-مهلة_المراجعة))</f>
        <v/>
      </c>
      <c r="N377" s="30" t="str">
        <f aca="false">IF($A377="",IF(OR($D377&lt;&gt;"",$E377&lt;&gt;""),"رقم المخرج ناقص",""),IF(ISNA(MATCH($A377,قائمة_المخرجات,0)),"رقم مخرج غير موجود",IF($D377="","نوع الحركة ناقص",IF(NOT(ISNUMBER($E377)),"التاريخ ناقص",IF($E377&gt;تاريخ_الاحتساب,"تاريخ بعد تاريخ الاحتساب",IF(AND($D377&lt;&gt;"تسليم",COUNTIFS($A$5:$A$1504,$A377,$D$5:$D$1504,"تسليم",$E$5:$E$1504,"&lt;="&amp;$E377)=0),"لا يوجد تسليم قبل الحركة دي",""))))))</f>
        <v/>
      </c>
    </row>
    <row r="378" customFormat="false" ht="15" hidden="false" customHeight="false" outlineLevel="0" collapsed="false">
      <c r="A378" s="20"/>
      <c r="B378" s="35" t="str">
        <f aca="false">IF($A378="","",IFERROR(INDEX(مخرج_البند,MATCH($A378,قائمة_المخرجات,0)),""))</f>
        <v/>
      </c>
      <c r="C378" s="30" t="str">
        <f aca="false">IF($A378="","",IFERROR(INDEX(مخرج_الوصف,MATCH($A378,قائمة_المخرجات,0)),""))</f>
        <v/>
      </c>
      <c r="D378" s="20"/>
      <c r="E378" s="31"/>
      <c r="F378" s="22"/>
      <c r="G378" s="36" t="str">
        <f aca="false">IF(OR($A378="",$D378&lt;&gt;"تسليم",NOT(ISNUMBER($E378))),"",COUNTIFS($A$5:$A$1504,$A378,$D$5:$D$1504,"تسليم",$E$5:$E$1504,"&lt;"&amp;$E378)+1)</f>
        <v/>
      </c>
      <c r="H378" s="33" t="str">
        <f aca="false">IF($G378="","",_xlfn.MINIFS($E$5:$E$1504,$A$5:$A$1504,$A378,$D$5:$D$1504,"&lt;&gt;تسليم",$E$5:$E$1504,"&gt;="&amp;$E378))</f>
        <v/>
      </c>
      <c r="I378" s="33" t="str">
        <f aca="false">IF($G378="","",_xlfn.MINIFS($E$5:$E$1504,$A$5:$A$1504,$A378,$D$5:$D$1504,"تسليم",$E$5:$E$1504,"&gt;"&amp;$E378))</f>
        <v/>
      </c>
      <c r="J378" s="33" t="str">
        <f aca="false">IF($G378="","",IF(H378&gt;0,IF(I378&gt;0,MIN(H378,I378),H378),IF(I378&gt;0,I378,تاريخ_الاحتساب)))</f>
        <v/>
      </c>
      <c r="K378" s="34" t="str">
        <f aca="false">IF($G378="","",IF(AND(H378=0,I378=0),"جارية","مغلقة"))</f>
        <v/>
      </c>
      <c r="L378" s="26" t="str">
        <f aca="false">IF($G378="","",MAX(0,NETWORKDAYS.INTL($E378,J378,رمز_العطلة,أيام_الأجازات)-1))</f>
        <v/>
      </c>
      <c r="M378" s="26" t="str">
        <f aca="false">IF($G378="","",MAX(0,L378-مهلة_المراجعة))</f>
        <v/>
      </c>
      <c r="N378" s="30" t="str">
        <f aca="false">IF($A378="",IF(OR($D378&lt;&gt;"",$E378&lt;&gt;""),"رقم المخرج ناقص",""),IF(ISNA(MATCH($A378,قائمة_المخرجات,0)),"رقم مخرج غير موجود",IF($D378="","نوع الحركة ناقص",IF(NOT(ISNUMBER($E378)),"التاريخ ناقص",IF($E378&gt;تاريخ_الاحتساب,"تاريخ بعد تاريخ الاحتساب",IF(AND($D378&lt;&gt;"تسليم",COUNTIFS($A$5:$A$1504,$A378,$D$5:$D$1504,"تسليم",$E$5:$E$1504,"&lt;="&amp;$E378)=0),"لا يوجد تسليم قبل الحركة دي",""))))))</f>
        <v/>
      </c>
    </row>
    <row r="379" customFormat="false" ht="15" hidden="false" customHeight="false" outlineLevel="0" collapsed="false">
      <c r="A379" s="20"/>
      <c r="B379" s="35" t="str">
        <f aca="false">IF($A379="","",IFERROR(INDEX(مخرج_البند,MATCH($A379,قائمة_المخرجات,0)),""))</f>
        <v/>
      </c>
      <c r="C379" s="30" t="str">
        <f aca="false">IF($A379="","",IFERROR(INDEX(مخرج_الوصف,MATCH($A379,قائمة_المخرجات,0)),""))</f>
        <v/>
      </c>
      <c r="D379" s="20"/>
      <c r="E379" s="31"/>
      <c r="F379" s="22"/>
      <c r="G379" s="36" t="str">
        <f aca="false">IF(OR($A379="",$D379&lt;&gt;"تسليم",NOT(ISNUMBER($E379))),"",COUNTIFS($A$5:$A$1504,$A379,$D$5:$D$1504,"تسليم",$E$5:$E$1504,"&lt;"&amp;$E379)+1)</f>
        <v/>
      </c>
      <c r="H379" s="33" t="str">
        <f aca="false">IF($G379="","",_xlfn.MINIFS($E$5:$E$1504,$A$5:$A$1504,$A379,$D$5:$D$1504,"&lt;&gt;تسليم",$E$5:$E$1504,"&gt;="&amp;$E379))</f>
        <v/>
      </c>
      <c r="I379" s="33" t="str">
        <f aca="false">IF($G379="","",_xlfn.MINIFS($E$5:$E$1504,$A$5:$A$1504,$A379,$D$5:$D$1504,"تسليم",$E$5:$E$1504,"&gt;"&amp;$E379))</f>
        <v/>
      </c>
      <c r="J379" s="33" t="str">
        <f aca="false">IF($G379="","",IF(H379&gt;0,IF(I379&gt;0,MIN(H379,I379),H379),IF(I379&gt;0,I379,تاريخ_الاحتساب)))</f>
        <v/>
      </c>
      <c r="K379" s="34" t="str">
        <f aca="false">IF($G379="","",IF(AND(H379=0,I379=0),"جارية","مغلقة"))</f>
        <v/>
      </c>
      <c r="L379" s="26" t="str">
        <f aca="false">IF($G379="","",MAX(0,NETWORKDAYS.INTL($E379,J379,رمز_العطلة,أيام_الأجازات)-1))</f>
        <v/>
      </c>
      <c r="M379" s="26" t="str">
        <f aca="false">IF($G379="","",MAX(0,L379-مهلة_المراجعة))</f>
        <v/>
      </c>
      <c r="N379" s="30" t="str">
        <f aca="false">IF($A379="",IF(OR($D379&lt;&gt;"",$E379&lt;&gt;""),"رقم المخرج ناقص",""),IF(ISNA(MATCH($A379,قائمة_المخرجات,0)),"رقم مخرج غير موجود",IF($D379="","نوع الحركة ناقص",IF(NOT(ISNUMBER($E379)),"التاريخ ناقص",IF($E379&gt;تاريخ_الاحتساب,"تاريخ بعد تاريخ الاحتساب",IF(AND($D379&lt;&gt;"تسليم",COUNTIFS($A$5:$A$1504,$A379,$D$5:$D$1504,"تسليم",$E$5:$E$1504,"&lt;="&amp;$E379)=0),"لا يوجد تسليم قبل الحركة دي",""))))))</f>
        <v/>
      </c>
    </row>
    <row r="380" customFormat="false" ht="15" hidden="false" customHeight="false" outlineLevel="0" collapsed="false">
      <c r="A380" s="20"/>
      <c r="B380" s="35" t="str">
        <f aca="false">IF($A380="","",IFERROR(INDEX(مخرج_البند,MATCH($A380,قائمة_المخرجات,0)),""))</f>
        <v/>
      </c>
      <c r="C380" s="30" t="str">
        <f aca="false">IF($A380="","",IFERROR(INDEX(مخرج_الوصف,MATCH($A380,قائمة_المخرجات,0)),""))</f>
        <v/>
      </c>
      <c r="D380" s="20"/>
      <c r="E380" s="31"/>
      <c r="F380" s="22"/>
      <c r="G380" s="36" t="str">
        <f aca="false">IF(OR($A380="",$D380&lt;&gt;"تسليم",NOT(ISNUMBER($E380))),"",COUNTIFS($A$5:$A$1504,$A380,$D$5:$D$1504,"تسليم",$E$5:$E$1504,"&lt;"&amp;$E380)+1)</f>
        <v/>
      </c>
      <c r="H380" s="33" t="str">
        <f aca="false">IF($G380="","",_xlfn.MINIFS($E$5:$E$1504,$A$5:$A$1504,$A380,$D$5:$D$1504,"&lt;&gt;تسليم",$E$5:$E$1504,"&gt;="&amp;$E380))</f>
        <v/>
      </c>
      <c r="I380" s="33" t="str">
        <f aca="false">IF($G380="","",_xlfn.MINIFS($E$5:$E$1504,$A$5:$A$1504,$A380,$D$5:$D$1504,"تسليم",$E$5:$E$1504,"&gt;"&amp;$E380))</f>
        <v/>
      </c>
      <c r="J380" s="33" t="str">
        <f aca="false">IF($G380="","",IF(H380&gt;0,IF(I380&gt;0,MIN(H380,I380),H380),IF(I380&gt;0,I380,تاريخ_الاحتساب)))</f>
        <v/>
      </c>
      <c r="K380" s="34" t="str">
        <f aca="false">IF($G380="","",IF(AND(H380=0,I380=0),"جارية","مغلقة"))</f>
        <v/>
      </c>
      <c r="L380" s="26" t="str">
        <f aca="false">IF($G380="","",MAX(0,NETWORKDAYS.INTL($E380,J380,رمز_العطلة,أيام_الأجازات)-1))</f>
        <v/>
      </c>
      <c r="M380" s="26" t="str">
        <f aca="false">IF($G380="","",MAX(0,L380-مهلة_المراجعة))</f>
        <v/>
      </c>
      <c r="N380" s="30" t="str">
        <f aca="false">IF($A380="",IF(OR($D380&lt;&gt;"",$E380&lt;&gt;""),"رقم المخرج ناقص",""),IF(ISNA(MATCH($A380,قائمة_المخرجات,0)),"رقم مخرج غير موجود",IF($D380="","نوع الحركة ناقص",IF(NOT(ISNUMBER($E380)),"التاريخ ناقص",IF($E380&gt;تاريخ_الاحتساب,"تاريخ بعد تاريخ الاحتساب",IF(AND($D380&lt;&gt;"تسليم",COUNTIFS($A$5:$A$1504,$A380,$D$5:$D$1504,"تسليم",$E$5:$E$1504,"&lt;="&amp;$E380)=0),"لا يوجد تسليم قبل الحركة دي",""))))))</f>
        <v/>
      </c>
    </row>
    <row r="381" customFormat="false" ht="15" hidden="false" customHeight="false" outlineLevel="0" collapsed="false">
      <c r="A381" s="20"/>
      <c r="B381" s="35" t="str">
        <f aca="false">IF($A381="","",IFERROR(INDEX(مخرج_البند,MATCH($A381,قائمة_المخرجات,0)),""))</f>
        <v/>
      </c>
      <c r="C381" s="30" t="str">
        <f aca="false">IF($A381="","",IFERROR(INDEX(مخرج_الوصف,MATCH($A381,قائمة_المخرجات,0)),""))</f>
        <v/>
      </c>
      <c r="D381" s="20"/>
      <c r="E381" s="31"/>
      <c r="F381" s="22"/>
      <c r="G381" s="36" t="str">
        <f aca="false">IF(OR($A381="",$D381&lt;&gt;"تسليم",NOT(ISNUMBER($E381))),"",COUNTIFS($A$5:$A$1504,$A381,$D$5:$D$1504,"تسليم",$E$5:$E$1504,"&lt;"&amp;$E381)+1)</f>
        <v/>
      </c>
      <c r="H381" s="33" t="str">
        <f aca="false">IF($G381="","",_xlfn.MINIFS($E$5:$E$1504,$A$5:$A$1504,$A381,$D$5:$D$1504,"&lt;&gt;تسليم",$E$5:$E$1504,"&gt;="&amp;$E381))</f>
        <v/>
      </c>
      <c r="I381" s="33" t="str">
        <f aca="false">IF($G381="","",_xlfn.MINIFS($E$5:$E$1504,$A$5:$A$1504,$A381,$D$5:$D$1504,"تسليم",$E$5:$E$1504,"&gt;"&amp;$E381))</f>
        <v/>
      </c>
      <c r="J381" s="33" t="str">
        <f aca="false">IF($G381="","",IF(H381&gt;0,IF(I381&gt;0,MIN(H381,I381),H381),IF(I381&gt;0,I381,تاريخ_الاحتساب)))</f>
        <v/>
      </c>
      <c r="K381" s="34" t="str">
        <f aca="false">IF($G381="","",IF(AND(H381=0,I381=0),"جارية","مغلقة"))</f>
        <v/>
      </c>
      <c r="L381" s="26" t="str">
        <f aca="false">IF($G381="","",MAX(0,NETWORKDAYS.INTL($E381,J381,رمز_العطلة,أيام_الأجازات)-1))</f>
        <v/>
      </c>
      <c r="M381" s="26" t="str">
        <f aca="false">IF($G381="","",MAX(0,L381-مهلة_المراجعة))</f>
        <v/>
      </c>
      <c r="N381" s="30" t="str">
        <f aca="false">IF($A381="",IF(OR($D381&lt;&gt;"",$E381&lt;&gt;""),"رقم المخرج ناقص",""),IF(ISNA(MATCH($A381,قائمة_المخرجات,0)),"رقم مخرج غير موجود",IF($D381="","نوع الحركة ناقص",IF(NOT(ISNUMBER($E381)),"التاريخ ناقص",IF($E381&gt;تاريخ_الاحتساب,"تاريخ بعد تاريخ الاحتساب",IF(AND($D381&lt;&gt;"تسليم",COUNTIFS($A$5:$A$1504,$A381,$D$5:$D$1504,"تسليم",$E$5:$E$1504,"&lt;="&amp;$E381)=0),"لا يوجد تسليم قبل الحركة دي",""))))))</f>
        <v/>
      </c>
    </row>
    <row r="382" customFormat="false" ht="15" hidden="false" customHeight="false" outlineLevel="0" collapsed="false">
      <c r="A382" s="20"/>
      <c r="B382" s="35" t="str">
        <f aca="false">IF($A382="","",IFERROR(INDEX(مخرج_البند,MATCH($A382,قائمة_المخرجات,0)),""))</f>
        <v/>
      </c>
      <c r="C382" s="30" t="str">
        <f aca="false">IF($A382="","",IFERROR(INDEX(مخرج_الوصف,MATCH($A382,قائمة_المخرجات,0)),""))</f>
        <v/>
      </c>
      <c r="D382" s="20"/>
      <c r="E382" s="31"/>
      <c r="F382" s="22"/>
      <c r="G382" s="36" t="str">
        <f aca="false">IF(OR($A382="",$D382&lt;&gt;"تسليم",NOT(ISNUMBER($E382))),"",COUNTIFS($A$5:$A$1504,$A382,$D$5:$D$1504,"تسليم",$E$5:$E$1504,"&lt;"&amp;$E382)+1)</f>
        <v/>
      </c>
      <c r="H382" s="33" t="str">
        <f aca="false">IF($G382="","",_xlfn.MINIFS($E$5:$E$1504,$A$5:$A$1504,$A382,$D$5:$D$1504,"&lt;&gt;تسليم",$E$5:$E$1504,"&gt;="&amp;$E382))</f>
        <v/>
      </c>
      <c r="I382" s="33" t="str">
        <f aca="false">IF($G382="","",_xlfn.MINIFS($E$5:$E$1504,$A$5:$A$1504,$A382,$D$5:$D$1504,"تسليم",$E$5:$E$1504,"&gt;"&amp;$E382))</f>
        <v/>
      </c>
      <c r="J382" s="33" t="str">
        <f aca="false">IF($G382="","",IF(H382&gt;0,IF(I382&gt;0,MIN(H382,I382),H382),IF(I382&gt;0,I382,تاريخ_الاحتساب)))</f>
        <v/>
      </c>
      <c r="K382" s="34" t="str">
        <f aca="false">IF($G382="","",IF(AND(H382=0,I382=0),"جارية","مغلقة"))</f>
        <v/>
      </c>
      <c r="L382" s="26" t="str">
        <f aca="false">IF($G382="","",MAX(0,NETWORKDAYS.INTL($E382,J382,رمز_العطلة,أيام_الأجازات)-1))</f>
        <v/>
      </c>
      <c r="M382" s="26" t="str">
        <f aca="false">IF($G382="","",MAX(0,L382-مهلة_المراجعة))</f>
        <v/>
      </c>
      <c r="N382" s="30" t="str">
        <f aca="false">IF($A382="",IF(OR($D382&lt;&gt;"",$E382&lt;&gt;""),"رقم المخرج ناقص",""),IF(ISNA(MATCH($A382,قائمة_المخرجات,0)),"رقم مخرج غير موجود",IF($D382="","نوع الحركة ناقص",IF(NOT(ISNUMBER($E382)),"التاريخ ناقص",IF($E382&gt;تاريخ_الاحتساب,"تاريخ بعد تاريخ الاحتساب",IF(AND($D382&lt;&gt;"تسليم",COUNTIFS($A$5:$A$1504,$A382,$D$5:$D$1504,"تسليم",$E$5:$E$1504,"&lt;="&amp;$E382)=0),"لا يوجد تسليم قبل الحركة دي",""))))))</f>
        <v/>
      </c>
    </row>
    <row r="383" customFormat="false" ht="15" hidden="false" customHeight="false" outlineLevel="0" collapsed="false">
      <c r="A383" s="20"/>
      <c r="B383" s="35" t="str">
        <f aca="false">IF($A383="","",IFERROR(INDEX(مخرج_البند,MATCH($A383,قائمة_المخرجات,0)),""))</f>
        <v/>
      </c>
      <c r="C383" s="30" t="str">
        <f aca="false">IF($A383="","",IFERROR(INDEX(مخرج_الوصف,MATCH($A383,قائمة_المخرجات,0)),""))</f>
        <v/>
      </c>
      <c r="D383" s="20"/>
      <c r="E383" s="31"/>
      <c r="F383" s="22"/>
      <c r="G383" s="36" t="str">
        <f aca="false">IF(OR($A383="",$D383&lt;&gt;"تسليم",NOT(ISNUMBER($E383))),"",COUNTIFS($A$5:$A$1504,$A383,$D$5:$D$1504,"تسليم",$E$5:$E$1504,"&lt;"&amp;$E383)+1)</f>
        <v/>
      </c>
      <c r="H383" s="33" t="str">
        <f aca="false">IF($G383="","",_xlfn.MINIFS($E$5:$E$1504,$A$5:$A$1504,$A383,$D$5:$D$1504,"&lt;&gt;تسليم",$E$5:$E$1504,"&gt;="&amp;$E383))</f>
        <v/>
      </c>
      <c r="I383" s="33" t="str">
        <f aca="false">IF($G383="","",_xlfn.MINIFS($E$5:$E$1504,$A$5:$A$1504,$A383,$D$5:$D$1504,"تسليم",$E$5:$E$1504,"&gt;"&amp;$E383))</f>
        <v/>
      </c>
      <c r="J383" s="33" t="str">
        <f aca="false">IF($G383="","",IF(H383&gt;0,IF(I383&gt;0,MIN(H383,I383),H383),IF(I383&gt;0,I383,تاريخ_الاحتساب)))</f>
        <v/>
      </c>
      <c r="K383" s="34" t="str">
        <f aca="false">IF($G383="","",IF(AND(H383=0,I383=0),"جارية","مغلقة"))</f>
        <v/>
      </c>
      <c r="L383" s="26" t="str">
        <f aca="false">IF($G383="","",MAX(0,NETWORKDAYS.INTL($E383,J383,رمز_العطلة,أيام_الأجازات)-1))</f>
        <v/>
      </c>
      <c r="M383" s="26" t="str">
        <f aca="false">IF($G383="","",MAX(0,L383-مهلة_المراجعة))</f>
        <v/>
      </c>
      <c r="N383" s="30" t="str">
        <f aca="false">IF($A383="",IF(OR($D383&lt;&gt;"",$E383&lt;&gt;""),"رقم المخرج ناقص",""),IF(ISNA(MATCH($A383,قائمة_المخرجات,0)),"رقم مخرج غير موجود",IF($D383="","نوع الحركة ناقص",IF(NOT(ISNUMBER($E383)),"التاريخ ناقص",IF($E383&gt;تاريخ_الاحتساب,"تاريخ بعد تاريخ الاحتساب",IF(AND($D383&lt;&gt;"تسليم",COUNTIFS($A$5:$A$1504,$A383,$D$5:$D$1504,"تسليم",$E$5:$E$1504,"&lt;="&amp;$E383)=0),"لا يوجد تسليم قبل الحركة دي",""))))))</f>
        <v/>
      </c>
    </row>
    <row r="384" customFormat="false" ht="15" hidden="false" customHeight="false" outlineLevel="0" collapsed="false">
      <c r="A384" s="20"/>
      <c r="B384" s="35" t="str">
        <f aca="false">IF($A384="","",IFERROR(INDEX(مخرج_البند,MATCH($A384,قائمة_المخرجات,0)),""))</f>
        <v/>
      </c>
      <c r="C384" s="30" t="str">
        <f aca="false">IF($A384="","",IFERROR(INDEX(مخرج_الوصف,MATCH($A384,قائمة_المخرجات,0)),""))</f>
        <v/>
      </c>
      <c r="D384" s="20"/>
      <c r="E384" s="31"/>
      <c r="F384" s="22"/>
      <c r="G384" s="36" t="str">
        <f aca="false">IF(OR($A384="",$D384&lt;&gt;"تسليم",NOT(ISNUMBER($E384))),"",COUNTIFS($A$5:$A$1504,$A384,$D$5:$D$1504,"تسليم",$E$5:$E$1504,"&lt;"&amp;$E384)+1)</f>
        <v/>
      </c>
      <c r="H384" s="33" t="str">
        <f aca="false">IF($G384="","",_xlfn.MINIFS($E$5:$E$1504,$A$5:$A$1504,$A384,$D$5:$D$1504,"&lt;&gt;تسليم",$E$5:$E$1504,"&gt;="&amp;$E384))</f>
        <v/>
      </c>
      <c r="I384" s="33" t="str">
        <f aca="false">IF($G384="","",_xlfn.MINIFS($E$5:$E$1504,$A$5:$A$1504,$A384,$D$5:$D$1504,"تسليم",$E$5:$E$1504,"&gt;"&amp;$E384))</f>
        <v/>
      </c>
      <c r="J384" s="33" t="str">
        <f aca="false">IF($G384="","",IF(H384&gt;0,IF(I384&gt;0,MIN(H384,I384),H384),IF(I384&gt;0,I384,تاريخ_الاحتساب)))</f>
        <v/>
      </c>
      <c r="K384" s="34" t="str">
        <f aca="false">IF($G384="","",IF(AND(H384=0,I384=0),"جارية","مغلقة"))</f>
        <v/>
      </c>
      <c r="L384" s="26" t="str">
        <f aca="false">IF($G384="","",MAX(0,NETWORKDAYS.INTL($E384,J384,رمز_العطلة,أيام_الأجازات)-1))</f>
        <v/>
      </c>
      <c r="M384" s="26" t="str">
        <f aca="false">IF($G384="","",MAX(0,L384-مهلة_المراجعة))</f>
        <v/>
      </c>
      <c r="N384" s="30" t="str">
        <f aca="false">IF($A384="",IF(OR($D384&lt;&gt;"",$E384&lt;&gt;""),"رقم المخرج ناقص",""),IF(ISNA(MATCH($A384,قائمة_المخرجات,0)),"رقم مخرج غير موجود",IF($D384="","نوع الحركة ناقص",IF(NOT(ISNUMBER($E384)),"التاريخ ناقص",IF($E384&gt;تاريخ_الاحتساب,"تاريخ بعد تاريخ الاحتساب",IF(AND($D384&lt;&gt;"تسليم",COUNTIFS($A$5:$A$1504,$A384,$D$5:$D$1504,"تسليم",$E$5:$E$1504,"&lt;="&amp;$E384)=0),"لا يوجد تسليم قبل الحركة دي",""))))))</f>
        <v/>
      </c>
    </row>
    <row r="385" customFormat="false" ht="15" hidden="false" customHeight="false" outlineLevel="0" collapsed="false">
      <c r="A385" s="20"/>
      <c r="B385" s="35" t="str">
        <f aca="false">IF($A385="","",IFERROR(INDEX(مخرج_البند,MATCH($A385,قائمة_المخرجات,0)),""))</f>
        <v/>
      </c>
      <c r="C385" s="30" t="str">
        <f aca="false">IF($A385="","",IFERROR(INDEX(مخرج_الوصف,MATCH($A385,قائمة_المخرجات,0)),""))</f>
        <v/>
      </c>
      <c r="D385" s="20"/>
      <c r="E385" s="31"/>
      <c r="F385" s="22"/>
      <c r="G385" s="36" t="str">
        <f aca="false">IF(OR($A385="",$D385&lt;&gt;"تسليم",NOT(ISNUMBER($E385))),"",COUNTIFS($A$5:$A$1504,$A385,$D$5:$D$1504,"تسليم",$E$5:$E$1504,"&lt;"&amp;$E385)+1)</f>
        <v/>
      </c>
      <c r="H385" s="33" t="str">
        <f aca="false">IF($G385="","",_xlfn.MINIFS($E$5:$E$1504,$A$5:$A$1504,$A385,$D$5:$D$1504,"&lt;&gt;تسليم",$E$5:$E$1504,"&gt;="&amp;$E385))</f>
        <v/>
      </c>
      <c r="I385" s="33" t="str">
        <f aca="false">IF($G385="","",_xlfn.MINIFS($E$5:$E$1504,$A$5:$A$1504,$A385,$D$5:$D$1504,"تسليم",$E$5:$E$1504,"&gt;"&amp;$E385))</f>
        <v/>
      </c>
      <c r="J385" s="33" t="str">
        <f aca="false">IF($G385="","",IF(H385&gt;0,IF(I385&gt;0,MIN(H385,I385),H385),IF(I385&gt;0,I385,تاريخ_الاحتساب)))</f>
        <v/>
      </c>
      <c r="K385" s="34" t="str">
        <f aca="false">IF($G385="","",IF(AND(H385=0,I385=0),"جارية","مغلقة"))</f>
        <v/>
      </c>
      <c r="L385" s="26" t="str">
        <f aca="false">IF($G385="","",MAX(0,NETWORKDAYS.INTL($E385,J385,رمز_العطلة,أيام_الأجازات)-1))</f>
        <v/>
      </c>
      <c r="M385" s="26" t="str">
        <f aca="false">IF($G385="","",MAX(0,L385-مهلة_المراجعة))</f>
        <v/>
      </c>
      <c r="N385" s="30" t="str">
        <f aca="false">IF($A385="",IF(OR($D385&lt;&gt;"",$E385&lt;&gt;""),"رقم المخرج ناقص",""),IF(ISNA(MATCH($A385,قائمة_المخرجات,0)),"رقم مخرج غير موجود",IF($D385="","نوع الحركة ناقص",IF(NOT(ISNUMBER($E385)),"التاريخ ناقص",IF($E385&gt;تاريخ_الاحتساب,"تاريخ بعد تاريخ الاحتساب",IF(AND($D385&lt;&gt;"تسليم",COUNTIFS($A$5:$A$1504,$A385,$D$5:$D$1504,"تسليم",$E$5:$E$1504,"&lt;="&amp;$E385)=0),"لا يوجد تسليم قبل الحركة دي",""))))))</f>
        <v/>
      </c>
    </row>
    <row r="386" customFormat="false" ht="15" hidden="false" customHeight="false" outlineLevel="0" collapsed="false">
      <c r="A386" s="20"/>
      <c r="B386" s="35" t="str">
        <f aca="false">IF($A386="","",IFERROR(INDEX(مخرج_البند,MATCH($A386,قائمة_المخرجات,0)),""))</f>
        <v/>
      </c>
      <c r="C386" s="30" t="str">
        <f aca="false">IF($A386="","",IFERROR(INDEX(مخرج_الوصف,MATCH($A386,قائمة_المخرجات,0)),""))</f>
        <v/>
      </c>
      <c r="D386" s="20"/>
      <c r="E386" s="31"/>
      <c r="F386" s="22"/>
      <c r="G386" s="36" t="str">
        <f aca="false">IF(OR($A386="",$D386&lt;&gt;"تسليم",NOT(ISNUMBER($E386))),"",COUNTIFS($A$5:$A$1504,$A386,$D$5:$D$1504,"تسليم",$E$5:$E$1504,"&lt;"&amp;$E386)+1)</f>
        <v/>
      </c>
      <c r="H386" s="33" t="str">
        <f aca="false">IF($G386="","",_xlfn.MINIFS($E$5:$E$1504,$A$5:$A$1504,$A386,$D$5:$D$1504,"&lt;&gt;تسليم",$E$5:$E$1504,"&gt;="&amp;$E386))</f>
        <v/>
      </c>
      <c r="I386" s="33" t="str">
        <f aca="false">IF($G386="","",_xlfn.MINIFS($E$5:$E$1504,$A$5:$A$1504,$A386,$D$5:$D$1504,"تسليم",$E$5:$E$1504,"&gt;"&amp;$E386))</f>
        <v/>
      </c>
      <c r="J386" s="33" t="str">
        <f aca="false">IF($G386="","",IF(H386&gt;0,IF(I386&gt;0,MIN(H386,I386),H386),IF(I386&gt;0,I386,تاريخ_الاحتساب)))</f>
        <v/>
      </c>
      <c r="K386" s="34" t="str">
        <f aca="false">IF($G386="","",IF(AND(H386=0,I386=0),"جارية","مغلقة"))</f>
        <v/>
      </c>
      <c r="L386" s="26" t="str">
        <f aca="false">IF($G386="","",MAX(0,NETWORKDAYS.INTL($E386,J386,رمز_العطلة,أيام_الأجازات)-1))</f>
        <v/>
      </c>
      <c r="M386" s="26" t="str">
        <f aca="false">IF($G386="","",MAX(0,L386-مهلة_المراجعة))</f>
        <v/>
      </c>
      <c r="N386" s="30" t="str">
        <f aca="false">IF($A386="",IF(OR($D386&lt;&gt;"",$E386&lt;&gt;""),"رقم المخرج ناقص",""),IF(ISNA(MATCH($A386,قائمة_المخرجات,0)),"رقم مخرج غير موجود",IF($D386="","نوع الحركة ناقص",IF(NOT(ISNUMBER($E386)),"التاريخ ناقص",IF($E386&gt;تاريخ_الاحتساب,"تاريخ بعد تاريخ الاحتساب",IF(AND($D386&lt;&gt;"تسليم",COUNTIFS($A$5:$A$1504,$A386,$D$5:$D$1504,"تسليم",$E$5:$E$1504,"&lt;="&amp;$E386)=0),"لا يوجد تسليم قبل الحركة دي",""))))))</f>
        <v/>
      </c>
    </row>
    <row r="387" customFormat="false" ht="15" hidden="false" customHeight="false" outlineLevel="0" collapsed="false">
      <c r="A387" s="20"/>
      <c r="B387" s="35" t="str">
        <f aca="false">IF($A387="","",IFERROR(INDEX(مخرج_البند,MATCH($A387,قائمة_المخرجات,0)),""))</f>
        <v/>
      </c>
      <c r="C387" s="30" t="str">
        <f aca="false">IF($A387="","",IFERROR(INDEX(مخرج_الوصف,MATCH($A387,قائمة_المخرجات,0)),""))</f>
        <v/>
      </c>
      <c r="D387" s="20"/>
      <c r="E387" s="31"/>
      <c r="F387" s="22"/>
      <c r="G387" s="36" t="str">
        <f aca="false">IF(OR($A387="",$D387&lt;&gt;"تسليم",NOT(ISNUMBER($E387))),"",COUNTIFS($A$5:$A$1504,$A387,$D$5:$D$1504,"تسليم",$E$5:$E$1504,"&lt;"&amp;$E387)+1)</f>
        <v/>
      </c>
      <c r="H387" s="33" t="str">
        <f aca="false">IF($G387="","",_xlfn.MINIFS($E$5:$E$1504,$A$5:$A$1504,$A387,$D$5:$D$1504,"&lt;&gt;تسليم",$E$5:$E$1504,"&gt;="&amp;$E387))</f>
        <v/>
      </c>
      <c r="I387" s="33" t="str">
        <f aca="false">IF($G387="","",_xlfn.MINIFS($E$5:$E$1504,$A$5:$A$1504,$A387,$D$5:$D$1504,"تسليم",$E$5:$E$1504,"&gt;"&amp;$E387))</f>
        <v/>
      </c>
      <c r="J387" s="33" t="str">
        <f aca="false">IF($G387="","",IF(H387&gt;0,IF(I387&gt;0,MIN(H387,I387),H387),IF(I387&gt;0,I387,تاريخ_الاحتساب)))</f>
        <v/>
      </c>
      <c r="K387" s="34" t="str">
        <f aca="false">IF($G387="","",IF(AND(H387=0,I387=0),"جارية","مغلقة"))</f>
        <v/>
      </c>
      <c r="L387" s="26" t="str">
        <f aca="false">IF($G387="","",MAX(0,NETWORKDAYS.INTL($E387,J387,رمز_العطلة,أيام_الأجازات)-1))</f>
        <v/>
      </c>
      <c r="M387" s="26" t="str">
        <f aca="false">IF($G387="","",MAX(0,L387-مهلة_المراجعة))</f>
        <v/>
      </c>
      <c r="N387" s="30" t="str">
        <f aca="false">IF($A387="",IF(OR($D387&lt;&gt;"",$E387&lt;&gt;""),"رقم المخرج ناقص",""),IF(ISNA(MATCH($A387,قائمة_المخرجات,0)),"رقم مخرج غير موجود",IF($D387="","نوع الحركة ناقص",IF(NOT(ISNUMBER($E387)),"التاريخ ناقص",IF($E387&gt;تاريخ_الاحتساب,"تاريخ بعد تاريخ الاحتساب",IF(AND($D387&lt;&gt;"تسليم",COUNTIFS($A$5:$A$1504,$A387,$D$5:$D$1504,"تسليم",$E$5:$E$1504,"&lt;="&amp;$E387)=0),"لا يوجد تسليم قبل الحركة دي",""))))))</f>
        <v/>
      </c>
    </row>
    <row r="388" customFormat="false" ht="15" hidden="false" customHeight="false" outlineLevel="0" collapsed="false">
      <c r="A388" s="20"/>
      <c r="B388" s="35" t="str">
        <f aca="false">IF($A388="","",IFERROR(INDEX(مخرج_البند,MATCH($A388,قائمة_المخرجات,0)),""))</f>
        <v/>
      </c>
      <c r="C388" s="30" t="str">
        <f aca="false">IF($A388="","",IFERROR(INDEX(مخرج_الوصف,MATCH($A388,قائمة_المخرجات,0)),""))</f>
        <v/>
      </c>
      <c r="D388" s="20"/>
      <c r="E388" s="31"/>
      <c r="F388" s="22"/>
      <c r="G388" s="36" t="str">
        <f aca="false">IF(OR($A388="",$D388&lt;&gt;"تسليم",NOT(ISNUMBER($E388))),"",COUNTIFS($A$5:$A$1504,$A388,$D$5:$D$1504,"تسليم",$E$5:$E$1504,"&lt;"&amp;$E388)+1)</f>
        <v/>
      </c>
      <c r="H388" s="33" t="str">
        <f aca="false">IF($G388="","",_xlfn.MINIFS($E$5:$E$1504,$A$5:$A$1504,$A388,$D$5:$D$1504,"&lt;&gt;تسليم",$E$5:$E$1504,"&gt;="&amp;$E388))</f>
        <v/>
      </c>
      <c r="I388" s="33" t="str">
        <f aca="false">IF($G388="","",_xlfn.MINIFS($E$5:$E$1504,$A$5:$A$1504,$A388,$D$5:$D$1504,"تسليم",$E$5:$E$1504,"&gt;"&amp;$E388))</f>
        <v/>
      </c>
      <c r="J388" s="33" t="str">
        <f aca="false">IF($G388="","",IF(H388&gt;0,IF(I388&gt;0,MIN(H388,I388),H388),IF(I388&gt;0,I388,تاريخ_الاحتساب)))</f>
        <v/>
      </c>
      <c r="K388" s="34" t="str">
        <f aca="false">IF($G388="","",IF(AND(H388=0,I388=0),"جارية","مغلقة"))</f>
        <v/>
      </c>
      <c r="L388" s="26" t="str">
        <f aca="false">IF($G388="","",MAX(0,NETWORKDAYS.INTL($E388,J388,رمز_العطلة,أيام_الأجازات)-1))</f>
        <v/>
      </c>
      <c r="M388" s="26" t="str">
        <f aca="false">IF($G388="","",MAX(0,L388-مهلة_المراجعة))</f>
        <v/>
      </c>
      <c r="N388" s="30" t="str">
        <f aca="false">IF($A388="",IF(OR($D388&lt;&gt;"",$E388&lt;&gt;""),"رقم المخرج ناقص",""),IF(ISNA(MATCH($A388,قائمة_المخرجات,0)),"رقم مخرج غير موجود",IF($D388="","نوع الحركة ناقص",IF(NOT(ISNUMBER($E388)),"التاريخ ناقص",IF($E388&gt;تاريخ_الاحتساب,"تاريخ بعد تاريخ الاحتساب",IF(AND($D388&lt;&gt;"تسليم",COUNTIFS($A$5:$A$1504,$A388,$D$5:$D$1504,"تسليم",$E$5:$E$1504,"&lt;="&amp;$E388)=0),"لا يوجد تسليم قبل الحركة دي",""))))))</f>
        <v/>
      </c>
    </row>
    <row r="389" customFormat="false" ht="15" hidden="false" customHeight="false" outlineLevel="0" collapsed="false">
      <c r="A389" s="20"/>
      <c r="B389" s="35" t="str">
        <f aca="false">IF($A389="","",IFERROR(INDEX(مخرج_البند,MATCH($A389,قائمة_المخرجات,0)),""))</f>
        <v/>
      </c>
      <c r="C389" s="30" t="str">
        <f aca="false">IF($A389="","",IFERROR(INDEX(مخرج_الوصف,MATCH($A389,قائمة_المخرجات,0)),""))</f>
        <v/>
      </c>
      <c r="D389" s="20"/>
      <c r="E389" s="31"/>
      <c r="F389" s="22"/>
      <c r="G389" s="36" t="str">
        <f aca="false">IF(OR($A389="",$D389&lt;&gt;"تسليم",NOT(ISNUMBER($E389))),"",COUNTIFS($A$5:$A$1504,$A389,$D$5:$D$1504,"تسليم",$E$5:$E$1504,"&lt;"&amp;$E389)+1)</f>
        <v/>
      </c>
      <c r="H389" s="33" t="str">
        <f aca="false">IF($G389="","",_xlfn.MINIFS($E$5:$E$1504,$A$5:$A$1504,$A389,$D$5:$D$1504,"&lt;&gt;تسليم",$E$5:$E$1504,"&gt;="&amp;$E389))</f>
        <v/>
      </c>
      <c r="I389" s="33" t="str">
        <f aca="false">IF($G389="","",_xlfn.MINIFS($E$5:$E$1504,$A$5:$A$1504,$A389,$D$5:$D$1504,"تسليم",$E$5:$E$1504,"&gt;"&amp;$E389))</f>
        <v/>
      </c>
      <c r="J389" s="33" t="str">
        <f aca="false">IF($G389="","",IF(H389&gt;0,IF(I389&gt;0,MIN(H389,I389),H389),IF(I389&gt;0,I389,تاريخ_الاحتساب)))</f>
        <v/>
      </c>
      <c r="K389" s="34" t="str">
        <f aca="false">IF($G389="","",IF(AND(H389=0,I389=0),"جارية","مغلقة"))</f>
        <v/>
      </c>
      <c r="L389" s="26" t="str">
        <f aca="false">IF($G389="","",MAX(0,NETWORKDAYS.INTL($E389,J389,رمز_العطلة,أيام_الأجازات)-1))</f>
        <v/>
      </c>
      <c r="M389" s="26" t="str">
        <f aca="false">IF($G389="","",MAX(0,L389-مهلة_المراجعة))</f>
        <v/>
      </c>
      <c r="N389" s="30" t="str">
        <f aca="false">IF($A389="",IF(OR($D389&lt;&gt;"",$E389&lt;&gt;""),"رقم المخرج ناقص",""),IF(ISNA(MATCH($A389,قائمة_المخرجات,0)),"رقم مخرج غير موجود",IF($D389="","نوع الحركة ناقص",IF(NOT(ISNUMBER($E389)),"التاريخ ناقص",IF($E389&gt;تاريخ_الاحتساب,"تاريخ بعد تاريخ الاحتساب",IF(AND($D389&lt;&gt;"تسليم",COUNTIFS($A$5:$A$1504,$A389,$D$5:$D$1504,"تسليم",$E$5:$E$1504,"&lt;="&amp;$E389)=0),"لا يوجد تسليم قبل الحركة دي",""))))))</f>
        <v/>
      </c>
    </row>
    <row r="390" customFormat="false" ht="15" hidden="false" customHeight="false" outlineLevel="0" collapsed="false">
      <c r="A390" s="20"/>
      <c r="B390" s="35" t="str">
        <f aca="false">IF($A390="","",IFERROR(INDEX(مخرج_البند,MATCH($A390,قائمة_المخرجات,0)),""))</f>
        <v/>
      </c>
      <c r="C390" s="30" t="str">
        <f aca="false">IF($A390="","",IFERROR(INDEX(مخرج_الوصف,MATCH($A390,قائمة_المخرجات,0)),""))</f>
        <v/>
      </c>
      <c r="D390" s="20"/>
      <c r="E390" s="31"/>
      <c r="F390" s="22"/>
      <c r="G390" s="36" t="str">
        <f aca="false">IF(OR($A390="",$D390&lt;&gt;"تسليم",NOT(ISNUMBER($E390))),"",COUNTIFS($A$5:$A$1504,$A390,$D$5:$D$1504,"تسليم",$E$5:$E$1504,"&lt;"&amp;$E390)+1)</f>
        <v/>
      </c>
      <c r="H390" s="33" t="str">
        <f aca="false">IF($G390="","",_xlfn.MINIFS($E$5:$E$1504,$A$5:$A$1504,$A390,$D$5:$D$1504,"&lt;&gt;تسليم",$E$5:$E$1504,"&gt;="&amp;$E390))</f>
        <v/>
      </c>
      <c r="I390" s="33" t="str">
        <f aca="false">IF($G390="","",_xlfn.MINIFS($E$5:$E$1504,$A$5:$A$1504,$A390,$D$5:$D$1504,"تسليم",$E$5:$E$1504,"&gt;"&amp;$E390))</f>
        <v/>
      </c>
      <c r="J390" s="33" t="str">
        <f aca="false">IF($G390="","",IF(H390&gt;0,IF(I390&gt;0,MIN(H390,I390),H390),IF(I390&gt;0,I390,تاريخ_الاحتساب)))</f>
        <v/>
      </c>
      <c r="K390" s="34" t="str">
        <f aca="false">IF($G390="","",IF(AND(H390=0,I390=0),"جارية","مغلقة"))</f>
        <v/>
      </c>
      <c r="L390" s="26" t="str">
        <f aca="false">IF($G390="","",MAX(0,NETWORKDAYS.INTL($E390,J390,رمز_العطلة,أيام_الأجازات)-1))</f>
        <v/>
      </c>
      <c r="M390" s="26" t="str">
        <f aca="false">IF($G390="","",MAX(0,L390-مهلة_المراجعة))</f>
        <v/>
      </c>
      <c r="N390" s="30" t="str">
        <f aca="false">IF($A390="",IF(OR($D390&lt;&gt;"",$E390&lt;&gt;""),"رقم المخرج ناقص",""),IF(ISNA(MATCH($A390,قائمة_المخرجات,0)),"رقم مخرج غير موجود",IF($D390="","نوع الحركة ناقص",IF(NOT(ISNUMBER($E390)),"التاريخ ناقص",IF($E390&gt;تاريخ_الاحتساب,"تاريخ بعد تاريخ الاحتساب",IF(AND($D390&lt;&gt;"تسليم",COUNTIFS($A$5:$A$1504,$A390,$D$5:$D$1504,"تسليم",$E$5:$E$1504,"&lt;="&amp;$E390)=0),"لا يوجد تسليم قبل الحركة دي",""))))))</f>
        <v/>
      </c>
    </row>
    <row r="391" customFormat="false" ht="15" hidden="false" customHeight="false" outlineLevel="0" collapsed="false">
      <c r="A391" s="20"/>
      <c r="B391" s="35" t="str">
        <f aca="false">IF($A391="","",IFERROR(INDEX(مخرج_البند,MATCH($A391,قائمة_المخرجات,0)),""))</f>
        <v/>
      </c>
      <c r="C391" s="30" t="str">
        <f aca="false">IF($A391="","",IFERROR(INDEX(مخرج_الوصف,MATCH($A391,قائمة_المخرجات,0)),""))</f>
        <v/>
      </c>
      <c r="D391" s="20"/>
      <c r="E391" s="31"/>
      <c r="F391" s="22"/>
      <c r="G391" s="36" t="str">
        <f aca="false">IF(OR($A391="",$D391&lt;&gt;"تسليم",NOT(ISNUMBER($E391))),"",COUNTIFS($A$5:$A$1504,$A391,$D$5:$D$1504,"تسليم",$E$5:$E$1504,"&lt;"&amp;$E391)+1)</f>
        <v/>
      </c>
      <c r="H391" s="33" t="str">
        <f aca="false">IF($G391="","",_xlfn.MINIFS($E$5:$E$1504,$A$5:$A$1504,$A391,$D$5:$D$1504,"&lt;&gt;تسليم",$E$5:$E$1504,"&gt;="&amp;$E391))</f>
        <v/>
      </c>
      <c r="I391" s="33" t="str">
        <f aca="false">IF($G391="","",_xlfn.MINIFS($E$5:$E$1504,$A$5:$A$1504,$A391,$D$5:$D$1504,"تسليم",$E$5:$E$1504,"&gt;"&amp;$E391))</f>
        <v/>
      </c>
      <c r="J391" s="33" t="str">
        <f aca="false">IF($G391="","",IF(H391&gt;0,IF(I391&gt;0,MIN(H391,I391),H391),IF(I391&gt;0,I391,تاريخ_الاحتساب)))</f>
        <v/>
      </c>
      <c r="K391" s="34" t="str">
        <f aca="false">IF($G391="","",IF(AND(H391=0,I391=0),"جارية","مغلقة"))</f>
        <v/>
      </c>
      <c r="L391" s="26" t="str">
        <f aca="false">IF($G391="","",MAX(0,NETWORKDAYS.INTL($E391,J391,رمز_العطلة,أيام_الأجازات)-1))</f>
        <v/>
      </c>
      <c r="M391" s="26" t="str">
        <f aca="false">IF($G391="","",MAX(0,L391-مهلة_المراجعة))</f>
        <v/>
      </c>
      <c r="N391" s="30" t="str">
        <f aca="false">IF($A391="",IF(OR($D391&lt;&gt;"",$E391&lt;&gt;""),"رقم المخرج ناقص",""),IF(ISNA(MATCH($A391,قائمة_المخرجات,0)),"رقم مخرج غير موجود",IF($D391="","نوع الحركة ناقص",IF(NOT(ISNUMBER($E391)),"التاريخ ناقص",IF($E391&gt;تاريخ_الاحتساب,"تاريخ بعد تاريخ الاحتساب",IF(AND($D391&lt;&gt;"تسليم",COUNTIFS($A$5:$A$1504,$A391,$D$5:$D$1504,"تسليم",$E$5:$E$1504,"&lt;="&amp;$E391)=0),"لا يوجد تسليم قبل الحركة دي",""))))))</f>
        <v/>
      </c>
    </row>
    <row r="392" customFormat="false" ht="15" hidden="false" customHeight="false" outlineLevel="0" collapsed="false">
      <c r="A392" s="20"/>
      <c r="B392" s="35" t="str">
        <f aca="false">IF($A392="","",IFERROR(INDEX(مخرج_البند,MATCH($A392,قائمة_المخرجات,0)),""))</f>
        <v/>
      </c>
      <c r="C392" s="30" t="str">
        <f aca="false">IF($A392="","",IFERROR(INDEX(مخرج_الوصف,MATCH($A392,قائمة_المخرجات,0)),""))</f>
        <v/>
      </c>
      <c r="D392" s="20"/>
      <c r="E392" s="31"/>
      <c r="F392" s="22"/>
      <c r="G392" s="36" t="str">
        <f aca="false">IF(OR($A392="",$D392&lt;&gt;"تسليم",NOT(ISNUMBER($E392))),"",COUNTIFS($A$5:$A$1504,$A392,$D$5:$D$1504,"تسليم",$E$5:$E$1504,"&lt;"&amp;$E392)+1)</f>
        <v/>
      </c>
      <c r="H392" s="33" t="str">
        <f aca="false">IF($G392="","",_xlfn.MINIFS($E$5:$E$1504,$A$5:$A$1504,$A392,$D$5:$D$1504,"&lt;&gt;تسليم",$E$5:$E$1504,"&gt;="&amp;$E392))</f>
        <v/>
      </c>
      <c r="I392" s="33" t="str">
        <f aca="false">IF($G392="","",_xlfn.MINIFS($E$5:$E$1504,$A$5:$A$1504,$A392,$D$5:$D$1504,"تسليم",$E$5:$E$1504,"&gt;"&amp;$E392))</f>
        <v/>
      </c>
      <c r="J392" s="33" t="str">
        <f aca="false">IF($G392="","",IF(H392&gt;0,IF(I392&gt;0,MIN(H392,I392),H392),IF(I392&gt;0,I392,تاريخ_الاحتساب)))</f>
        <v/>
      </c>
      <c r="K392" s="34" t="str">
        <f aca="false">IF($G392="","",IF(AND(H392=0,I392=0),"جارية","مغلقة"))</f>
        <v/>
      </c>
      <c r="L392" s="26" t="str">
        <f aca="false">IF($G392="","",MAX(0,NETWORKDAYS.INTL($E392,J392,رمز_العطلة,أيام_الأجازات)-1))</f>
        <v/>
      </c>
      <c r="M392" s="26" t="str">
        <f aca="false">IF($G392="","",MAX(0,L392-مهلة_المراجعة))</f>
        <v/>
      </c>
      <c r="N392" s="30" t="str">
        <f aca="false">IF($A392="",IF(OR($D392&lt;&gt;"",$E392&lt;&gt;""),"رقم المخرج ناقص",""),IF(ISNA(MATCH($A392,قائمة_المخرجات,0)),"رقم مخرج غير موجود",IF($D392="","نوع الحركة ناقص",IF(NOT(ISNUMBER($E392)),"التاريخ ناقص",IF($E392&gt;تاريخ_الاحتساب,"تاريخ بعد تاريخ الاحتساب",IF(AND($D392&lt;&gt;"تسليم",COUNTIFS($A$5:$A$1504,$A392,$D$5:$D$1504,"تسليم",$E$5:$E$1504,"&lt;="&amp;$E392)=0),"لا يوجد تسليم قبل الحركة دي",""))))))</f>
        <v/>
      </c>
    </row>
    <row r="393" customFormat="false" ht="15" hidden="false" customHeight="false" outlineLevel="0" collapsed="false">
      <c r="A393" s="20"/>
      <c r="B393" s="35" t="str">
        <f aca="false">IF($A393="","",IFERROR(INDEX(مخرج_البند,MATCH($A393,قائمة_المخرجات,0)),""))</f>
        <v/>
      </c>
      <c r="C393" s="30" t="str">
        <f aca="false">IF($A393="","",IFERROR(INDEX(مخرج_الوصف,MATCH($A393,قائمة_المخرجات,0)),""))</f>
        <v/>
      </c>
      <c r="D393" s="20"/>
      <c r="E393" s="31"/>
      <c r="F393" s="22"/>
      <c r="G393" s="36" t="str">
        <f aca="false">IF(OR($A393="",$D393&lt;&gt;"تسليم",NOT(ISNUMBER($E393))),"",COUNTIFS($A$5:$A$1504,$A393,$D$5:$D$1504,"تسليم",$E$5:$E$1504,"&lt;"&amp;$E393)+1)</f>
        <v/>
      </c>
      <c r="H393" s="33" t="str">
        <f aca="false">IF($G393="","",_xlfn.MINIFS($E$5:$E$1504,$A$5:$A$1504,$A393,$D$5:$D$1504,"&lt;&gt;تسليم",$E$5:$E$1504,"&gt;="&amp;$E393))</f>
        <v/>
      </c>
      <c r="I393" s="33" t="str">
        <f aca="false">IF($G393="","",_xlfn.MINIFS($E$5:$E$1504,$A$5:$A$1504,$A393,$D$5:$D$1504,"تسليم",$E$5:$E$1504,"&gt;"&amp;$E393))</f>
        <v/>
      </c>
      <c r="J393" s="33" t="str">
        <f aca="false">IF($G393="","",IF(H393&gt;0,IF(I393&gt;0,MIN(H393,I393),H393),IF(I393&gt;0,I393,تاريخ_الاحتساب)))</f>
        <v/>
      </c>
      <c r="K393" s="34" t="str">
        <f aca="false">IF($G393="","",IF(AND(H393=0,I393=0),"جارية","مغلقة"))</f>
        <v/>
      </c>
      <c r="L393" s="26" t="str">
        <f aca="false">IF($G393="","",MAX(0,NETWORKDAYS.INTL($E393,J393,رمز_العطلة,أيام_الأجازات)-1))</f>
        <v/>
      </c>
      <c r="M393" s="26" t="str">
        <f aca="false">IF($G393="","",MAX(0,L393-مهلة_المراجعة))</f>
        <v/>
      </c>
      <c r="N393" s="30" t="str">
        <f aca="false">IF($A393="",IF(OR($D393&lt;&gt;"",$E393&lt;&gt;""),"رقم المخرج ناقص",""),IF(ISNA(MATCH($A393,قائمة_المخرجات,0)),"رقم مخرج غير موجود",IF($D393="","نوع الحركة ناقص",IF(NOT(ISNUMBER($E393)),"التاريخ ناقص",IF($E393&gt;تاريخ_الاحتساب,"تاريخ بعد تاريخ الاحتساب",IF(AND($D393&lt;&gt;"تسليم",COUNTIFS($A$5:$A$1504,$A393,$D$5:$D$1504,"تسليم",$E$5:$E$1504,"&lt;="&amp;$E393)=0),"لا يوجد تسليم قبل الحركة دي",""))))))</f>
        <v/>
      </c>
    </row>
    <row r="394" customFormat="false" ht="15" hidden="false" customHeight="false" outlineLevel="0" collapsed="false">
      <c r="A394" s="20"/>
      <c r="B394" s="35" t="str">
        <f aca="false">IF($A394="","",IFERROR(INDEX(مخرج_البند,MATCH($A394,قائمة_المخرجات,0)),""))</f>
        <v/>
      </c>
      <c r="C394" s="30" t="str">
        <f aca="false">IF($A394="","",IFERROR(INDEX(مخرج_الوصف,MATCH($A394,قائمة_المخرجات,0)),""))</f>
        <v/>
      </c>
      <c r="D394" s="20"/>
      <c r="E394" s="31"/>
      <c r="F394" s="22"/>
      <c r="G394" s="36" t="str">
        <f aca="false">IF(OR($A394="",$D394&lt;&gt;"تسليم",NOT(ISNUMBER($E394))),"",COUNTIFS($A$5:$A$1504,$A394,$D$5:$D$1504,"تسليم",$E$5:$E$1504,"&lt;"&amp;$E394)+1)</f>
        <v/>
      </c>
      <c r="H394" s="33" t="str">
        <f aca="false">IF($G394="","",_xlfn.MINIFS($E$5:$E$1504,$A$5:$A$1504,$A394,$D$5:$D$1504,"&lt;&gt;تسليم",$E$5:$E$1504,"&gt;="&amp;$E394))</f>
        <v/>
      </c>
      <c r="I394" s="33" t="str">
        <f aca="false">IF($G394="","",_xlfn.MINIFS($E$5:$E$1504,$A$5:$A$1504,$A394,$D$5:$D$1504,"تسليم",$E$5:$E$1504,"&gt;"&amp;$E394))</f>
        <v/>
      </c>
      <c r="J394" s="33" t="str">
        <f aca="false">IF($G394="","",IF(H394&gt;0,IF(I394&gt;0,MIN(H394,I394),H394),IF(I394&gt;0,I394,تاريخ_الاحتساب)))</f>
        <v/>
      </c>
      <c r="K394" s="34" t="str">
        <f aca="false">IF($G394="","",IF(AND(H394=0,I394=0),"جارية","مغلقة"))</f>
        <v/>
      </c>
      <c r="L394" s="26" t="str">
        <f aca="false">IF($G394="","",MAX(0,NETWORKDAYS.INTL($E394,J394,رمز_العطلة,أيام_الأجازات)-1))</f>
        <v/>
      </c>
      <c r="M394" s="26" t="str">
        <f aca="false">IF($G394="","",MAX(0,L394-مهلة_المراجعة))</f>
        <v/>
      </c>
      <c r="N394" s="30" t="str">
        <f aca="false">IF($A394="",IF(OR($D394&lt;&gt;"",$E394&lt;&gt;""),"رقم المخرج ناقص",""),IF(ISNA(MATCH($A394,قائمة_المخرجات,0)),"رقم مخرج غير موجود",IF($D394="","نوع الحركة ناقص",IF(NOT(ISNUMBER($E394)),"التاريخ ناقص",IF($E394&gt;تاريخ_الاحتساب,"تاريخ بعد تاريخ الاحتساب",IF(AND($D394&lt;&gt;"تسليم",COUNTIFS($A$5:$A$1504,$A394,$D$5:$D$1504,"تسليم",$E$5:$E$1504,"&lt;="&amp;$E394)=0),"لا يوجد تسليم قبل الحركة دي",""))))))</f>
        <v/>
      </c>
    </row>
    <row r="395" customFormat="false" ht="15" hidden="false" customHeight="false" outlineLevel="0" collapsed="false">
      <c r="A395" s="20"/>
      <c r="B395" s="35" t="str">
        <f aca="false">IF($A395="","",IFERROR(INDEX(مخرج_البند,MATCH($A395,قائمة_المخرجات,0)),""))</f>
        <v/>
      </c>
      <c r="C395" s="30" t="str">
        <f aca="false">IF($A395="","",IFERROR(INDEX(مخرج_الوصف,MATCH($A395,قائمة_المخرجات,0)),""))</f>
        <v/>
      </c>
      <c r="D395" s="20"/>
      <c r="E395" s="31"/>
      <c r="F395" s="22"/>
      <c r="G395" s="36" t="str">
        <f aca="false">IF(OR($A395="",$D395&lt;&gt;"تسليم",NOT(ISNUMBER($E395))),"",COUNTIFS($A$5:$A$1504,$A395,$D$5:$D$1504,"تسليم",$E$5:$E$1504,"&lt;"&amp;$E395)+1)</f>
        <v/>
      </c>
      <c r="H395" s="33" t="str">
        <f aca="false">IF($G395="","",_xlfn.MINIFS($E$5:$E$1504,$A$5:$A$1504,$A395,$D$5:$D$1504,"&lt;&gt;تسليم",$E$5:$E$1504,"&gt;="&amp;$E395))</f>
        <v/>
      </c>
      <c r="I395" s="33" t="str">
        <f aca="false">IF($G395="","",_xlfn.MINIFS($E$5:$E$1504,$A$5:$A$1504,$A395,$D$5:$D$1504,"تسليم",$E$5:$E$1504,"&gt;"&amp;$E395))</f>
        <v/>
      </c>
      <c r="J395" s="33" t="str">
        <f aca="false">IF($G395="","",IF(H395&gt;0,IF(I395&gt;0,MIN(H395,I395),H395),IF(I395&gt;0,I395,تاريخ_الاحتساب)))</f>
        <v/>
      </c>
      <c r="K395" s="34" t="str">
        <f aca="false">IF($G395="","",IF(AND(H395=0,I395=0),"جارية","مغلقة"))</f>
        <v/>
      </c>
      <c r="L395" s="26" t="str">
        <f aca="false">IF($G395="","",MAX(0,NETWORKDAYS.INTL($E395,J395,رمز_العطلة,أيام_الأجازات)-1))</f>
        <v/>
      </c>
      <c r="M395" s="26" t="str">
        <f aca="false">IF($G395="","",MAX(0,L395-مهلة_المراجعة))</f>
        <v/>
      </c>
      <c r="N395" s="30" t="str">
        <f aca="false">IF($A395="",IF(OR($D395&lt;&gt;"",$E395&lt;&gt;""),"رقم المخرج ناقص",""),IF(ISNA(MATCH($A395,قائمة_المخرجات,0)),"رقم مخرج غير موجود",IF($D395="","نوع الحركة ناقص",IF(NOT(ISNUMBER($E395)),"التاريخ ناقص",IF($E395&gt;تاريخ_الاحتساب,"تاريخ بعد تاريخ الاحتساب",IF(AND($D395&lt;&gt;"تسليم",COUNTIFS($A$5:$A$1504,$A395,$D$5:$D$1504,"تسليم",$E$5:$E$1504,"&lt;="&amp;$E395)=0),"لا يوجد تسليم قبل الحركة دي",""))))))</f>
        <v/>
      </c>
    </row>
    <row r="396" customFormat="false" ht="15" hidden="false" customHeight="false" outlineLevel="0" collapsed="false">
      <c r="A396" s="20"/>
      <c r="B396" s="35" t="str">
        <f aca="false">IF($A396="","",IFERROR(INDEX(مخرج_البند,MATCH($A396,قائمة_المخرجات,0)),""))</f>
        <v/>
      </c>
      <c r="C396" s="30" t="str">
        <f aca="false">IF($A396="","",IFERROR(INDEX(مخرج_الوصف,MATCH($A396,قائمة_المخرجات,0)),""))</f>
        <v/>
      </c>
      <c r="D396" s="20"/>
      <c r="E396" s="31"/>
      <c r="F396" s="22"/>
      <c r="G396" s="36" t="str">
        <f aca="false">IF(OR($A396="",$D396&lt;&gt;"تسليم",NOT(ISNUMBER($E396))),"",COUNTIFS($A$5:$A$1504,$A396,$D$5:$D$1504,"تسليم",$E$5:$E$1504,"&lt;"&amp;$E396)+1)</f>
        <v/>
      </c>
      <c r="H396" s="33" t="str">
        <f aca="false">IF($G396="","",_xlfn.MINIFS($E$5:$E$1504,$A$5:$A$1504,$A396,$D$5:$D$1504,"&lt;&gt;تسليم",$E$5:$E$1504,"&gt;="&amp;$E396))</f>
        <v/>
      </c>
      <c r="I396" s="33" t="str">
        <f aca="false">IF($G396="","",_xlfn.MINIFS($E$5:$E$1504,$A$5:$A$1504,$A396,$D$5:$D$1504,"تسليم",$E$5:$E$1504,"&gt;"&amp;$E396))</f>
        <v/>
      </c>
      <c r="J396" s="33" t="str">
        <f aca="false">IF($G396="","",IF(H396&gt;0,IF(I396&gt;0,MIN(H396,I396),H396),IF(I396&gt;0,I396,تاريخ_الاحتساب)))</f>
        <v/>
      </c>
      <c r="K396" s="34" t="str">
        <f aca="false">IF($G396="","",IF(AND(H396=0,I396=0),"جارية","مغلقة"))</f>
        <v/>
      </c>
      <c r="L396" s="26" t="str">
        <f aca="false">IF($G396="","",MAX(0,NETWORKDAYS.INTL($E396,J396,رمز_العطلة,أيام_الأجازات)-1))</f>
        <v/>
      </c>
      <c r="M396" s="26" t="str">
        <f aca="false">IF($G396="","",MAX(0,L396-مهلة_المراجعة))</f>
        <v/>
      </c>
      <c r="N396" s="30" t="str">
        <f aca="false">IF($A396="",IF(OR($D396&lt;&gt;"",$E396&lt;&gt;""),"رقم المخرج ناقص",""),IF(ISNA(MATCH($A396,قائمة_المخرجات,0)),"رقم مخرج غير موجود",IF($D396="","نوع الحركة ناقص",IF(NOT(ISNUMBER($E396)),"التاريخ ناقص",IF($E396&gt;تاريخ_الاحتساب,"تاريخ بعد تاريخ الاحتساب",IF(AND($D396&lt;&gt;"تسليم",COUNTIFS($A$5:$A$1504,$A396,$D$5:$D$1504,"تسليم",$E$5:$E$1504,"&lt;="&amp;$E396)=0),"لا يوجد تسليم قبل الحركة دي",""))))))</f>
        <v/>
      </c>
    </row>
    <row r="397" customFormat="false" ht="15" hidden="false" customHeight="false" outlineLevel="0" collapsed="false">
      <c r="A397" s="20"/>
      <c r="B397" s="35" t="str">
        <f aca="false">IF($A397="","",IFERROR(INDEX(مخرج_البند,MATCH($A397,قائمة_المخرجات,0)),""))</f>
        <v/>
      </c>
      <c r="C397" s="30" t="str">
        <f aca="false">IF($A397="","",IFERROR(INDEX(مخرج_الوصف,MATCH($A397,قائمة_المخرجات,0)),""))</f>
        <v/>
      </c>
      <c r="D397" s="20"/>
      <c r="E397" s="31"/>
      <c r="F397" s="22"/>
      <c r="G397" s="36" t="str">
        <f aca="false">IF(OR($A397="",$D397&lt;&gt;"تسليم",NOT(ISNUMBER($E397))),"",COUNTIFS($A$5:$A$1504,$A397,$D$5:$D$1504,"تسليم",$E$5:$E$1504,"&lt;"&amp;$E397)+1)</f>
        <v/>
      </c>
      <c r="H397" s="33" t="str">
        <f aca="false">IF($G397="","",_xlfn.MINIFS($E$5:$E$1504,$A$5:$A$1504,$A397,$D$5:$D$1504,"&lt;&gt;تسليم",$E$5:$E$1504,"&gt;="&amp;$E397))</f>
        <v/>
      </c>
      <c r="I397" s="33" t="str">
        <f aca="false">IF($G397="","",_xlfn.MINIFS($E$5:$E$1504,$A$5:$A$1504,$A397,$D$5:$D$1504,"تسليم",$E$5:$E$1504,"&gt;"&amp;$E397))</f>
        <v/>
      </c>
      <c r="J397" s="33" t="str">
        <f aca="false">IF($G397="","",IF(H397&gt;0,IF(I397&gt;0,MIN(H397,I397),H397),IF(I397&gt;0,I397,تاريخ_الاحتساب)))</f>
        <v/>
      </c>
      <c r="K397" s="34" t="str">
        <f aca="false">IF($G397="","",IF(AND(H397=0,I397=0),"جارية","مغلقة"))</f>
        <v/>
      </c>
      <c r="L397" s="26" t="str">
        <f aca="false">IF($G397="","",MAX(0,NETWORKDAYS.INTL($E397,J397,رمز_العطلة,أيام_الأجازات)-1))</f>
        <v/>
      </c>
      <c r="M397" s="26" t="str">
        <f aca="false">IF($G397="","",MAX(0,L397-مهلة_المراجعة))</f>
        <v/>
      </c>
      <c r="N397" s="30" t="str">
        <f aca="false">IF($A397="",IF(OR($D397&lt;&gt;"",$E397&lt;&gt;""),"رقم المخرج ناقص",""),IF(ISNA(MATCH($A397,قائمة_المخرجات,0)),"رقم مخرج غير موجود",IF($D397="","نوع الحركة ناقص",IF(NOT(ISNUMBER($E397)),"التاريخ ناقص",IF($E397&gt;تاريخ_الاحتساب,"تاريخ بعد تاريخ الاحتساب",IF(AND($D397&lt;&gt;"تسليم",COUNTIFS($A$5:$A$1504,$A397,$D$5:$D$1504,"تسليم",$E$5:$E$1504,"&lt;="&amp;$E397)=0),"لا يوجد تسليم قبل الحركة دي",""))))))</f>
        <v/>
      </c>
    </row>
    <row r="398" customFormat="false" ht="15" hidden="false" customHeight="false" outlineLevel="0" collapsed="false">
      <c r="A398" s="20"/>
      <c r="B398" s="35" t="str">
        <f aca="false">IF($A398="","",IFERROR(INDEX(مخرج_البند,MATCH($A398,قائمة_المخرجات,0)),""))</f>
        <v/>
      </c>
      <c r="C398" s="30" t="str">
        <f aca="false">IF($A398="","",IFERROR(INDEX(مخرج_الوصف,MATCH($A398,قائمة_المخرجات,0)),""))</f>
        <v/>
      </c>
      <c r="D398" s="20"/>
      <c r="E398" s="31"/>
      <c r="F398" s="22"/>
      <c r="G398" s="36" t="str">
        <f aca="false">IF(OR($A398="",$D398&lt;&gt;"تسليم",NOT(ISNUMBER($E398))),"",COUNTIFS($A$5:$A$1504,$A398,$D$5:$D$1504,"تسليم",$E$5:$E$1504,"&lt;"&amp;$E398)+1)</f>
        <v/>
      </c>
      <c r="H398" s="33" t="str">
        <f aca="false">IF($G398="","",_xlfn.MINIFS($E$5:$E$1504,$A$5:$A$1504,$A398,$D$5:$D$1504,"&lt;&gt;تسليم",$E$5:$E$1504,"&gt;="&amp;$E398))</f>
        <v/>
      </c>
      <c r="I398" s="33" t="str">
        <f aca="false">IF($G398="","",_xlfn.MINIFS($E$5:$E$1504,$A$5:$A$1504,$A398,$D$5:$D$1504,"تسليم",$E$5:$E$1504,"&gt;"&amp;$E398))</f>
        <v/>
      </c>
      <c r="J398" s="33" t="str">
        <f aca="false">IF($G398="","",IF(H398&gt;0,IF(I398&gt;0,MIN(H398,I398),H398),IF(I398&gt;0,I398,تاريخ_الاحتساب)))</f>
        <v/>
      </c>
      <c r="K398" s="34" t="str">
        <f aca="false">IF($G398="","",IF(AND(H398=0,I398=0),"جارية","مغلقة"))</f>
        <v/>
      </c>
      <c r="L398" s="26" t="str">
        <f aca="false">IF($G398="","",MAX(0,NETWORKDAYS.INTL($E398,J398,رمز_العطلة,أيام_الأجازات)-1))</f>
        <v/>
      </c>
      <c r="M398" s="26" t="str">
        <f aca="false">IF($G398="","",MAX(0,L398-مهلة_المراجعة))</f>
        <v/>
      </c>
      <c r="N398" s="30" t="str">
        <f aca="false">IF($A398="",IF(OR($D398&lt;&gt;"",$E398&lt;&gt;""),"رقم المخرج ناقص",""),IF(ISNA(MATCH($A398,قائمة_المخرجات,0)),"رقم مخرج غير موجود",IF($D398="","نوع الحركة ناقص",IF(NOT(ISNUMBER($E398)),"التاريخ ناقص",IF($E398&gt;تاريخ_الاحتساب,"تاريخ بعد تاريخ الاحتساب",IF(AND($D398&lt;&gt;"تسليم",COUNTIFS($A$5:$A$1504,$A398,$D$5:$D$1504,"تسليم",$E$5:$E$1504,"&lt;="&amp;$E398)=0),"لا يوجد تسليم قبل الحركة دي",""))))))</f>
        <v/>
      </c>
    </row>
    <row r="399" customFormat="false" ht="15" hidden="false" customHeight="false" outlineLevel="0" collapsed="false">
      <c r="A399" s="20"/>
      <c r="B399" s="35" t="str">
        <f aca="false">IF($A399="","",IFERROR(INDEX(مخرج_البند,MATCH($A399,قائمة_المخرجات,0)),""))</f>
        <v/>
      </c>
      <c r="C399" s="30" t="str">
        <f aca="false">IF($A399="","",IFERROR(INDEX(مخرج_الوصف,MATCH($A399,قائمة_المخرجات,0)),""))</f>
        <v/>
      </c>
      <c r="D399" s="20"/>
      <c r="E399" s="31"/>
      <c r="F399" s="22"/>
      <c r="G399" s="36" t="str">
        <f aca="false">IF(OR($A399="",$D399&lt;&gt;"تسليم",NOT(ISNUMBER($E399))),"",COUNTIFS($A$5:$A$1504,$A399,$D$5:$D$1504,"تسليم",$E$5:$E$1504,"&lt;"&amp;$E399)+1)</f>
        <v/>
      </c>
      <c r="H399" s="33" t="str">
        <f aca="false">IF($G399="","",_xlfn.MINIFS($E$5:$E$1504,$A$5:$A$1504,$A399,$D$5:$D$1504,"&lt;&gt;تسليم",$E$5:$E$1504,"&gt;="&amp;$E399))</f>
        <v/>
      </c>
      <c r="I399" s="33" t="str">
        <f aca="false">IF($G399="","",_xlfn.MINIFS($E$5:$E$1504,$A$5:$A$1504,$A399,$D$5:$D$1504,"تسليم",$E$5:$E$1504,"&gt;"&amp;$E399))</f>
        <v/>
      </c>
      <c r="J399" s="33" t="str">
        <f aca="false">IF($G399="","",IF(H399&gt;0,IF(I399&gt;0,MIN(H399,I399),H399),IF(I399&gt;0,I399,تاريخ_الاحتساب)))</f>
        <v/>
      </c>
      <c r="K399" s="34" t="str">
        <f aca="false">IF($G399="","",IF(AND(H399=0,I399=0),"جارية","مغلقة"))</f>
        <v/>
      </c>
      <c r="L399" s="26" t="str">
        <f aca="false">IF($G399="","",MAX(0,NETWORKDAYS.INTL($E399,J399,رمز_العطلة,أيام_الأجازات)-1))</f>
        <v/>
      </c>
      <c r="M399" s="26" t="str">
        <f aca="false">IF($G399="","",MAX(0,L399-مهلة_المراجعة))</f>
        <v/>
      </c>
      <c r="N399" s="30" t="str">
        <f aca="false">IF($A399="",IF(OR($D399&lt;&gt;"",$E399&lt;&gt;""),"رقم المخرج ناقص",""),IF(ISNA(MATCH($A399,قائمة_المخرجات,0)),"رقم مخرج غير موجود",IF($D399="","نوع الحركة ناقص",IF(NOT(ISNUMBER($E399)),"التاريخ ناقص",IF($E399&gt;تاريخ_الاحتساب,"تاريخ بعد تاريخ الاحتساب",IF(AND($D399&lt;&gt;"تسليم",COUNTIFS($A$5:$A$1504,$A399,$D$5:$D$1504,"تسليم",$E$5:$E$1504,"&lt;="&amp;$E399)=0),"لا يوجد تسليم قبل الحركة دي",""))))))</f>
        <v/>
      </c>
    </row>
    <row r="400" customFormat="false" ht="15" hidden="false" customHeight="false" outlineLevel="0" collapsed="false">
      <c r="A400" s="20"/>
      <c r="B400" s="35" t="str">
        <f aca="false">IF($A400="","",IFERROR(INDEX(مخرج_البند,MATCH($A400,قائمة_المخرجات,0)),""))</f>
        <v/>
      </c>
      <c r="C400" s="30" t="str">
        <f aca="false">IF($A400="","",IFERROR(INDEX(مخرج_الوصف,MATCH($A400,قائمة_المخرجات,0)),""))</f>
        <v/>
      </c>
      <c r="D400" s="20"/>
      <c r="E400" s="31"/>
      <c r="F400" s="22"/>
      <c r="G400" s="36" t="str">
        <f aca="false">IF(OR($A400="",$D400&lt;&gt;"تسليم",NOT(ISNUMBER($E400))),"",COUNTIFS($A$5:$A$1504,$A400,$D$5:$D$1504,"تسليم",$E$5:$E$1504,"&lt;"&amp;$E400)+1)</f>
        <v/>
      </c>
      <c r="H400" s="33" t="str">
        <f aca="false">IF($G400="","",_xlfn.MINIFS($E$5:$E$1504,$A$5:$A$1504,$A400,$D$5:$D$1504,"&lt;&gt;تسليم",$E$5:$E$1504,"&gt;="&amp;$E400))</f>
        <v/>
      </c>
      <c r="I400" s="33" t="str">
        <f aca="false">IF($G400="","",_xlfn.MINIFS($E$5:$E$1504,$A$5:$A$1504,$A400,$D$5:$D$1504,"تسليم",$E$5:$E$1504,"&gt;"&amp;$E400))</f>
        <v/>
      </c>
      <c r="J400" s="33" t="str">
        <f aca="false">IF($G400="","",IF(H400&gt;0,IF(I400&gt;0,MIN(H400,I400),H400),IF(I400&gt;0,I400,تاريخ_الاحتساب)))</f>
        <v/>
      </c>
      <c r="K400" s="34" t="str">
        <f aca="false">IF($G400="","",IF(AND(H400=0,I400=0),"جارية","مغلقة"))</f>
        <v/>
      </c>
      <c r="L400" s="26" t="str">
        <f aca="false">IF($G400="","",MAX(0,NETWORKDAYS.INTL($E400,J400,رمز_العطلة,أيام_الأجازات)-1))</f>
        <v/>
      </c>
      <c r="M400" s="26" t="str">
        <f aca="false">IF($G400="","",MAX(0,L400-مهلة_المراجعة))</f>
        <v/>
      </c>
      <c r="N400" s="30" t="str">
        <f aca="false">IF($A400="",IF(OR($D400&lt;&gt;"",$E400&lt;&gt;""),"رقم المخرج ناقص",""),IF(ISNA(MATCH($A400,قائمة_المخرجات,0)),"رقم مخرج غير موجود",IF($D400="","نوع الحركة ناقص",IF(NOT(ISNUMBER($E400)),"التاريخ ناقص",IF($E400&gt;تاريخ_الاحتساب,"تاريخ بعد تاريخ الاحتساب",IF(AND($D400&lt;&gt;"تسليم",COUNTIFS($A$5:$A$1504,$A400,$D$5:$D$1504,"تسليم",$E$5:$E$1504,"&lt;="&amp;$E400)=0),"لا يوجد تسليم قبل الحركة دي",""))))))</f>
        <v/>
      </c>
    </row>
    <row r="401" customFormat="false" ht="15" hidden="false" customHeight="false" outlineLevel="0" collapsed="false">
      <c r="A401" s="20"/>
      <c r="B401" s="35" t="str">
        <f aca="false">IF($A401="","",IFERROR(INDEX(مخرج_البند,MATCH($A401,قائمة_المخرجات,0)),""))</f>
        <v/>
      </c>
      <c r="C401" s="30" t="str">
        <f aca="false">IF($A401="","",IFERROR(INDEX(مخرج_الوصف,MATCH($A401,قائمة_المخرجات,0)),""))</f>
        <v/>
      </c>
      <c r="D401" s="20"/>
      <c r="E401" s="31"/>
      <c r="F401" s="22"/>
      <c r="G401" s="36" t="str">
        <f aca="false">IF(OR($A401="",$D401&lt;&gt;"تسليم",NOT(ISNUMBER($E401))),"",COUNTIFS($A$5:$A$1504,$A401,$D$5:$D$1504,"تسليم",$E$5:$E$1504,"&lt;"&amp;$E401)+1)</f>
        <v/>
      </c>
      <c r="H401" s="33" t="str">
        <f aca="false">IF($G401="","",_xlfn.MINIFS($E$5:$E$1504,$A$5:$A$1504,$A401,$D$5:$D$1504,"&lt;&gt;تسليم",$E$5:$E$1504,"&gt;="&amp;$E401))</f>
        <v/>
      </c>
      <c r="I401" s="33" t="str">
        <f aca="false">IF($G401="","",_xlfn.MINIFS($E$5:$E$1504,$A$5:$A$1504,$A401,$D$5:$D$1504,"تسليم",$E$5:$E$1504,"&gt;"&amp;$E401))</f>
        <v/>
      </c>
      <c r="J401" s="33" t="str">
        <f aca="false">IF($G401="","",IF(H401&gt;0,IF(I401&gt;0,MIN(H401,I401),H401),IF(I401&gt;0,I401,تاريخ_الاحتساب)))</f>
        <v/>
      </c>
      <c r="K401" s="34" t="str">
        <f aca="false">IF($G401="","",IF(AND(H401=0,I401=0),"جارية","مغلقة"))</f>
        <v/>
      </c>
      <c r="L401" s="26" t="str">
        <f aca="false">IF($G401="","",MAX(0,NETWORKDAYS.INTL($E401,J401,رمز_العطلة,أيام_الأجازات)-1))</f>
        <v/>
      </c>
      <c r="M401" s="26" t="str">
        <f aca="false">IF($G401="","",MAX(0,L401-مهلة_المراجعة))</f>
        <v/>
      </c>
      <c r="N401" s="30" t="str">
        <f aca="false">IF($A401="",IF(OR($D401&lt;&gt;"",$E401&lt;&gt;""),"رقم المخرج ناقص",""),IF(ISNA(MATCH($A401,قائمة_المخرجات,0)),"رقم مخرج غير موجود",IF($D401="","نوع الحركة ناقص",IF(NOT(ISNUMBER($E401)),"التاريخ ناقص",IF($E401&gt;تاريخ_الاحتساب,"تاريخ بعد تاريخ الاحتساب",IF(AND($D401&lt;&gt;"تسليم",COUNTIFS($A$5:$A$1504,$A401,$D$5:$D$1504,"تسليم",$E$5:$E$1504,"&lt;="&amp;$E401)=0),"لا يوجد تسليم قبل الحركة دي",""))))))</f>
        <v/>
      </c>
    </row>
    <row r="402" customFormat="false" ht="15" hidden="false" customHeight="false" outlineLevel="0" collapsed="false">
      <c r="A402" s="20"/>
      <c r="B402" s="35" t="str">
        <f aca="false">IF($A402="","",IFERROR(INDEX(مخرج_البند,MATCH($A402,قائمة_المخرجات,0)),""))</f>
        <v/>
      </c>
      <c r="C402" s="30" t="str">
        <f aca="false">IF($A402="","",IFERROR(INDEX(مخرج_الوصف,MATCH($A402,قائمة_المخرجات,0)),""))</f>
        <v/>
      </c>
      <c r="D402" s="20"/>
      <c r="E402" s="31"/>
      <c r="F402" s="22"/>
      <c r="G402" s="36" t="str">
        <f aca="false">IF(OR($A402="",$D402&lt;&gt;"تسليم",NOT(ISNUMBER($E402))),"",COUNTIFS($A$5:$A$1504,$A402,$D$5:$D$1504,"تسليم",$E$5:$E$1504,"&lt;"&amp;$E402)+1)</f>
        <v/>
      </c>
      <c r="H402" s="33" t="str">
        <f aca="false">IF($G402="","",_xlfn.MINIFS($E$5:$E$1504,$A$5:$A$1504,$A402,$D$5:$D$1504,"&lt;&gt;تسليم",$E$5:$E$1504,"&gt;="&amp;$E402))</f>
        <v/>
      </c>
      <c r="I402" s="33" t="str">
        <f aca="false">IF($G402="","",_xlfn.MINIFS($E$5:$E$1504,$A$5:$A$1504,$A402,$D$5:$D$1504,"تسليم",$E$5:$E$1504,"&gt;"&amp;$E402))</f>
        <v/>
      </c>
      <c r="J402" s="33" t="str">
        <f aca="false">IF($G402="","",IF(H402&gt;0,IF(I402&gt;0,MIN(H402,I402),H402),IF(I402&gt;0,I402,تاريخ_الاحتساب)))</f>
        <v/>
      </c>
      <c r="K402" s="34" t="str">
        <f aca="false">IF($G402="","",IF(AND(H402=0,I402=0),"جارية","مغلقة"))</f>
        <v/>
      </c>
      <c r="L402" s="26" t="str">
        <f aca="false">IF($G402="","",MAX(0,NETWORKDAYS.INTL($E402,J402,رمز_العطلة,أيام_الأجازات)-1))</f>
        <v/>
      </c>
      <c r="M402" s="26" t="str">
        <f aca="false">IF($G402="","",MAX(0,L402-مهلة_المراجعة))</f>
        <v/>
      </c>
      <c r="N402" s="30" t="str">
        <f aca="false">IF($A402="",IF(OR($D402&lt;&gt;"",$E402&lt;&gt;""),"رقم المخرج ناقص",""),IF(ISNA(MATCH($A402,قائمة_المخرجات,0)),"رقم مخرج غير موجود",IF($D402="","نوع الحركة ناقص",IF(NOT(ISNUMBER($E402)),"التاريخ ناقص",IF($E402&gt;تاريخ_الاحتساب,"تاريخ بعد تاريخ الاحتساب",IF(AND($D402&lt;&gt;"تسليم",COUNTIFS($A$5:$A$1504,$A402,$D$5:$D$1504,"تسليم",$E$5:$E$1504,"&lt;="&amp;$E402)=0),"لا يوجد تسليم قبل الحركة دي",""))))))</f>
        <v/>
      </c>
    </row>
    <row r="403" customFormat="false" ht="15" hidden="false" customHeight="false" outlineLevel="0" collapsed="false">
      <c r="A403" s="20"/>
      <c r="B403" s="35" t="str">
        <f aca="false">IF($A403="","",IFERROR(INDEX(مخرج_البند,MATCH($A403,قائمة_المخرجات,0)),""))</f>
        <v/>
      </c>
      <c r="C403" s="30" t="str">
        <f aca="false">IF($A403="","",IFERROR(INDEX(مخرج_الوصف,MATCH($A403,قائمة_المخرجات,0)),""))</f>
        <v/>
      </c>
      <c r="D403" s="20"/>
      <c r="E403" s="31"/>
      <c r="F403" s="22"/>
      <c r="G403" s="36" t="str">
        <f aca="false">IF(OR($A403="",$D403&lt;&gt;"تسليم",NOT(ISNUMBER($E403))),"",COUNTIFS($A$5:$A$1504,$A403,$D$5:$D$1504,"تسليم",$E$5:$E$1504,"&lt;"&amp;$E403)+1)</f>
        <v/>
      </c>
      <c r="H403" s="33" t="str">
        <f aca="false">IF($G403="","",_xlfn.MINIFS($E$5:$E$1504,$A$5:$A$1504,$A403,$D$5:$D$1504,"&lt;&gt;تسليم",$E$5:$E$1504,"&gt;="&amp;$E403))</f>
        <v/>
      </c>
      <c r="I403" s="33" t="str">
        <f aca="false">IF($G403="","",_xlfn.MINIFS($E$5:$E$1504,$A$5:$A$1504,$A403,$D$5:$D$1504,"تسليم",$E$5:$E$1504,"&gt;"&amp;$E403))</f>
        <v/>
      </c>
      <c r="J403" s="33" t="str">
        <f aca="false">IF($G403="","",IF(H403&gt;0,IF(I403&gt;0,MIN(H403,I403),H403),IF(I403&gt;0,I403,تاريخ_الاحتساب)))</f>
        <v/>
      </c>
      <c r="K403" s="34" t="str">
        <f aca="false">IF($G403="","",IF(AND(H403=0,I403=0),"جارية","مغلقة"))</f>
        <v/>
      </c>
      <c r="L403" s="26" t="str">
        <f aca="false">IF($G403="","",MAX(0,NETWORKDAYS.INTL($E403,J403,رمز_العطلة,أيام_الأجازات)-1))</f>
        <v/>
      </c>
      <c r="M403" s="26" t="str">
        <f aca="false">IF($G403="","",MAX(0,L403-مهلة_المراجعة))</f>
        <v/>
      </c>
      <c r="N403" s="30" t="str">
        <f aca="false">IF($A403="",IF(OR($D403&lt;&gt;"",$E403&lt;&gt;""),"رقم المخرج ناقص",""),IF(ISNA(MATCH($A403,قائمة_المخرجات,0)),"رقم مخرج غير موجود",IF($D403="","نوع الحركة ناقص",IF(NOT(ISNUMBER($E403)),"التاريخ ناقص",IF($E403&gt;تاريخ_الاحتساب,"تاريخ بعد تاريخ الاحتساب",IF(AND($D403&lt;&gt;"تسليم",COUNTIFS($A$5:$A$1504,$A403,$D$5:$D$1504,"تسليم",$E$5:$E$1504,"&lt;="&amp;$E403)=0),"لا يوجد تسليم قبل الحركة دي",""))))))</f>
        <v/>
      </c>
    </row>
    <row r="404" customFormat="false" ht="15" hidden="false" customHeight="false" outlineLevel="0" collapsed="false">
      <c r="A404" s="20"/>
      <c r="B404" s="35" t="str">
        <f aca="false">IF($A404="","",IFERROR(INDEX(مخرج_البند,MATCH($A404,قائمة_المخرجات,0)),""))</f>
        <v/>
      </c>
      <c r="C404" s="30" t="str">
        <f aca="false">IF($A404="","",IFERROR(INDEX(مخرج_الوصف,MATCH($A404,قائمة_المخرجات,0)),""))</f>
        <v/>
      </c>
      <c r="D404" s="20"/>
      <c r="E404" s="31"/>
      <c r="F404" s="22"/>
      <c r="G404" s="36" t="str">
        <f aca="false">IF(OR($A404="",$D404&lt;&gt;"تسليم",NOT(ISNUMBER($E404))),"",COUNTIFS($A$5:$A$1504,$A404,$D$5:$D$1504,"تسليم",$E$5:$E$1504,"&lt;"&amp;$E404)+1)</f>
        <v/>
      </c>
      <c r="H404" s="33" t="str">
        <f aca="false">IF($G404="","",_xlfn.MINIFS($E$5:$E$1504,$A$5:$A$1504,$A404,$D$5:$D$1504,"&lt;&gt;تسليم",$E$5:$E$1504,"&gt;="&amp;$E404))</f>
        <v/>
      </c>
      <c r="I404" s="33" t="str">
        <f aca="false">IF($G404="","",_xlfn.MINIFS($E$5:$E$1504,$A$5:$A$1504,$A404,$D$5:$D$1504,"تسليم",$E$5:$E$1504,"&gt;"&amp;$E404))</f>
        <v/>
      </c>
      <c r="J404" s="33" t="str">
        <f aca="false">IF($G404="","",IF(H404&gt;0,IF(I404&gt;0,MIN(H404,I404),H404),IF(I404&gt;0,I404,تاريخ_الاحتساب)))</f>
        <v/>
      </c>
      <c r="K404" s="34" t="str">
        <f aca="false">IF($G404="","",IF(AND(H404=0,I404=0),"جارية","مغلقة"))</f>
        <v/>
      </c>
      <c r="L404" s="26" t="str">
        <f aca="false">IF($G404="","",MAX(0,NETWORKDAYS.INTL($E404,J404,رمز_العطلة,أيام_الأجازات)-1))</f>
        <v/>
      </c>
      <c r="M404" s="26" t="str">
        <f aca="false">IF($G404="","",MAX(0,L404-مهلة_المراجعة))</f>
        <v/>
      </c>
      <c r="N404" s="30" t="str">
        <f aca="false">IF($A404="",IF(OR($D404&lt;&gt;"",$E404&lt;&gt;""),"رقم المخرج ناقص",""),IF(ISNA(MATCH($A404,قائمة_المخرجات,0)),"رقم مخرج غير موجود",IF($D404="","نوع الحركة ناقص",IF(NOT(ISNUMBER($E404)),"التاريخ ناقص",IF($E404&gt;تاريخ_الاحتساب,"تاريخ بعد تاريخ الاحتساب",IF(AND($D404&lt;&gt;"تسليم",COUNTIFS($A$5:$A$1504,$A404,$D$5:$D$1504,"تسليم",$E$5:$E$1504,"&lt;="&amp;$E404)=0),"لا يوجد تسليم قبل الحركة دي",""))))))</f>
        <v/>
      </c>
    </row>
    <row r="405" customFormat="false" ht="15" hidden="false" customHeight="false" outlineLevel="0" collapsed="false">
      <c r="A405" s="20"/>
      <c r="B405" s="35" t="str">
        <f aca="false">IF($A405="","",IFERROR(INDEX(مخرج_البند,MATCH($A405,قائمة_المخرجات,0)),""))</f>
        <v/>
      </c>
      <c r="C405" s="30" t="str">
        <f aca="false">IF($A405="","",IFERROR(INDEX(مخرج_الوصف,MATCH($A405,قائمة_المخرجات,0)),""))</f>
        <v/>
      </c>
      <c r="D405" s="20"/>
      <c r="E405" s="31"/>
      <c r="F405" s="22"/>
      <c r="G405" s="36" t="str">
        <f aca="false">IF(OR($A405="",$D405&lt;&gt;"تسليم",NOT(ISNUMBER($E405))),"",COUNTIFS($A$5:$A$1504,$A405,$D$5:$D$1504,"تسليم",$E$5:$E$1504,"&lt;"&amp;$E405)+1)</f>
        <v/>
      </c>
      <c r="H405" s="33" t="str">
        <f aca="false">IF($G405="","",_xlfn.MINIFS($E$5:$E$1504,$A$5:$A$1504,$A405,$D$5:$D$1504,"&lt;&gt;تسليم",$E$5:$E$1504,"&gt;="&amp;$E405))</f>
        <v/>
      </c>
      <c r="I405" s="33" t="str">
        <f aca="false">IF($G405="","",_xlfn.MINIFS($E$5:$E$1504,$A$5:$A$1504,$A405,$D$5:$D$1504,"تسليم",$E$5:$E$1504,"&gt;"&amp;$E405))</f>
        <v/>
      </c>
      <c r="J405" s="33" t="str">
        <f aca="false">IF($G405="","",IF(H405&gt;0,IF(I405&gt;0,MIN(H405,I405),H405),IF(I405&gt;0,I405,تاريخ_الاحتساب)))</f>
        <v/>
      </c>
      <c r="K405" s="34" t="str">
        <f aca="false">IF($G405="","",IF(AND(H405=0,I405=0),"جارية","مغلقة"))</f>
        <v/>
      </c>
      <c r="L405" s="26" t="str">
        <f aca="false">IF($G405="","",MAX(0,NETWORKDAYS.INTL($E405,J405,رمز_العطلة,أيام_الأجازات)-1))</f>
        <v/>
      </c>
      <c r="M405" s="26" t="str">
        <f aca="false">IF($G405="","",MAX(0,L405-مهلة_المراجعة))</f>
        <v/>
      </c>
      <c r="N405" s="30" t="str">
        <f aca="false">IF($A405="",IF(OR($D405&lt;&gt;"",$E405&lt;&gt;""),"رقم المخرج ناقص",""),IF(ISNA(MATCH($A405,قائمة_المخرجات,0)),"رقم مخرج غير موجود",IF($D405="","نوع الحركة ناقص",IF(NOT(ISNUMBER($E405)),"التاريخ ناقص",IF($E405&gt;تاريخ_الاحتساب,"تاريخ بعد تاريخ الاحتساب",IF(AND($D405&lt;&gt;"تسليم",COUNTIFS($A$5:$A$1504,$A405,$D$5:$D$1504,"تسليم",$E$5:$E$1504,"&lt;="&amp;$E405)=0),"لا يوجد تسليم قبل الحركة دي",""))))))</f>
        <v/>
      </c>
    </row>
    <row r="406" customFormat="false" ht="15" hidden="false" customHeight="false" outlineLevel="0" collapsed="false">
      <c r="A406" s="20"/>
      <c r="B406" s="35" t="str">
        <f aca="false">IF($A406="","",IFERROR(INDEX(مخرج_البند,MATCH($A406,قائمة_المخرجات,0)),""))</f>
        <v/>
      </c>
      <c r="C406" s="30" t="str">
        <f aca="false">IF($A406="","",IFERROR(INDEX(مخرج_الوصف,MATCH($A406,قائمة_المخرجات,0)),""))</f>
        <v/>
      </c>
      <c r="D406" s="20"/>
      <c r="E406" s="31"/>
      <c r="F406" s="22"/>
      <c r="G406" s="36" t="str">
        <f aca="false">IF(OR($A406="",$D406&lt;&gt;"تسليم",NOT(ISNUMBER($E406))),"",COUNTIFS($A$5:$A$1504,$A406,$D$5:$D$1504,"تسليم",$E$5:$E$1504,"&lt;"&amp;$E406)+1)</f>
        <v/>
      </c>
      <c r="H406" s="33" t="str">
        <f aca="false">IF($G406="","",_xlfn.MINIFS($E$5:$E$1504,$A$5:$A$1504,$A406,$D$5:$D$1504,"&lt;&gt;تسليم",$E$5:$E$1504,"&gt;="&amp;$E406))</f>
        <v/>
      </c>
      <c r="I406" s="33" t="str">
        <f aca="false">IF($G406="","",_xlfn.MINIFS($E$5:$E$1504,$A$5:$A$1504,$A406,$D$5:$D$1504,"تسليم",$E$5:$E$1504,"&gt;"&amp;$E406))</f>
        <v/>
      </c>
      <c r="J406" s="33" t="str">
        <f aca="false">IF($G406="","",IF(H406&gt;0,IF(I406&gt;0,MIN(H406,I406),H406),IF(I406&gt;0,I406,تاريخ_الاحتساب)))</f>
        <v/>
      </c>
      <c r="K406" s="34" t="str">
        <f aca="false">IF($G406="","",IF(AND(H406=0,I406=0),"جارية","مغلقة"))</f>
        <v/>
      </c>
      <c r="L406" s="26" t="str">
        <f aca="false">IF($G406="","",MAX(0,NETWORKDAYS.INTL($E406,J406,رمز_العطلة,أيام_الأجازات)-1))</f>
        <v/>
      </c>
      <c r="M406" s="26" t="str">
        <f aca="false">IF($G406="","",MAX(0,L406-مهلة_المراجعة))</f>
        <v/>
      </c>
      <c r="N406" s="30" t="str">
        <f aca="false">IF($A406="",IF(OR($D406&lt;&gt;"",$E406&lt;&gt;""),"رقم المخرج ناقص",""),IF(ISNA(MATCH($A406,قائمة_المخرجات,0)),"رقم مخرج غير موجود",IF($D406="","نوع الحركة ناقص",IF(NOT(ISNUMBER($E406)),"التاريخ ناقص",IF($E406&gt;تاريخ_الاحتساب,"تاريخ بعد تاريخ الاحتساب",IF(AND($D406&lt;&gt;"تسليم",COUNTIFS($A$5:$A$1504,$A406,$D$5:$D$1504,"تسليم",$E$5:$E$1504,"&lt;="&amp;$E406)=0),"لا يوجد تسليم قبل الحركة دي",""))))))</f>
        <v/>
      </c>
    </row>
    <row r="407" customFormat="false" ht="15" hidden="false" customHeight="false" outlineLevel="0" collapsed="false">
      <c r="A407" s="20"/>
      <c r="B407" s="35" t="str">
        <f aca="false">IF($A407="","",IFERROR(INDEX(مخرج_البند,MATCH($A407,قائمة_المخرجات,0)),""))</f>
        <v/>
      </c>
      <c r="C407" s="30" t="str">
        <f aca="false">IF($A407="","",IFERROR(INDEX(مخرج_الوصف,MATCH($A407,قائمة_المخرجات,0)),""))</f>
        <v/>
      </c>
      <c r="D407" s="20"/>
      <c r="E407" s="31"/>
      <c r="F407" s="22"/>
      <c r="G407" s="36" t="str">
        <f aca="false">IF(OR($A407="",$D407&lt;&gt;"تسليم",NOT(ISNUMBER($E407))),"",COUNTIFS($A$5:$A$1504,$A407,$D$5:$D$1504,"تسليم",$E$5:$E$1504,"&lt;"&amp;$E407)+1)</f>
        <v/>
      </c>
      <c r="H407" s="33" t="str">
        <f aca="false">IF($G407="","",_xlfn.MINIFS($E$5:$E$1504,$A$5:$A$1504,$A407,$D$5:$D$1504,"&lt;&gt;تسليم",$E$5:$E$1504,"&gt;="&amp;$E407))</f>
        <v/>
      </c>
      <c r="I407" s="33" t="str">
        <f aca="false">IF($G407="","",_xlfn.MINIFS($E$5:$E$1504,$A$5:$A$1504,$A407,$D$5:$D$1504,"تسليم",$E$5:$E$1504,"&gt;"&amp;$E407))</f>
        <v/>
      </c>
      <c r="J407" s="33" t="str">
        <f aca="false">IF($G407="","",IF(H407&gt;0,IF(I407&gt;0,MIN(H407,I407),H407),IF(I407&gt;0,I407,تاريخ_الاحتساب)))</f>
        <v/>
      </c>
      <c r="K407" s="34" t="str">
        <f aca="false">IF($G407="","",IF(AND(H407=0,I407=0),"جارية","مغلقة"))</f>
        <v/>
      </c>
      <c r="L407" s="26" t="str">
        <f aca="false">IF($G407="","",MAX(0,NETWORKDAYS.INTL($E407,J407,رمز_العطلة,أيام_الأجازات)-1))</f>
        <v/>
      </c>
      <c r="M407" s="26" t="str">
        <f aca="false">IF($G407="","",MAX(0,L407-مهلة_المراجعة))</f>
        <v/>
      </c>
      <c r="N407" s="30" t="str">
        <f aca="false">IF($A407="",IF(OR($D407&lt;&gt;"",$E407&lt;&gt;""),"رقم المخرج ناقص",""),IF(ISNA(MATCH($A407,قائمة_المخرجات,0)),"رقم مخرج غير موجود",IF($D407="","نوع الحركة ناقص",IF(NOT(ISNUMBER($E407)),"التاريخ ناقص",IF($E407&gt;تاريخ_الاحتساب,"تاريخ بعد تاريخ الاحتساب",IF(AND($D407&lt;&gt;"تسليم",COUNTIFS($A$5:$A$1504,$A407,$D$5:$D$1504,"تسليم",$E$5:$E$1504,"&lt;="&amp;$E407)=0),"لا يوجد تسليم قبل الحركة دي",""))))))</f>
        <v/>
      </c>
    </row>
    <row r="408" customFormat="false" ht="15" hidden="false" customHeight="false" outlineLevel="0" collapsed="false">
      <c r="A408" s="20"/>
      <c r="B408" s="35" t="str">
        <f aca="false">IF($A408="","",IFERROR(INDEX(مخرج_البند,MATCH($A408,قائمة_المخرجات,0)),""))</f>
        <v/>
      </c>
      <c r="C408" s="30" t="str">
        <f aca="false">IF($A408="","",IFERROR(INDEX(مخرج_الوصف,MATCH($A408,قائمة_المخرجات,0)),""))</f>
        <v/>
      </c>
      <c r="D408" s="20"/>
      <c r="E408" s="31"/>
      <c r="F408" s="22"/>
      <c r="G408" s="36" t="str">
        <f aca="false">IF(OR($A408="",$D408&lt;&gt;"تسليم",NOT(ISNUMBER($E408))),"",COUNTIFS($A$5:$A$1504,$A408,$D$5:$D$1504,"تسليم",$E$5:$E$1504,"&lt;"&amp;$E408)+1)</f>
        <v/>
      </c>
      <c r="H408" s="33" t="str">
        <f aca="false">IF($G408="","",_xlfn.MINIFS($E$5:$E$1504,$A$5:$A$1504,$A408,$D$5:$D$1504,"&lt;&gt;تسليم",$E$5:$E$1504,"&gt;="&amp;$E408))</f>
        <v/>
      </c>
      <c r="I408" s="33" t="str">
        <f aca="false">IF($G408="","",_xlfn.MINIFS($E$5:$E$1504,$A$5:$A$1504,$A408,$D$5:$D$1504,"تسليم",$E$5:$E$1504,"&gt;"&amp;$E408))</f>
        <v/>
      </c>
      <c r="J408" s="33" t="str">
        <f aca="false">IF($G408="","",IF(H408&gt;0,IF(I408&gt;0,MIN(H408,I408),H408),IF(I408&gt;0,I408,تاريخ_الاحتساب)))</f>
        <v/>
      </c>
      <c r="K408" s="34" t="str">
        <f aca="false">IF($G408="","",IF(AND(H408=0,I408=0),"جارية","مغلقة"))</f>
        <v/>
      </c>
      <c r="L408" s="26" t="str">
        <f aca="false">IF($G408="","",MAX(0,NETWORKDAYS.INTL($E408,J408,رمز_العطلة,أيام_الأجازات)-1))</f>
        <v/>
      </c>
      <c r="M408" s="26" t="str">
        <f aca="false">IF($G408="","",MAX(0,L408-مهلة_المراجعة))</f>
        <v/>
      </c>
      <c r="N408" s="30" t="str">
        <f aca="false">IF($A408="",IF(OR($D408&lt;&gt;"",$E408&lt;&gt;""),"رقم المخرج ناقص",""),IF(ISNA(MATCH($A408,قائمة_المخرجات,0)),"رقم مخرج غير موجود",IF($D408="","نوع الحركة ناقص",IF(NOT(ISNUMBER($E408)),"التاريخ ناقص",IF($E408&gt;تاريخ_الاحتساب,"تاريخ بعد تاريخ الاحتساب",IF(AND($D408&lt;&gt;"تسليم",COUNTIFS($A$5:$A$1504,$A408,$D$5:$D$1504,"تسليم",$E$5:$E$1504,"&lt;="&amp;$E408)=0),"لا يوجد تسليم قبل الحركة دي",""))))))</f>
        <v/>
      </c>
    </row>
    <row r="409" customFormat="false" ht="15" hidden="false" customHeight="false" outlineLevel="0" collapsed="false">
      <c r="A409" s="20"/>
      <c r="B409" s="35" t="str">
        <f aca="false">IF($A409="","",IFERROR(INDEX(مخرج_البند,MATCH($A409,قائمة_المخرجات,0)),""))</f>
        <v/>
      </c>
      <c r="C409" s="30" t="str">
        <f aca="false">IF($A409="","",IFERROR(INDEX(مخرج_الوصف,MATCH($A409,قائمة_المخرجات,0)),""))</f>
        <v/>
      </c>
      <c r="D409" s="20"/>
      <c r="E409" s="31"/>
      <c r="F409" s="22"/>
      <c r="G409" s="36" t="str">
        <f aca="false">IF(OR($A409="",$D409&lt;&gt;"تسليم",NOT(ISNUMBER($E409))),"",COUNTIFS($A$5:$A$1504,$A409,$D$5:$D$1504,"تسليم",$E$5:$E$1504,"&lt;"&amp;$E409)+1)</f>
        <v/>
      </c>
      <c r="H409" s="33" t="str">
        <f aca="false">IF($G409="","",_xlfn.MINIFS($E$5:$E$1504,$A$5:$A$1504,$A409,$D$5:$D$1504,"&lt;&gt;تسليم",$E$5:$E$1504,"&gt;="&amp;$E409))</f>
        <v/>
      </c>
      <c r="I409" s="33" t="str">
        <f aca="false">IF($G409="","",_xlfn.MINIFS($E$5:$E$1504,$A$5:$A$1504,$A409,$D$5:$D$1504,"تسليم",$E$5:$E$1504,"&gt;"&amp;$E409))</f>
        <v/>
      </c>
      <c r="J409" s="33" t="str">
        <f aca="false">IF($G409="","",IF(H409&gt;0,IF(I409&gt;0,MIN(H409,I409),H409),IF(I409&gt;0,I409,تاريخ_الاحتساب)))</f>
        <v/>
      </c>
      <c r="K409" s="34" t="str">
        <f aca="false">IF($G409="","",IF(AND(H409=0,I409=0),"جارية","مغلقة"))</f>
        <v/>
      </c>
      <c r="L409" s="26" t="str">
        <f aca="false">IF($G409="","",MAX(0,NETWORKDAYS.INTL($E409,J409,رمز_العطلة,أيام_الأجازات)-1))</f>
        <v/>
      </c>
      <c r="M409" s="26" t="str">
        <f aca="false">IF($G409="","",MAX(0,L409-مهلة_المراجعة))</f>
        <v/>
      </c>
      <c r="N409" s="30" t="str">
        <f aca="false">IF($A409="",IF(OR($D409&lt;&gt;"",$E409&lt;&gt;""),"رقم المخرج ناقص",""),IF(ISNA(MATCH($A409,قائمة_المخرجات,0)),"رقم مخرج غير موجود",IF($D409="","نوع الحركة ناقص",IF(NOT(ISNUMBER($E409)),"التاريخ ناقص",IF($E409&gt;تاريخ_الاحتساب,"تاريخ بعد تاريخ الاحتساب",IF(AND($D409&lt;&gt;"تسليم",COUNTIFS($A$5:$A$1504,$A409,$D$5:$D$1504,"تسليم",$E$5:$E$1504,"&lt;="&amp;$E409)=0),"لا يوجد تسليم قبل الحركة دي",""))))))</f>
        <v/>
      </c>
    </row>
    <row r="410" customFormat="false" ht="15" hidden="false" customHeight="false" outlineLevel="0" collapsed="false">
      <c r="A410" s="20"/>
      <c r="B410" s="35" t="str">
        <f aca="false">IF($A410="","",IFERROR(INDEX(مخرج_البند,MATCH($A410,قائمة_المخرجات,0)),""))</f>
        <v/>
      </c>
      <c r="C410" s="30" t="str">
        <f aca="false">IF($A410="","",IFERROR(INDEX(مخرج_الوصف,MATCH($A410,قائمة_المخرجات,0)),""))</f>
        <v/>
      </c>
      <c r="D410" s="20"/>
      <c r="E410" s="31"/>
      <c r="F410" s="22"/>
      <c r="G410" s="36" t="str">
        <f aca="false">IF(OR($A410="",$D410&lt;&gt;"تسليم",NOT(ISNUMBER($E410))),"",COUNTIFS($A$5:$A$1504,$A410,$D$5:$D$1504,"تسليم",$E$5:$E$1504,"&lt;"&amp;$E410)+1)</f>
        <v/>
      </c>
      <c r="H410" s="33" t="str">
        <f aca="false">IF($G410="","",_xlfn.MINIFS($E$5:$E$1504,$A$5:$A$1504,$A410,$D$5:$D$1504,"&lt;&gt;تسليم",$E$5:$E$1504,"&gt;="&amp;$E410))</f>
        <v/>
      </c>
      <c r="I410" s="33" t="str">
        <f aca="false">IF($G410="","",_xlfn.MINIFS($E$5:$E$1504,$A$5:$A$1504,$A410,$D$5:$D$1504,"تسليم",$E$5:$E$1504,"&gt;"&amp;$E410))</f>
        <v/>
      </c>
      <c r="J410" s="33" t="str">
        <f aca="false">IF($G410="","",IF(H410&gt;0,IF(I410&gt;0,MIN(H410,I410),H410),IF(I410&gt;0,I410,تاريخ_الاحتساب)))</f>
        <v/>
      </c>
      <c r="K410" s="34" t="str">
        <f aca="false">IF($G410="","",IF(AND(H410=0,I410=0),"جارية","مغلقة"))</f>
        <v/>
      </c>
      <c r="L410" s="26" t="str">
        <f aca="false">IF($G410="","",MAX(0,NETWORKDAYS.INTL($E410,J410,رمز_العطلة,أيام_الأجازات)-1))</f>
        <v/>
      </c>
      <c r="M410" s="26" t="str">
        <f aca="false">IF($G410="","",MAX(0,L410-مهلة_المراجعة))</f>
        <v/>
      </c>
      <c r="N410" s="30" t="str">
        <f aca="false">IF($A410="",IF(OR($D410&lt;&gt;"",$E410&lt;&gt;""),"رقم المخرج ناقص",""),IF(ISNA(MATCH($A410,قائمة_المخرجات,0)),"رقم مخرج غير موجود",IF($D410="","نوع الحركة ناقص",IF(NOT(ISNUMBER($E410)),"التاريخ ناقص",IF($E410&gt;تاريخ_الاحتساب,"تاريخ بعد تاريخ الاحتساب",IF(AND($D410&lt;&gt;"تسليم",COUNTIFS($A$5:$A$1504,$A410,$D$5:$D$1504,"تسليم",$E$5:$E$1504,"&lt;="&amp;$E410)=0),"لا يوجد تسليم قبل الحركة دي",""))))))</f>
        <v/>
      </c>
    </row>
    <row r="411" customFormat="false" ht="15" hidden="false" customHeight="false" outlineLevel="0" collapsed="false">
      <c r="A411" s="20"/>
      <c r="B411" s="35" t="str">
        <f aca="false">IF($A411="","",IFERROR(INDEX(مخرج_البند,MATCH($A411,قائمة_المخرجات,0)),""))</f>
        <v/>
      </c>
      <c r="C411" s="30" t="str">
        <f aca="false">IF($A411="","",IFERROR(INDEX(مخرج_الوصف,MATCH($A411,قائمة_المخرجات,0)),""))</f>
        <v/>
      </c>
      <c r="D411" s="20"/>
      <c r="E411" s="31"/>
      <c r="F411" s="22"/>
      <c r="G411" s="36" t="str">
        <f aca="false">IF(OR($A411="",$D411&lt;&gt;"تسليم",NOT(ISNUMBER($E411))),"",COUNTIFS($A$5:$A$1504,$A411,$D$5:$D$1504,"تسليم",$E$5:$E$1504,"&lt;"&amp;$E411)+1)</f>
        <v/>
      </c>
      <c r="H411" s="33" t="str">
        <f aca="false">IF($G411="","",_xlfn.MINIFS($E$5:$E$1504,$A$5:$A$1504,$A411,$D$5:$D$1504,"&lt;&gt;تسليم",$E$5:$E$1504,"&gt;="&amp;$E411))</f>
        <v/>
      </c>
      <c r="I411" s="33" t="str">
        <f aca="false">IF($G411="","",_xlfn.MINIFS($E$5:$E$1504,$A$5:$A$1504,$A411,$D$5:$D$1504,"تسليم",$E$5:$E$1504,"&gt;"&amp;$E411))</f>
        <v/>
      </c>
      <c r="J411" s="33" t="str">
        <f aca="false">IF($G411="","",IF(H411&gt;0,IF(I411&gt;0,MIN(H411,I411),H411),IF(I411&gt;0,I411,تاريخ_الاحتساب)))</f>
        <v/>
      </c>
      <c r="K411" s="34" t="str">
        <f aca="false">IF($G411="","",IF(AND(H411=0,I411=0),"جارية","مغلقة"))</f>
        <v/>
      </c>
      <c r="L411" s="26" t="str">
        <f aca="false">IF($G411="","",MAX(0,NETWORKDAYS.INTL($E411,J411,رمز_العطلة,أيام_الأجازات)-1))</f>
        <v/>
      </c>
      <c r="M411" s="26" t="str">
        <f aca="false">IF($G411="","",MAX(0,L411-مهلة_المراجعة))</f>
        <v/>
      </c>
      <c r="N411" s="30" t="str">
        <f aca="false">IF($A411="",IF(OR($D411&lt;&gt;"",$E411&lt;&gt;""),"رقم المخرج ناقص",""),IF(ISNA(MATCH($A411,قائمة_المخرجات,0)),"رقم مخرج غير موجود",IF($D411="","نوع الحركة ناقص",IF(NOT(ISNUMBER($E411)),"التاريخ ناقص",IF($E411&gt;تاريخ_الاحتساب,"تاريخ بعد تاريخ الاحتساب",IF(AND($D411&lt;&gt;"تسليم",COUNTIFS($A$5:$A$1504,$A411,$D$5:$D$1504,"تسليم",$E$5:$E$1504,"&lt;="&amp;$E411)=0),"لا يوجد تسليم قبل الحركة دي",""))))))</f>
        <v/>
      </c>
    </row>
    <row r="412" customFormat="false" ht="15" hidden="false" customHeight="false" outlineLevel="0" collapsed="false">
      <c r="A412" s="20"/>
      <c r="B412" s="35" t="str">
        <f aca="false">IF($A412="","",IFERROR(INDEX(مخرج_البند,MATCH($A412,قائمة_المخرجات,0)),""))</f>
        <v/>
      </c>
      <c r="C412" s="30" t="str">
        <f aca="false">IF($A412="","",IFERROR(INDEX(مخرج_الوصف,MATCH($A412,قائمة_المخرجات,0)),""))</f>
        <v/>
      </c>
      <c r="D412" s="20"/>
      <c r="E412" s="31"/>
      <c r="F412" s="22"/>
      <c r="G412" s="36" t="str">
        <f aca="false">IF(OR($A412="",$D412&lt;&gt;"تسليم",NOT(ISNUMBER($E412))),"",COUNTIFS($A$5:$A$1504,$A412,$D$5:$D$1504,"تسليم",$E$5:$E$1504,"&lt;"&amp;$E412)+1)</f>
        <v/>
      </c>
      <c r="H412" s="33" t="str">
        <f aca="false">IF($G412="","",_xlfn.MINIFS($E$5:$E$1504,$A$5:$A$1504,$A412,$D$5:$D$1504,"&lt;&gt;تسليم",$E$5:$E$1504,"&gt;="&amp;$E412))</f>
        <v/>
      </c>
      <c r="I412" s="33" t="str">
        <f aca="false">IF($G412="","",_xlfn.MINIFS($E$5:$E$1504,$A$5:$A$1504,$A412,$D$5:$D$1504,"تسليم",$E$5:$E$1504,"&gt;"&amp;$E412))</f>
        <v/>
      </c>
      <c r="J412" s="33" t="str">
        <f aca="false">IF($G412="","",IF(H412&gt;0,IF(I412&gt;0,MIN(H412,I412),H412),IF(I412&gt;0,I412,تاريخ_الاحتساب)))</f>
        <v/>
      </c>
      <c r="K412" s="34" t="str">
        <f aca="false">IF($G412="","",IF(AND(H412=0,I412=0),"جارية","مغلقة"))</f>
        <v/>
      </c>
      <c r="L412" s="26" t="str">
        <f aca="false">IF($G412="","",MAX(0,NETWORKDAYS.INTL($E412,J412,رمز_العطلة,أيام_الأجازات)-1))</f>
        <v/>
      </c>
      <c r="M412" s="26" t="str">
        <f aca="false">IF($G412="","",MAX(0,L412-مهلة_المراجعة))</f>
        <v/>
      </c>
      <c r="N412" s="30" t="str">
        <f aca="false">IF($A412="",IF(OR($D412&lt;&gt;"",$E412&lt;&gt;""),"رقم المخرج ناقص",""),IF(ISNA(MATCH($A412,قائمة_المخرجات,0)),"رقم مخرج غير موجود",IF($D412="","نوع الحركة ناقص",IF(NOT(ISNUMBER($E412)),"التاريخ ناقص",IF($E412&gt;تاريخ_الاحتساب,"تاريخ بعد تاريخ الاحتساب",IF(AND($D412&lt;&gt;"تسليم",COUNTIFS($A$5:$A$1504,$A412,$D$5:$D$1504,"تسليم",$E$5:$E$1504,"&lt;="&amp;$E412)=0),"لا يوجد تسليم قبل الحركة دي",""))))))</f>
        <v/>
      </c>
    </row>
    <row r="413" customFormat="false" ht="15" hidden="false" customHeight="false" outlineLevel="0" collapsed="false">
      <c r="A413" s="20"/>
      <c r="B413" s="35" t="str">
        <f aca="false">IF($A413="","",IFERROR(INDEX(مخرج_البند,MATCH($A413,قائمة_المخرجات,0)),""))</f>
        <v/>
      </c>
      <c r="C413" s="30" t="str">
        <f aca="false">IF($A413="","",IFERROR(INDEX(مخرج_الوصف,MATCH($A413,قائمة_المخرجات,0)),""))</f>
        <v/>
      </c>
      <c r="D413" s="20"/>
      <c r="E413" s="31"/>
      <c r="F413" s="22"/>
      <c r="G413" s="36" t="str">
        <f aca="false">IF(OR($A413="",$D413&lt;&gt;"تسليم",NOT(ISNUMBER($E413))),"",COUNTIFS($A$5:$A$1504,$A413,$D$5:$D$1504,"تسليم",$E$5:$E$1504,"&lt;"&amp;$E413)+1)</f>
        <v/>
      </c>
      <c r="H413" s="33" t="str">
        <f aca="false">IF($G413="","",_xlfn.MINIFS($E$5:$E$1504,$A$5:$A$1504,$A413,$D$5:$D$1504,"&lt;&gt;تسليم",$E$5:$E$1504,"&gt;="&amp;$E413))</f>
        <v/>
      </c>
      <c r="I413" s="33" t="str">
        <f aca="false">IF($G413="","",_xlfn.MINIFS($E$5:$E$1504,$A$5:$A$1504,$A413,$D$5:$D$1504,"تسليم",$E$5:$E$1504,"&gt;"&amp;$E413))</f>
        <v/>
      </c>
      <c r="J413" s="33" t="str">
        <f aca="false">IF($G413="","",IF(H413&gt;0,IF(I413&gt;0,MIN(H413,I413),H413),IF(I413&gt;0,I413,تاريخ_الاحتساب)))</f>
        <v/>
      </c>
      <c r="K413" s="34" t="str">
        <f aca="false">IF($G413="","",IF(AND(H413=0,I413=0),"جارية","مغلقة"))</f>
        <v/>
      </c>
      <c r="L413" s="26" t="str">
        <f aca="false">IF($G413="","",MAX(0,NETWORKDAYS.INTL($E413,J413,رمز_العطلة,أيام_الأجازات)-1))</f>
        <v/>
      </c>
      <c r="M413" s="26" t="str">
        <f aca="false">IF($G413="","",MAX(0,L413-مهلة_المراجعة))</f>
        <v/>
      </c>
      <c r="N413" s="30" t="str">
        <f aca="false">IF($A413="",IF(OR($D413&lt;&gt;"",$E413&lt;&gt;""),"رقم المخرج ناقص",""),IF(ISNA(MATCH($A413,قائمة_المخرجات,0)),"رقم مخرج غير موجود",IF($D413="","نوع الحركة ناقص",IF(NOT(ISNUMBER($E413)),"التاريخ ناقص",IF($E413&gt;تاريخ_الاحتساب,"تاريخ بعد تاريخ الاحتساب",IF(AND($D413&lt;&gt;"تسليم",COUNTIFS($A$5:$A$1504,$A413,$D$5:$D$1504,"تسليم",$E$5:$E$1504,"&lt;="&amp;$E413)=0),"لا يوجد تسليم قبل الحركة دي",""))))))</f>
        <v/>
      </c>
    </row>
    <row r="414" customFormat="false" ht="15" hidden="false" customHeight="false" outlineLevel="0" collapsed="false">
      <c r="A414" s="20"/>
      <c r="B414" s="35" t="str">
        <f aca="false">IF($A414="","",IFERROR(INDEX(مخرج_البند,MATCH($A414,قائمة_المخرجات,0)),""))</f>
        <v/>
      </c>
      <c r="C414" s="30" t="str">
        <f aca="false">IF($A414="","",IFERROR(INDEX(مخرج_الوصف,MATCH($A414,قائمة_المخرجات,0)),""))</f>
        <v/>
      </c>
      <c r="D414" s="20"/>
      <c r="E414" s="31"/>
      <c r="F414" s="22"/>
      <c r="G414" s="36" t="str">
        <f aca="false">IF(OR($A414="",$D414&lt;&gt;"تسليم",NOT(ISNUMBER($E414))),"",COUNTIFS($A$5:$A$1504,$A414,$D$5:$D$1504,"تسليم",$E$5:$E$1504,"&lt;"&amp;$E414)+1)</f>
        <v/>
      </c>
      <c r="H414" s="33" t="str">
        <f aca="false">IF($G414="","",_xlfn.MINIFS($E$5:$E$1504,$A$5:$A$1504,$A414,$D$5:$D$1504,"&lt;&gt;تسليم",$E$5:$E$1504,"&gt;="&amp;$E414))</f>
        <v/>
      </c>
      <c r="I414" s="33" t="str">
        <f aca="false">IF($G414="","",_xlfn.MINIFS($E$5:$E$1504,$A$5:$A$1504,$A414,$D$5:$D$1504,"تسليم",$E$5:$E$1504,"&gt;"&amp;$E414))</f>
        <v/>
      </c>
      <c r="J414" s="33" t="str">
        <f aca="false">IF($G414="","",IF(H414&gt;0,IF(I414&gt;0,MIN(H414,I414),H414),IF(I414&gt;0,I414,تاريخ_الاحتساب)))</f>
        <v/>
      </c>
      <c r="K414" s="34" t="str">
        <f aca="false">IF($G414="","",IF(AND(H414=0,I414=0),"جارية","مغلقة"))</f>
        <v/>
      </c>
      <c r="L414" s="26" t="str">
        <f aca="false">IF($G414="","",MAX(0,NETWORKDAYS.INTL($E414,J414,رمز_العطلة,أيام_الأجازات)-1))</f>
        <v/>
      </c>
      <c r="M414" s="26" t="str">
        <f aca="false">IF($G414="","",MAX(0,L414-مهلة_المراجعة))</f>
        <v/>
      </c>
      <c r="N414" s="30" t="str">
        <f aca="false">IF($A414="",IF(OR($D414&lt;&gt;"",$E414&lt;&gt;""),"رقم المخرج ناقص",""),IF(ISNA(MATCH($A414,قائمة_المخرجات,0)),"رقم مخرج غير موجود",IF($D414="","نوع الحركة ناقص",IF(NOT(ISNUMBER($E414)),"التاريخ ناقص",IF($E414&gt;تاريخ_الاحتساب,"تاريخ بعد تاريخ الاحتساب",IF(AND($D414&lt;&gt;"تسليم",COUNTIFS($A$5:$A$1504,$A414,$D$5:$D$1504,"تسليم",$E$5:$E$1504,"&lt;="&amp;$E414)=0),"لا يوجد تسليم قبل الحركة دي",""))))))</f>
        <v/>
      </c>
    </row>
    <row r="415" customFormat="false" ht="15" hidden="false" customHeight="false" outlineLevel="0" collapsed="false">
      <c r="A415" s="20"/>
      <c r="B415" s="35" t="str">
        <f aca="false">IF($A415="","",IFERROR(INDEX(مخرج_البند,MATCH($A415,قائمة_المخرجات,0)),""))</f>
        <v/>
      </c>
      <c r="C415" s="30" t="str">
        <f aca="false">IF($A415="","",IFERROR(INDEX(مخرج_الوصف,MATCH($A415,قائمة_المخرجات,0)),""))</f>
        <v/>
      </c>
      <c r="D415" s="20"/>
      <c r="E415" s="31"/>
      <c r="F415" s="22"/>
      <c r="G415" s="36" t="str">
        <f aca="false">IF(OR($A415="",$D415&lt;&gt;"تسليم",NOT(ISNUMBER($E415))),"",COUNTIFS($A$5:$A$1504,$A415,$D$5:$D$1504,"تسليم",$E$5:$E$1504,"&lt;"&amp;$E415)+1)</f>
        <v/>
      </c>
      <c r="H415" s="33" t="str">
        <f aca="false">IF($G415="","",_xlfn.MINIFS($E$5:$E$1504,$A$5:$A$1504,$A415,$D$5:$D$1504,"&lt;&gt;تسليم",$E$5:$E$1504,"&gt;="&amp;$E415))</f>
        <v/>
      </c>
      <c r="I415" s="33" t="str">
        <f aca="false">IF($G415="","",_xlfn.MINIFS($E$5:$E$1504,$A$5:$A$1504,$A415,$D$5:$D$1504,"تسليم",$E$5:$E$1504,"&gt;"&amp;$E415))</f>
        <v/>
      </c>
      <c r="J415" s="33" t="str">
        <f aca="false">IF($G415="","",IF(H415&gt;0,IF(I415&gt;0,MIN(H415,I415),H415),IF(I415&gt;0,I415,تاريخ_الاحتساب)))</f>
        <v/>
      </c>
      <c r="K415" s="34" t="str">
        <f aca="false">IF($G415="","",IF(AND(H415=0,I415=0),"جارية","مغلقة"))</f>
        <v/>
      </c>
      <c r="L415" s="26" t="str">
        <f aca="false">IF($G415="","",MAX(0,NETWORKDAYS.INTL($E415,J415,رمز_العطلة,أيام_الأجازات)-1))</f>
        <v/>
      </c>
      <c r="M415" s="26" t="str">
        <f aca="false">IF($G415="","",MAX(0,L415-مهلة_المراجعة))</f>
        <v/>
      </c>
      <c r="N415" s="30" t="str">
        <f aca="false">IF($A415="",IF(OR($D415&lt;&gt;"",$E415&lt;&gt;""),"رقم المخرج ناقص",""),IF(ISNA(MATCH($A415,قائمة_المخرجات,0)),"رقم مخرج غير موجود",IF($D415="","نوع الحركة ناقص",IF(NOT(ISNUMBER($E415)),"التاريخ ناقص",IF($E415&gt;تاريخ_الاحتساب,"تاريخ بعد تاريخ الاحتساب",IF(AND($D415&lt;&gt;"تسليم",COUNTIFS($A$5:$A$1504,$A415,$D$5:$D$1504,"تسليم",$E$5:$E$1504,"&lt;="&amp;$E415)=0),"لا يوجد تسليم قبل الحركة دي",""))))))</f>
        <v/>
      </c>
    </row>
    <row r="416" customFormat="false" ht="15" hidden="false" customHeight="false" outlineLevel="0" collapsed="false">
      <c r="A416" s="20"/>
      <c r="B416" s="35" t="str">
        <f aca="false">IF($A416="","",IFERROR(INDEX(مخرج_البند,MATCH($A416,قائمة_المخرجات,0)),""))</f>
        <v/>
      </c>
      <c r="C416" s="30" t="str">
        <f aca="false">IF($A416="","",IFERROR(INDEX(مخرج_الوصف,MATCH($A416,قائمة_المخرجات,0)),""))</f>
        <v/>
      </c>
      <c r="D416" s="20"/>
      <c r="E416" s="31"/>
      <c r="F416" s="22"/>
      <c r="G416" s="36" t="str">
        <f aca="false">IF(OR($A416="",$D416&lt;&gt;"تسليم",NOT(ISNUMBER($E416))),"",COUNTIFS($A$5:$A$1504,$A416,$D$5:$D$1504,"تسليم",$E$5:$E$1504,"&lt;"&amp;$E416)+1)</f>
        <v/>
      </c>
      <c r="H416" s="33" t="str">
        <f aca="false">IF($G416="","",_xlfn.MINIFS($E$5:$E$1504,$A$5:$A$1504,$A416,$D$5:$D$1504,"&lt;&gt;تسليم",$E$5:$E$1504,"&gt;="&amp;$E416))</f>
        <v/>
      </c>
      <c r="I416" s="33" t="str">
        <f aca="false">IF($G416="","",_xlfn.MINIFS($E$5:$E$1504,$A$5:$A$1504,$A416,$D$5:$D$1504,"تسليم",$E$5:$E$1504,"&gt;"&amp;$E416))</f>
        <v/>
      </c>
      <c r="J416" s="33" t="str">
        <f aca="false">IF($G416="","",IF(H416&gt;0,IF(I416&gt;0,MIN(H416,I416),H416),IF(I416&gt;0,I416,تاريخ_الاحتساب)))</f>
        <v/>
      </c>
      <c r="K416" s="34" t="str">
        <f aca="false">IF($G416="","",IF(AND(H416=0,I416=0),"جارية","مغلقة"))</f>
        <v/>
      </c>
      <c r="L416" s="26" t="str">
        <f aca="false">IF($G416="","",MAX(0,NETWORKDAYS.INTL($E416,J416,رمز_العطلة,أيام_الأجازات)-1))</f>
        <v/>
      </c>
      <c r="M416" s="26" t="str">
        <f aca="false">IF($G416="","",MAX(0,L416-مهلة_المراجعة))</f>
        <v/>
      </c>
      <c r="N416" s="30" t="str">
        <f aca="false">IF($A416="",IF(OR($D416&lt;&gt;"",$E416&lt;&gt;""),"رقم المخرج ناقص",""),IF(ISNA(MATCH($A416,قائمة_المخرجات,0)),"رقم مخرج غير موجود",IF($D416="","نوع الحركة ناقص",IF(NOT(ISNUMBER($E416)),"التاريخ ناقص",IF($E416&gt;تاريخ_الاحتساب,"تاريخ بعد تاريخ الاحتساب",IF(AND($D416&lt;&gt;"تسليم",COUNTIFS($A$5:$A$1504,$A416,$D$5:$D$1504,"تسليم",$E$5:$E$1504,"&lt;="&amp;$E416)=0),"لا يوجد تسليم قبل الحركة دي",""))))))</f>
        <v/>
      </c>
    </row>
    <row r="417" customFormat="false" ht="15" hidden="false" customHeight="false" outlineLevel="0" collapsed="false">
      <c r="A417" s="20"/>
      <c r="B417" s="35" t="str">
        <f aca="false">IF($A417="","",IFERROR(INDEX(مخرج_البند,MATCH($A417,قائمة_المخرجات,0)),""))</f>
        <v/>
      </c>
      <c r="C417" s="30" t="str">
        <f aca="false">IF($A417="","",IFERROR(INDEX(مخرج_الوصف,MATCH($A417,قائمة_المخرجات,0)),""))</f>
        <v/>
      </c>
      <c r="D417" s="20"/>
      <c r="E417" s="31"/>
      <c r="F417" s="22"/>
      <c r="G417" s="36" t="str">
        <f aca="false">IF(OR($A417="",$D417&lt;&gt;"تسليم",NOT(ISNUMBER($E417))),"",COUNTIFS($A$5:$A$1504,$A417,$D$5:$D$1504,"تسليم",$E$5:$E$1504,"&lt;"&amp;$E417)+1)</f>
        <v/>
      </c>
      <c r="H417" s="33" t="str">
        <f aca="false">IF($G417="","",_xlfn.MINIFS($E$5:$E$1504,$A$5:$A$1504,$A417,$D$5:$D$1504,"&lt;&gt;تسليم",$E$5:$E$1504,"&gt;="&amp;$E417))</f>
        <v/>
      </c>
      <c r="I417" s="33" t="str">
        <f aca="false">IF($G417="","",_xlfn.MINIFS($E$5:$E$1504,$A$5:$A$1504,$A417,$D$5:$D$1504,"تسليم",$E$5:$E$1504,"&gt;"&amp;$E417))</f>
        <v/>
      </c>
      <c r="J417" s="33" t="str">
        <f aca="false">IF($G417="","",IF(H417&gt;0,IF(I417&gt;0,MIN(H417,I417),H417),IF(I417&gt;0,I417,تاريخ_الاحتساب)))</f>
        <v/>
      </c>
      <c r="K417" s="34" t="str">
        <f aca="false">IF($G417="","",IF(AND(H417=0,I417=0),"جارية","مغلقة"))</f>
        <v/>
      </c>
      <c r="L417" s="26" t="str">
        <f aca="false">IF($G417="","",MAX(0,NETWORKDAYS.INTL($E417,J417,رمز_العطلة,أيام_الأجازات)-1))</f>
        <v/>
      </c>
      <c r="M417" s="26" t="str">
        <f aca="false">IF($G417="","",MAX(0,L417-مهلة_المراجعة))</f>
        <v/>
      </c>
      <c r="N417" s="30" t="str">
        <f aca="false">IF($A417="",IF(OR($D417&lt;&gt;"",$E417&lt;&gt;""),"رقم المخرج ناقص",""),IF(ISNA(MATCH($A417,قائمة_المخرجات,0)),"رقم مخرج غير موجود",IF($D417="","نوع الحركة ناقص",IF(NOT(ISNUMBER($E417)),"التاريخ ناقص",IF($E417&gt;تاريخ_الاحتساب,"تاريخ بعد تاريخ الاحتساب",IF(AND($D417&lt;&gt;"تسليم",COUNTIFS($A$5:$A$1504,$A417,$D$5:$D$1504,"تسليم",$E$5:$E$1504,"&lt;="&amp;$E417)=0),"لا يوجد تسليم قبل الحركة دي",""))))))</f>
        <v/>
      </c>
    </row>
    <row r="418" customFormat="false" ht="15" hidden="false" customHeight="false" outlineLevel="0" collapsed="false">
      <c r="A418" s="20"/>
      <c r="B418" s="35" t="str">
        <f aca="false">IF($A418="","",IFERROR(INDEX(مخرج_البند,MATCH($A418,قائمة_المخرجات,0)),""))</f>
        <v/>
      </c>
      <c r="C418" s="30" t="str">
        <f aca="false">IF($A418="","",IFERROR(INDEX(مخرج_الوصف,MATCH($A418,قائمة_المخرجات,0)),""))</f>
        <v/>
      </c>
      <c r="D418" s="20"/>
      <c r="E418" s="31"/>
      <c r="F418" s="22"/>
      <c r="G418" s="36" t="str">
        <f aca="false">IF(OR($A418="",$D418&lt;&gt;"تسليم",NOT(ISNUMBER($E418))),"",COUNTIFS($A$5:$A$1504,$A418,$D$5:$D$1504,"تسليم",$E$5:$E$1504,"&lt;"&amp;$E418)+1)</f>
        <v/>
      </c>
      <c r="H418" s="33" t="str">
        <f aca="false">IF($G418="","",_xlfn.MINIFS($E$5:$E$1504,$A$5:$A$1504,$A418,$D$5:$D$1504,"&lt;&gt;تسليم",$E$5:$E$1504,"&gt;="&amp;$E418))</f>
        <v/>
      </c>
      <c r="I418" s="33" t="str">
        <f aca="false">IF($G418="","",_xlfn.MINIFS($E$5:$E$1504,$A$5:$A$1504,$A418,$D$5:$D$1504,"تسليم",$E$5:$E$1504,"&gt;"&amp;$E418))</f>
        <v/>
      </c>
      <c r="J418" s="33" t="str">
        <f aca="false">IF($G418="","",IF(H418&gt;0,IF(I418&gt;0,MIN(H418,I418),H418),IF(I418&gt;0,I418,تاريخ_الاحتساب)))</f>
        <v/>
      </c>
      <c r="K418" s="34" t="str">
        <f aca="false">IF($G418="","",IF(AND(H418=0,I418=0),"جارية","مغلقة"))</f>
        <v/>
      </c>
      <c r="L418" s="26" t="str">
        <f aca="false">IF($G418="","",MAX(0,NETWORKDAYS.INTL($E418,J418,رمز_العطلة,أيام_الأجازات)-1))</f>
        <v/>
      </c>
      <c r="M418" s="26" t="str">
        <f aca="false">IF($G418="","",MAX(0,L418-مهلة_المراجعة))</f>
        <v/>
      </c>
      <c r="N418" s="30" t="str">
        <f aca="false">IF($A418="",IF(OR($D418&lt;&gt;"",$E418&lt;&gt;""),"رقم المخرج ناقص",""),IF(ISNA(MATCH($A418,قائمة_المخرجات,0)),"رقم مخرج غير موجود",IF($D418="","نوع الحركة ناقص",IF(NOT(ISNUMBER($E418)),"التاريخ ناقص",IF($E418&gt;تاريخ_الاحتساب,"تاريخ بعد تاريخ الاحتساب",IF(AND($D418&lt;&gt;"تسليم",COUNTIFS($A$5:$A$1504,$A418,$D$5:$D$1504,"تسليم",$E$5:$E$1504,"&lt;="&amp;$E418)=0),"لا يوجد تسليم قبل الحركة دي",""))))))</f>
        <v/>
      </c>
    </row>
    <row r="419" customFormat="false" ht="15" hidden="false" customHeight="false" outlineLevel="0" collapsed="false">
      <c r="A419" s="20"/>
      <c r="B419" s="35" t="str">
        <f aca="false">IF($A419="","",IFERROR(INDEX(مخرج_البند,MATCH($A419,قائمة_المخرجات,0)),""))</f>
        <v/>
      </c>
      <c r="C419" s="30" t="str">
        <f aca="false">IF($A419="","",IFERROR(INDEX(مخرج_الوصف,MATCH($A419,قائمة_المخرجات,0)),""))</f>
        <v/>
      </c>
      <c r="D419" s="20"/>
      <c r="E419" s="31"/>
      <c r="F419" s="22"/>
      <c r="G419" s="36" t="str">
        <f aca="false">IF(OR($A419="",$D419&lt;&gt;"تسليم",NOT(ISNUMBER($E419))),"",COUNTIFS($A$5:$A$1504,$A419,$D$5:$D$1504,"تسليم",$E$5:$E$1504,"&lt;"&amp;$E419)+1)</f>
        <v/>
      </c>
      <c r="H419" s="33" t="str">
        <f aca="false">IF($G419="","",_xlfn.MINIFS($E$5:$E$1504,$A$5:$A$1504,$A419,$D$5:$D$1504,"&lt;&gt;تسليم",$E$5:$E$1504,"&gt;="&amp;$E419))</f>
        <v/>
      </c>
      <c r="I419" s="33" t="str">
        <f aca="false">IF($G419="","",_xlfn.MINIFS($E$5:$E$1504,$A$5:$A$1504,$A419,$D$5:$D$1504,"تسليم",$E$5:$E$1504,"&gt;"&amp;$E419))</f>
        <v/>
      </c>
      <c r="J419" s="33" t="str">
        <f aca="false">IF($G419="","",IF(H419&gt;0,IF(I419&gt;0,MIN(H419,I419),H419),IF(I419&gt;0,I419,تاريخ_الاحتساب)))</f>
        <v/>
      </c>
      <c r="K419" s="34" t="str">
        <f aca="false">IF($G419="","",IF(AND(H419=0,I419=0),"جارية","مغلقة"))</f>
        <v/>
      </c>
      <c r="L419" s="26" t="str">
        <f aca="false">IF($G419="","",MAX(0,NETWORKDAYS.INTL($E419,J419,رمز_العطلة,أيام_الأجازات)-1))</f>
        <v/>
      </c>
      <c r="M419" s="26" t="str">
        <f aca="false">IF($G419="","",MAX(0,L419-مهلة_المراجعة))</f>
        <v/>
      </c>
      <c r="N419" s="30" t="str">
        <f aca="false">IF($A419="",IF(OR($D419&lt;&gt;"",$E419&lt;&gt;""),"رقم المخرج ناقص",""),IF(ISNA(MATCH($A419,قائمة_المخرجات,0)),"رقم مخرج غير موجود",IF($D419="","نوع الحركة ناقص",IF(NOT(ISNUMBER($E419)),"التاريخ ناقص",IF($E419&gt;تاريخ_الاحتساب,"تاريخ بعد تاريخ الاحتساب",IF(AND($D419&lt;&gt;"تسليم",COUNTIFS($A$5:$A$1504,$A419,$D$5:$D$1504,"تسليم",$E$5:$E$1504,"&lt;="&amp;$E419)=0),"لا يوجد تسليم قبل الحركة دي",""))))))</f>
        <v/>
      </c>
    </row>
    <row r="420" customFormat="false" ht="15" hidden="false" customHeight="false" outlineLevel="0" collapsed="false">
      <c r="A420" s="20"/>
      <c r="B420" s="35" t="str">
        <f aca="false">IF($A420="","",IFERROR(INDEX(مخرج_البند,MATCH($A420,قائمة_المخرجات,0)),""))</f>
        <v/>
      </c>
      <c r="C420" s="30" t="str">
        <f aca="false">IF($A420="","",IFERROR(INDEX(مخرج_الوصف,MATCH($A420,قائمة_المخرجات,0)),""))</f>
        <v/>
      </c>
      <c r="D420" s="20"/>
      <c r="E420" s="31"/>
      <c r="F420" s="22"/>
      <c r="G420" s="36" t="str">
        <f aca="false">IF(OR($A420="",$D420&lt;&gt;"تسليم",NOT(ISNUMBER($E420))),"",COUNTIFS($A$5:$A$1504,$A420,$D$5:$D$1504,"تسليم",$E$5:$E$1504,"&lt;"&amp;$E420)+1)</f>
        <v/>
      </c>
      <c r="H420" s="33" t="str">
        <f aca="false">IF($G420="","",_xlfn.MINIFS($E$5:$E$1504,$A$5:$A$1504,$A420,$D$5:$D$1504,"&lt;&gt;تسليم",$E$5:$E$1504,"&gt;="&amp;$E420))</f>
        <v/>
      </c>
      <c r="I420" s="33" t="str">
        <f aca="false">IF($G420="","",_xlfn.MINIFS($E$5:$E$1504,$A$5:$A$1504,$A420,$D$5:$D$1504,"تسليم",$E$5:$E$1504,"&gt;"&amp;$E420))</f>
        <v/>
      </c>
      <c r="J420" s="33" t="str">
        <f aca="false">IF($G420="","",IF(H420&gt;0,IF(I420&gt;0,MIN(H420,I420),H420),IF(I420&gt;0,I420,تاريخ_الاحتساب)))</f>
        <v/>
      </c>
      <c r="K420" s="34" t="str">
        <f aca="false">IF($G420="","",IF(AND(H420=0,I420=0),"جارية","مغلقة"))</f>
        <v/>
      </c>
      <c r="L420" s="26" t="str">
        <f aca="false">IF($G420="","",MAX(0,NETWORKDAYS.INTL($E420,J420,رمز_العطلة,أيام_الأجازات)-1))</f>
        <v/>
      </c>
      <c r="M420" s="26" t="str">
        <f aca="false">IF($G420="","",MAX(0,L420-مهلة_المراجعة))</f>
        <v/>
      </c>
      <c r="N420" s="30" t="str">
        <f aca="false">IF($A420="",IF(OR($D420&lt;&gt;"",$E420&lt;&gt;""),"رقم المخرج ناقص",""),IF(ISNA(MATCH($A420,قائمة_المخرجات,0)),"رقم مخرج غير موجود",IF($D420="","نوع الحركة ناقص",IF(NOT(ISNUMBER($E420)),"التاريخ ناقص",IF($E420&gt;تاريخ_الاحتساب,"تاريخ بعد تاريخ الاحتساب",IF(AND($D420&lt;&gt;"تسليم",COUNTIFS($A$5:$A$1504,$A420,$D$5:$D$1504,"تسليم",$E$5:$E$1504,"&lt;="&amp;$E420)=0),"لا يوجد تسليم قبل الحركة دي",""))))))</f>
        <v/>
      </c>
    </row>
    <row r="421" customFormat="false" ht="15" hidden="false" customHeight="false" outlineLevel="0" collapsed="false">
      <c r="A421" s="20"/>
      <c r="B421" s="35" t="str">
        <f aca="false">IF($A421="","",IFERROR(INDEX(مخرج_البند,MATCH($A421,قائمة_المخرجات,0)),""))</f>
        <v/>
      </c>
      <c r="C421" s="30" t="str">
        <f aca="false">IF($A421="","",IFERROR(INDEX(مخرج_الوصف,MATCH($A421,قائمة_المخرجات,0)),""))</f>
        <v/>
      </c>
      <c r="D421" s="20"/>
      <c r="E421" s="31"/>
      <c r="F421" s="22"/>
      <c r="G421" s="36" t="str">
        <f aca="false">IF(OR($A421="",$D421&lt;&gt;"تسليم",NOT(ISNUMBER($E421))),"",COUNTIFS($A$5:$A$1504,$A421,$D$5:$D$1504,"تسليم",$E$5:$E$1504,"&lt;"&amp;$E421)+1)</f>
        <v/>
      </c>
      <c r="H421" s="33" t="str">
        <f aca="false">IF($G421="","",_xlfn.MINIFS($E$5:$E$1504,$A$5:$A$1504,$A421,$D$5:$D$1504,"&lt;&gt;تسليم",$E$5:$E$1504,"&gt;="&amp;$E421))</f>
        <v/>
      </c>
      <c r="I421" s="33" t="str">
        <f aca="false">IF($G421="","",_xlfn.MINIFS($E$5:$E$1504,$A$5:$A$1504,$A421,$D$5:$D$1504,"تسليم",$E$5:$E$1504,"&gt;"&amp;$E421))</f>
        <v/>
      </c>
      <c r="J421" s="33" t="str">
        <f aca="false">IF($G421="","",IF(H421&gt;0,IF(I421&gt;0,MIN(H421,I421),H421),IF(I421&gt;0,I421,تاريخ_الاحتساب)))</f>
        <v/>
      </c>
      <c r="K421" s="34" t="str">
        <f aca="false">IF($G421="","",IF(AND(H421=0,I421=0),"جارية","مغلقة"))</f>
        <v/>
      </c>
      <c r="L421" s="26" t="str">
        <f aca="false">IF($G421="","",MAX(0,NETWORKDAYS.INTL($E421,J421,رمز_العطلة,أيام_الأجازات)-1))</f>
        <v/>
      </c>
      <c r="M421" s="26" t="str">
        <f aca="false">IF($G421="","",MAX(0,L421-مهلة_المراجعة))</f>
        <v/>
      </c>
      <c r="N421" s="30" t="str">
        <f aca="false">IF($A421="",IF(OR($D421&lt;&gt;"",$E421&lt;&gt;""),"رقم المخرج ناقص",""),IF(ISNA(MATCH($A421,قائمة_المخرجات,0)),"رقم مخرج غير موجود",IF($D421="","نوع الحركة ناقص",IF(NOT(ISNUMBER($E421)),"التاريخ ناقص",IF($E421&gt;تاريخ_الاحتساب,"تاريخ بعد تاريخ الاحتساب",IF(AND($D421&lt;&gt;"تسليم",COUNTIFS($A$5:$A$1504,$A421,$D$5:$D$1504,"تسليم",$E$5:$E$1504,"&lt;="&amp;$E421)=0),"لا يوجد تسليم قبل الحركة دي",""))))))</f>
        <v/>
      </c>
    </row>
    <row r="422" customFormat="false" ht="15" hidden="false" customHeight="false" outlineLevel="0" collapsed="false">
      <c r="A422" s="20"/>
      <c r="B422" s="35" t="str">
        <f aca="false">IF($A422="","",IFERROR(INDEX(مخرج_البند,MATCH($A422,قائمة_المخرجات,0)),""))</f>
        <v/>
      </c>
      <c r="C422" s="30" t="str">
        <f aca="false">IF($A422="","",IFERROR(INDEX(مخرج_الوصف,MATCH($A422,قائمة_المخرجات,0)),""))</f>
        <v/>
      </c>
      <c r="D422" s="20"/>
      <c r="E422" s="31"/>
      <c r="F422" s="22"/>
      <c r="G422" s="36" t="str">
        <f aca="false">IF(OR($A422="",$D422&lt;&gt;"تسليم",NOT(ISNUMBER($E422))),"",COUNTIFS($A$5:$A$1504,$A422,$D$5:$D$1504,"تسليم",$E$5:$E$1504,"&lt;"&amp;$E422)+1)</f>
        <v/>
      </c>
      <c r="H422" s="33" t="str">
        <f aca="false">IF($G422="","",_xlfn.MINIFS($E$5:$E$1504,$A$5:$A$1504,$A422,$D$5:$D$1504,"&lt;&gt;تسليم",$E$5:$E$1504,"&gt;="&amp;$E422))</f>
        <v/>
      </c>
      <c r="I422" s="33" t="str">
        <f aca="false">IF($G422="","",_xlfn.MINIFS($E$5:$E$1504,$A$5:$A$1504,$A422,$D$5:$D$1504,"تسليم",$E$5:$E$1504,"&gt;"&amp;$E422))</f>
        <v/>
      </c>
      <c r="J422" s="33" t="str">
        <f aca="false">IF($G422="","",IF(H422&gt;0,IF(I422&gt;0,MIN(H422,I422),H422),IF(I422&gt;0,I422,تاريخ_الاحتساب)))</f>
        <v/>
      </c>
      <c r="K422" s="34" t="str">
        <f aca="false">IF($G422="","",IF(AND(H422=0,I422=0),"جارية","مغلقة"))</f>
        <v/>
      </c>
      <c r="L422" s="26" t="str">
        <f aca="false">IF($G422="","",MAX(0,NETWORKDAYS.INTL($E422,J422,رمز_العطلة,أيام_الأجازات)-1))</f>
        <v/>
      </c>
      <c r="M422" s="26" t="str">
        <f aca="false">IF($G422="","",MAX(0,L422-مهلة_المراجعة))</f>
        <v/>
      </c>
      <c r="N422" s="30" t="str">
        <f aca="false">IF($A422="",IF(OR($D422&lt;&gt;"",$E422&lt;&gt;""),"رقم المخرج ناقص",""),IF(ISNA(MATCH($A422,قائمة_المخرجات,0)),"رقم مخرج غير موجود",IF($D422="","نوع الحركة ناقص",IF(NOT(ISNUMBER($E422)),"التاريخ ناقص",IF($E422&gt;تاريخ_الاحتساب,"تاريخ بعد تاريخ الاحتساب",IF(AND($D422&lt;&gt;"تسليم",COUNTIFS($A$5:$A$1504,$A422,$D$5:$D$1504,"تسليم",$E$5:$E$1504,"&lt;="&amp;$E422)=0),"لا يوجد تسليم قبل الحركة دي",""))))))</f>
        <v/>
      </c>
    </row>
    <row r="423" customFormat="false" ht="15" hidden="false" customHeight="false" outlineLevel="0" collapsed="false">
      <c r="A423" s="20"/>
      <c r="B423" s="35" t="str">
        <f aca="false">IF($A423="","",IFERROR(INDEX(مخرج_البند,MATCH($A423,قائمة_المخرجات,0)),""))</f>
        <v/>
      </c>
      <c r="C423" s="30" t="str">
        <f aca="false">IF($A423="","",IFERROR(INDEX(مخرج_الوصف,MATCH($A423,قائمة_المخرجات,0)),""))</f>
        <v/>
      </c>
      <c r="D423" s="20"/>
      <c r="E423" s="31"/>
      <c r="F423" s="22"/>
      <c r="G423" s="36" t="str">
        <f aca="false">IF(OR($A423="",$D423&lt;&gt;"تسليم",NOT(ISNUMBER($E423))),"",COUNTIFS($A$5:$A$1504,$A423,$D$5:$D$1504,"تسليم",$E$5:$E$1504,"&lt;"&amp;$E423)+1)</f>
        <v/>
      </c>
      <c r="H423" s="33" t="str">
        <f aca="false">IF($G423="","",_xlfn.MINIFS($E$5:$E$1504,$A$5:$A$1504,$A423,$D$5:$D$1504,"&lt;&gt;تسليم",$E$5:$E$1504,"&gt;="&amp;$E423))</f>
        <v/>
      </c>
      <c r="I423" s="33" t="str">
        <f aca="false">IF($G423="","",_xlfn.MINIFS($E$5:$E$1504,$A$5:$A$1504,$A423,$D$5:$D$1504,"تسليم",$E$5:$E$1504,"&gt;"&amp;$E423))</f>
        <v/>
      </c>
      <c r="J423" s="33" t="str">
        <f aca="false">IF($G423="","",IF(H423&gt;0,IF(I423&gt;0,MIN(H423,I423),H423),IF(I423&gt;0,I423,تاريخ_الاحتساب)))</f>
        <v/>
      </c>
      <c r="K423" s="34" t="str">
        <f aca="false">IF($G423="","",IF(AND(H423=0,I423=0),"جارية","مغلقة"))</f>
        <v/>
      </c>
      <c r="L423" s="26" t="str">
        <f aca="false">IF($G423="","",MAX(0,NETWORKDAYS.INTL($E423,J423,رمز_العطلة,أيام_الأجازات)-1))</f>
        <v/>
      </c>
      <c r="M423" s="26" t="str">
        <f aca="false">IF($G423="","",MAX(0,L423-مهلة_المراجعة))</f>
        <v/>
      </c>
      <c r="N423" s="30" t="str">
        <f aca="false">IF($A423="",IF(OR($D423&lt;&gt;"",$E423&lt;&gt;""),"رقم المخرج ناقص",""),IF(ISNA(MATCH($A423,قائمة_المخرجات,0)),"رقم مخرج غير موجود",IF($D423="","نوع الحركة ناقص",IF(NOT(ISNUMBER($E423)),"التاريخ ناقص",IF($E423&gt;تاريخ_الاحتساب,"تاريخ بعد تاريخ الاحتساب",IF(AND($D423&lt;&gt;"تسليم",COUNTIFS($A$5:$A$1504,$A423,$D$5:$D$1504,"تسليم",$E$5:$E$1504,"&lt;="&amp;$E423)=0),"لا يوجد تسليم قبل الحركة دي",""))))))</f>
        <v/>
      </c>
    </row>
    <row r="424" customFormat="false" ht="15" hidden="false" customHeight="false" outlineLevel="0" collapsed="false">
      <c r="A424" s="20"/>
      <c r="B424" s="35" t="str">
        <f aca="false">IF($A424="","",IFERROR(INDEX(مخرج_البند,MATCH($A424,قائمة_المخرجات,0)),""))</f>
        <v/>
      </c>
      <c r="C424" s="30" t="str">
        <f aca="false">IF($A424="","",IFERROR(INDEX(مخرج_الوصف,MATCH($A424,قائمة_المخرجات,0)),""))</f>
        <v/>
      </c>
      <c r="D424" s="20"/>
      <c r="E424" s="31"/>
      <c r="F424" s="22"/>
      <c r="G424" s="36" t="str">
        <f aca="false">IF(OR($A424="",$D424&lt;&gt;"تسليم",NOT(ISNUMBER($E424))),"",COUNTIFS($A$5:$A$1504,$A424,$D$5:$D$1504,"تسليم",$E$5:$E$1504,"&lt;"&amp;$E424)+1)</f>
        <v/>
      </c>
      <c r="H424" s="33" t="str">
        <f aca="false">IF($G424="","",_xlfn.MINIFS($E$5:$E$1504,$A$5:$A$1504,$A424,$D$5:$D$1504,"&lt;&gt;تسليم",$E$5:$E$1504,"&gt;="&amp;$E424))</f>
        <v/>
      </c>
      <c r="I424" s="33" t="str">
        <f aca="false">IF($G424="","",_xlfn.MINIFS($E$5:$E$1504,$A$5:$A$1504,$A424,$D$5:$D$1504,"تسليم",$E$5:$E$1504,"&gt;"&amp;$E424))</f>
        <v/>
      </c>
      <c r="J424" s="33" t="str">
        <f aca="false">IF($G424="","",IF(H424&gt;0,IF(I424&gt;0,MIN(H424,I424),H424),IF(I424&gt;0,I424,تاريخ_الاحتساب)))</f>
        <v/>
      </c>
      <c r="K424" s="34" t="str">
        <f aca="false">IF($G424="","",IF(AND(H424=0,I424=0),"جارية","مغلقة"))</f>
        <v/>
      </c>
      <c r="L424" s="26" t="str">
        <f aca="false">IF($G424="","",MAX(0,NETWORKDAYS.INTL($E424,J424,رمز_العطلة,أيام_الأجازات)-1))</f>
        <v/>
      </c>
      <c r="M424" s="26" t="str">
        <f aca="false">IF($G424="","",MAX(0,L424-مهلة_المراجعة))</f>
        <v/>
      </c>
      <c r="N424" s="30" t="str">
        <f aca="false">IF($A424="",IF(OR($D424&lt;&gt;"",$E424&lt;&gt;""),"رقم المخرج ناقص",""),IF(ISNA(MATCH($A424,قائمة_المخرجات,0)),"رقم مخرج غير موجود",IF($D424="","نوع الحركة ناقص",IF(NOT(ISNUMBER($E424)),"التاريخ ناقص",IF($E424&gt;تاريخ_الاحتساب,"تاريخ بعد تاريخ الاحتساب",IF(AND($D424&lt;&gt;"تسليم",COUNTIFS($A$5:$A$1504,$A424,$D$5:$D$1504,"تسليم",$E$5:$E$1504,"&lt;="&amp;$E424)=0),"لا يوجد تسليم قبل الحركة دي",""))))))</f>
        <v/>
      </c>
    </row>
    <row r="425" customFormat="false" ht="15" hidden="false" customHeight="false" outlineLevel="0" collapsed="false">
      <c r="A425" s="20"/>
      <c r="B425" s="35" t="str">
        <f aca="false">IF($A425="","",IFERROR(INDEX(مخرج_البند,MATCH($A425,قائمة_المخرجات,0)),""))</f>
        <v/>
      </c>
      <c r="C425" s="30" t="str">
        <f aca="false">IF($A425="","",IFERROR(INDEX(مخرج_الوصف,MATCH($A425,قائمة_المخرجات,0)),""))</f>
        <v/>
      </c>
      <c r="D425" s="20"/>
      <c r="E425" s="31"/>
      <c r="F425" s="22"/>
      <c r="G425" s="36" t="str">
        <f aca="false">IF(OR($A425="",$D425&lt;&gt;"تسليم",NOT(ISNUMBER($E425))),"",COUNTIFS($A$5:$A$1504,$A425,$D$5:$D$1504,"تسليم",$E$5:$E$1504,"&lt;"&amp;$E425)+1)</f>
        <v/>
      </c>
      <c r="H425" s="33" t="str">
        <f aca="false">IF($G425="","",_xlfn.MINIFS($E$5:$E$1504,$A$5:$A$1504,$A425,$D$5:$D$1504,"&lt;&gt;تسليم",$E$5:$E$1504,"&gt;="&amp;$E425))</f>
        <v/>
      </c>
      <c r="I425" s="33" t="str">
        <f aca="false">IF($G425="","",_xlfn.MINIFS($E$5:$E$1504,$A$5:$A$1504,$A425,$D$5:$D$1504,"تسليم",$E$5:$E$1504,"&gt;"&amp;$E425))</f>
        <v/>
      </c>
      <c r="J425" s="33" t="str">
        <f aca="false">IF($G425="","",IF(H425&gt;0,IF(I425&gt;0,MIN(H425,I425),H425),IF(I425&gt;0,I425,تاريخ_الاحتساب)))</f>
        <v/>
      </c>
      <c r="K425" s="34" t="str">
        <f aca="false">IF($G425="","",IF(AND(H425=0,I425=0),"جارية","مغلقة"))</f>
        <v/>
      </c>
      <c r="L425" s="26" t="str">
        <f aca="false">IF($G425="","",MAX(0,NETWORKDAYS.INTL($E425,J425,رمز_العطلة,أيام_الأجازات)-1))</f>
        <v/>
      </c>
      <c r="M425" s="26" t="str">
        <f aca="false">IF($G425="","",MAX(0,L425-مهلة_المراجعة))</f>
        <v/>
      </c>
      <c r="N425" s="30" t="str">
        <f aca="false">IF($A425="",IF(OR($D425&lt;&gt;"",$E425&lt;&gt;""),"رقم المخرج ناقص",""),IF(ISNA(MATCH($A425,قائمة_المخرجات,0)),"رقم مخرج غير موجود",IF($D425="","نوع الحركة ناقص",IF(NOT(ISNUMBER($E425)),"التاريخ ناقص",IF($E425&gt;تاريخ_الاحتساب,"تاريخ بعد تاريخ الاحتساب",IF(AND($D425&lt;&gt;"تسليم",COUNTIFS($A$5:$A$1504,$A425,$D$5:$D$1504,"تسليم",$E$5:$E$1504,"&lt;="&amp;$E425)=0),"لا يوجد تسليم قبل الحركة دي",""))))))</f>
        <v/>
      </c>
    </row>
    <row r="426" customFormat="false" ht="15" hidden="false" customHeight="false" outlineLevel="0" collapsed="false">
      <c r="A426" s="20"/>
      <c r="B426" s="35" t="str">
        <f aca="false">IF($A426="","",IFERROR(INDEX(مخرج_البند,MATCH($A426,قائمة_المخرجات,0)),""))</f>
        <v/>
      </c>
      <c r="C426" s="30" t="str">
        <f aca="false">IF($A426="","",IFERROR(INDEX(مخرج_الوصف,MATCH($A426,قائمة_المخرجات,0)),""))</f>
        <v/>
      </c>
      <c r="D426" s="20"/>
      <c r="E426" s="31"/>
      <c r="F426" s="22"/>
      <c r="G426" s="36" t="str">
        <f aca="false">IF(OR($A426="",$D426&lt;&gt;"تسليم",NOT(ISNUMBER($E426))),"",COUNTIFS($A$5:$A$1504,$A426,$D$5:$D$1504,"تسليم",$E$5:$E$1504,"&lt;"&amp;$E426)+1)</f>
        <v/>
      </c>
      <c r="H426" s="33" t="str">
        <f aca="false">IF($G426="","",_xlfn.MINIFS($E$5:$E$1504,$A$5:$A$1504,$A426,$D$5:$D$1504,"&lt;&gt;تسليم",$E$5:$E$1504,"&gt;="&amp;$E426))</f>
        <v/>
      </c>
      <c r="I426" s="33" t="str">
        <f aca="false">IF($G426="","",_xlfn.MINIFS($E$5:$E$1504,$A$5:$A$1504,$A426,$D$5:$D$1504,"تسليم",$E$5:$E$1504,"&gt;"&amp;$E426))</f>
        <v/>
      </c>
      <c r="J426" s="33" t="str">
        <f aca="false">IF($G426="","",IF(H426&gt;0,IF(I426&gt;0,MIN(H426,I426),H426),IF(I426&gt;0,I426,تاريخ_الاحتساب)))</f>
        <v/>
      </c>
      <c r="K426" s="34" t="str">
        <f aca="false">IF($G426="","",IF(AND(H426=0,I426=0),"جارية","مغلقة"))</f>
        <v/>
      </c>
      <c r="L426" s="26" t="str">
        <f aca="false">IF($G426="","",MAX(0,NETWORKDAYS.INTL($E426,J426,رمز_العطلة,أيام_الأجازات)-1))</f>
        <v/>
      </c>
      <c r="M426" s="26" t="str">
        <f aca="false">IF($G426="","",MAX(0,L426-مهلة_المراجعة))</f>
        <v/>
      </c>
      <c r="N426" s="30" t="str">
        <f aca="false">IF($A426="",IF(OR($D426&lt;&gt;"",$E426&lt;&gt;""),"رقم المخرج ناقص",""),IF(ISNA(MATCH($A426,قائمة_المخرجات,0)),"رقم مخرج غير موجود",IF($D426="","نوع الحركة ناقص",IF(NOT(ISNUMBER($E426)),"التاريخ ناقص",IF($E426&gt;تاريخ_الاحتساب,"تاريخ بعد تاريخ الاحتساب",IF(AND($D426&lt;&gt;"تسليم",COUNTIFS($A$5:$A$1504,$A426,$D$5:$D$1504,"تسليم",$E$5:$E$1504,"&lt;="&amp;$E426)=0),"لا يوجد تسليم قبل الحركة دي",""))))))</f>
        <v/>
      </c>
    </row>
    <row r="427" customFormat="false" ht="15" hidden="false" customHeight="false" outlineLevel="0" collapsed="false">
      <c r="A427" s="20"/>
      <c r="B427" s="35" t="str">
        <f aca="false">IF($A427="","",IFERROR(INDEX(مخرج_البند,MATCH($A427,قائمة_المخرجات,0)),""))</f>
        <v/>
      </c>
      <c r="C427" s="30" t="str">
        <f aca="false">IF($A427="","",IFERROR(INDEX(مخرج_الوصف,MATCH($A427,قائمة_المخرجات,0)),""))</f>
        <v/>
      </c>
      <c r="D427" s="20"/>
      <c r="E427" s="31"/>
      <c r="F427" s="22"/>
      <c r="G427" s="36" t="str">
        <f aca="false">IF(OR($A427="",$D427&lt;&gt;"تسليم",NOT(ISNUMBER($E427))),"",COUNTIFS($A$5:$A$1504,$A427,$D$5:$D$1504,"تسليم",$E$5:$E$1504,"&lt;"&amp;$E427)+1)</f>
        <v/>
      </c>
      <c r="H427" s="33" t="str">
        <f aca="false">IF($G427="","",_xlfn.MINIFS($E$5:$E$1504,$A$5:$A$1504,$A427,$D$5:$D$1504,"&lt;&gt;تسليم",$E$5:$E$1504,"&gt;="&amp;$E427))</f>
        <v/>
      </c>
      <c r="I427" s="33" t="str">
        <f aca="false">IF($G427="","",_xlfn.MINIFS($E$5:$E$1504,$A$5:$A$1504,$A427,$D$5:$D$1504,"تسليم",$E$5:$E$1504,"&gt;"&amp;$E427))</f>
        <v/>
      </c>
      <c r="J427" s="33" t="str">
        <f aca="false">IF($G427="","",IF(H427&gt;0,IF(I427&gt;0,MIN(H427,I427),H427),IF(I427&gt;0,I427,تاريخ_الاحتساب)))</f>
        <v/>
      </c>
      <c r="K427" s="34" t="str">
        <f aca="false">IF($G427="","",IF(AND(H427=0,I427=0),"جارية","مغلقة"))</f>
        <v/>
      </c>
      <c r="L427" s="26" t="str">
        <f aca="false">IF($G427="","",MAX(0,NETWORKDAYS.INTL($E427,J427,رمز_العطلة,أيام_الأجازات)-1))</f>
        <v/>
      </c>
      <c r="M427" s="26" t="str">
        <f aca="false">IF($G427="","",MAX(0,L427-مهلة_المراجعة))</f>
        <v/>
      </c>
      <c r="N427" s="30" t="str">
        <f aca="false">IF($A427="",IF(OR($D427&lt;&gt;"",$E427&lt;&gt;""),"رقم المخرج ناقص",""),IF(ISNA(MATCH($A427,قائمة_المخرجات,0)),"رقم مخرج غير موجود",IF($D427="","نوع الحركة ناقص",IF(NOT(ISNUMBER($E427)),"التاريخ ناقص",IF($E427&gt;تاريخ_الاحتساب,"تاريخ بعد تاريخ الاحتساب",IF(AND($D427&lt;&gt;"تسليم",COUNTIFS($A$5:$A$1504,$A427,$D$5:$D$1504,"تسليم",$E$5:$E$1504,"&lt;="&amp;$E427)=0),"لا يوجد تسليم قبل الحركة دي",""))))))</f>
        <v/>
      </c>
    </row>
    <row r="428" customFormat="false" ht="15" hidden="false" customHeight="false" outlineLevel="0" collapsed="false">
      <c r="A428" s="20"/>
      <c r="B428" s="35" t="str">
        <f aca="false">IF($A428="","",IFERROR(INDEX(مخرج_البند,MATCH($A428,قائمة_المخرجات,0)),""))</f>
        <v/>
      </c>
      <c r="C428" s="30" t="str">
        <f aca="false">IF($A428="","",IFERROR(INDEX(مخرج_الوصف,MATCH($A428,قائمة_المخرجات,0)),""))</f>
        <v/>
      </c>
      <c r="D428" s="20"/>
      <c r="E428" s="31"/>
      <c r="F428" s="22"/>
      <c r="G428" s="36" t="str">
        <f aca="false">IF(OR($A428="",$D428&lt;&gt;"تسليم",NOT(ISNUMBER($E428))),"",COUNTIFS($A$5:$A$1504,$A428,$D$5:$D$1504,"تسليم",$E$5:$E$1504,"&lt;"&amp;$E428)+1)</f>
        <v/>
      </c>
      <c r="H428" s="33" t="str">
        <f aca="false">IF($G428="","",_xlfn.MINIFS($E$5:$E$1504,$A$5:$A$1504,$A428,$D$5:$D$1504,"&lt;&gt;تسليم",$E$5:$E$1504,"&gt;="&amp;$E428))</f>
        <v/>
      </c>
      <c r="I428" s="33" t="str">
        <f aca="false">IF($G428="","",_xlfn.MINIFS($E$5:$E$1504,$A$5:$A$1504,$A428,$D$5:$D$1504,"تسليم",$E$5:$E$1504,"&gt;"&amp;$E428))</f>
        <v/>
      </c>
      <c r="J428" s="33" t="str">
        <f aca="false">IF($G428="","",IF(H428&gt;0,IF(I428&gt;0,MIN(H428,I428),H428),IF(I428&gt;0,I428,تاريخ_الاحتساب)))</f>
        <v/>
      </c>
      <c r="K428" s="34" t="str">
        <f aca="false">IF($G428="","",IF(AND(H428=0,I428=0),"جارية","مغلقة"))</f>
        <v/>
      </c>
      <c r="L428" s="26" t="str">
        <f aca="false">IF($G428="","",MAX(0,NETWORKDAYS.INTL($E428,J428,رمز_العطلة,أيام_الأجازات)-1))</f>
        <v/>
      </c>
      <c r="M428" s="26" t="str">
        <f aca="false">IF($G428="","",MAX(0,L428-مهلة_المراجعة))</f>
        <v/>
      </c>
      <c r="N428" s="30" t="str">
        <f aca="false">IF($A428="",IF(OR($D428&lt;&gt;"",$E428&lt;&gt;""),"رقم المخرج ناقص",""),IF(ISNA(MATCH($A428,قائمة_المخرجات,0)),"رقم مخرج غير موجود",IF($D428="","نوع الحركة ناقص",IF(NOT(ISNUMBER($E428)),"التاريخ ناقص",IF($E428&gt;تاريخ_الاحتساب,"تاريخ بعد تاريخ الاحتساب",IF(AND($D428&lt;&gt;"تسليم",COUNTIFS($A$5:$A$1504,$A428,$D$5:$D$1504,"تسليم",$E$5:$E$1504,"&lt;="&amp;$E428)=0),"لا يوجد تسليم قبل الحركة دي",""))))))</f>
        <v/>
      </c>
    </row>
    <row r="429" customFormat="false" ht="15" hidden="false" customHeight="false" outlineLevel="0" collapsed="false">
      <c r="A429" s="20"/>
      <c r="B429" s="35" t="str">
        <f aca="false">IF($A429="","",IFERROR(INDEX(مخرج_البند,MATCH($A429,قائمة_المخرجات,0)),""))</f>
        <v/>
      </c>
      <c r="C429" s="30" t="str">
        <f aca="false">IF($A429="","",IFERROR(INDEX(مخرج_الوصف,MATCH($A429,قائمة_المخرجات,0)),""))</f>
        <v/>
      </c>
      <c r="D429" s="20"/>
      <c r="E429" s="31"/>
      <c r="F429" s="22"/>
      <c r="G429" s="36" t="str">
        <f aca="false">IF(OR($A429="",$D429&lt;&gt;"تسليم",NOT(ISNUMBER($E429))),"",COUNTIFS($A$5:$A$1504,$A429,$D$5:$D$1504,"تسليم",$E$5:$E$1504,"&lt;"&amp;$E429)+1)</f>
        <v/>
      </c>
      <c r="H429" s="33" t="str">
        <f aca="false">IF($G429="","",_xlfn.MINIFS($E$5:$E$1504,$A$5:$A$1504,$A429,$D$5:$D$1504,"&lt;&gt;تسليم",$E$5:$E$1504,"&gt;="&amp;$E429))</f>
        <v/>
      </c>
      <c r="I429" s="33" t="str">
        <f aca="false">IF($G429="","",_xlfn.MINIFS($E$5:$E$1504,$A$5:$A$1504,$A429,$D$5:$D$1504,"تسليم",$E$5:$E$1504,"&gt;"&amp;$E429))</f>
        <v/>
      </c>
      <c r="J429" s="33" t="str">
        <f aca="false">IF($G429="","",IF(H429&gt;0,IF(I429&gt;0,MIN(H429,I429),H429),IF(I429&gt;0,I429,تاريخ_الاحتساب)))</f>
        <v/>
      </c>
      <c r="K429" s="34" t="str">
        <f aca="false">IF($G429="","",IF(AND(H429=0,I429=0),"جارية","مغلقة"))</f>
        <v/>
      </c>
      <c r="L429" s="26" t="str">
        <f aca="false">IF($G429="","",MAX(0,NETWORKDAYS.INTL($E429,J429,رمز_العطلة,أيام_الأجازات)-1))</f>
        <v/>
      </c>
      <c r="M429" s="26" t="str">
        <f aca="false">IF($G429="","",MAX(0,L429-مهلة_المراجعة))</f>
        <v/>
      </c>
      <c r="N429" s="30" t="str">
        <f aca="false">IF($A429="",IF(OR($D429&lt;&gt;"",$E429&lt;&gt;""),"رقم المخرج ناقص",""),IF(ISNA(MATCH($A429,قائمة_المخرجات,0)),"رقم مخرج غير موجود",IF($D429="","نوع الحركة ناقص",IF(NOT(ISNUMBER($E429)),"التاريخ ناقص",IF($E429&gt;تاريخ_الاحتساب,"تاريخ بعد تاريخ الاحتساب",IF(AND($D429&lt;&gt;"تسليم",COUNTIFS($A$5:$A$1504,$A429,$D$5:$D$1504,"تسليم",$E$5:$E$1504,"&lt;="&amp;$E429)=0),"لا يوجد تسليم قبل الحركة دي",""))))))</f>
        <v/>
      </c>
    </row>
    <row r="430" customFormat="false" ht="15" hidden="false" customHeight="false" outlineLevel="0" collapsed="false">
      <c r="A430" s="20"/>
      <c r="B430" s="35" t="str">
        <f aca="false">IF($A430="","",IFERROR(INDEX(مخرج_البند,MATCH($A430,قائمة_المخرجات,0)),""))</f>
        <v/>
      </c>
      <c r="C430" s="30" t="str">
        <f aca="false">IF($A430="","",IFERROR(INDEX(مخرج_الوصف,MATCH($A430,قائمة_المخرجات,0)),""))</f>
        <v/>
      </c>
      <c r="D430" s="20"/>
      <c r="E430" s="31"/>
      <c r="F430" s="22"/>
      <c r="G430" s="36" t="str">
        <f aca="false">IF(OR($A430="",$D430&lt;&gt;"تسليم",NOT(ISNUMBER($E430))),"",COUNTIFS($A$5:$A$1504,$A430,$D$5:$D$1504,"تسليم",$E$5:$E$1504,"&lt;"&amp;$E430)+1)</f>
        <v/>
      </c>
      <c r="H430" s="33" t="str">
        <f aca="false">IF($G430="","",_xlfn.MINIFS($E$5:$E$1504,$A$5:$A$1504,$A430,$D$5:$D$1504,"&lt;&gt;تسليم",$E$5:$E$1504,"&gt;="&amp;$E430))</f>
        <v/>
      </c>
      <c r="I430" s="33" t="str">
        <f aca="false">IF($G430="","",_xlfn.MINIFS($E$5:$E$1504,$A$5:$A$1504,$A430,$D$5:$D$1504,"تسليم",$E$5:$E$1504,"&gt;"&amp;$E430))</f>
        <v/>
      </c>
      <c r="J430" s="33" t="str">
        <f aca="false">IF($G430="","",IF(H430&gt;0,IF(I430&gt;0,MIN(H430,I430),H430),IF(I430&gt;0,I430,تاريخ_الاحتساب)))</f>
        <v/>
      </c>
      <c r="K430" s="34" t="str">
        <f aca="false">IF($G430="","",IF(AND(H430=0,I430=0),"جارية","مغلقة"))</f>
        <v/>
      </c>
      <c r="L430" s="26" t="str">
        <f aca="false">IF($G430="","",MAX(0,NETWORKDAYS.INTL($E430,J430,رمز_العطلة,أيام_الأجازات)-1))</f>
        <v/>
      </c>
      <c r="M430" s="26" t="str">
        <f aca="false">IF($G430="","",MAX(0,L430-مهلة_المراجعة))</f>
        <v/>
      </c>
      <c r="N430" s="30" t="str">
        <f aca="false">IF($A430="",IF(OR($D430&lt;&gt;"",$E430&lt;&gt;""),"رقم المخرج ناقص",""),IF(ISNA(MATCH($A430,قائمة_المخرجات,0)),"رقم مخرج غير موجود",IF($D430="","نوع الحركة ناقص",IF(NOT(ISNUMBER($E430)),"التاريخ ناقص",IF($E430&gt;تاريخ_الاحتساب,"تاريخ بعد تاريخ الاحتساب",IF(AND($D430&lt;&gt;"تسليم",COUNTIFS($A$5:$A$1504,$A430,$D$5:$D$1504,"تسليم",$E$5:$E$1504,"&lt;="&amp;$E430)=0),"لا يوجد تسليم قبل الحركة دي",""))))))</f>
        <v/>
      </c>
    </row>
    <row r="431" customFormat="false" ht="15" hidden="false" customHeight="false" outlineLevel="0" collapsed="false">
      <c r="A431" s="20"/>
      <c r="B431" s="35" t="str">
        <f aca="false">IF($A431="","",IFERROR(INDEX(مخرج_البند,MATCH($A431,قائمة_المخرجات,0)),""))</f>
        <v/>
      </c>
      <c r="C431" s="30" t="str">
        <f aca="false">IF($A431="","",IFERROR(INDEX(مخرج_الوصف,MATCH($A431,قائمة_المخرجات,0)),""))</f>
        <v/>
      </c>
      <c r="D431" s="20"/>
      <c r="E431" s="31"/>
      <c r="F431" s="22"/>
      <c r="G431" s="36" t="str">
        <f aca="false">IF(OR($A431="",$D431&lt;&gt;"تسليم",NOT(ISNUMBER($E431))),"",COUNTIFS($A$5:$A$1504,$A431,$D$5:$D$1504,"تسليم",$E$5:$E$1504,"&lt;"&amp;$E431)+1)</f>
        <v/>
      </c>
      <c r="H431" s="33" t="str">
        <f aca="false">IF($G431="","",_xlfn.MINIFS($E$5:$E$1504,$A$5:$A$1504,$A431,$D$5:$D$1504,"&lt;&gt;تسليم",$E$5:$E$1504,"&gt;="&amp;$E431))</f>
        <v/>
      </c>
      <c r="I431" s="33" t="str">
        <f aca="false">IF($G431="","",_xlfn.MINIFS($E$5:$E$1504,$A$5:$A$1504,$A431,$D$5:$D$1504,"تسليم",$E$5:$E$1504,"&gt;"&amp;$E431))</f>
        <v/>
      </c>
      <c r="J431" s="33" t="str">
        <f aca="false">IF($G431="","",IF(H431&gt;0,IF(I431&gt;0,MIN(H431,I431),H431),IF(I431&gt;0,I431,تاريخ_الاحتساب)))</f>
        <v/>
      </c>
      <c r="K431" s="34" t="str">
        <f aca="false">IF($G431="","",IF(AND(H431=0,I431=0),"جارية","مغلقة"))</f>
        <v/>
      </c>
      <c r="L431" s="26" t="str">
        <f aca="false">IF($G431="","",MAX(0,NETWORKDAYS.INTL($E431,J431,رمز_العطلة,أيام_الأجازات)-1))</f>
        <v/>
      </c>
      <c r="M431" s="26" t="str">
        <f aca="false">IF($G431="","",MAX(0,L431-مهلة_المراجعة))</f>
        <v/>
      </c>
      <c r="N431" s="30" t="str">
        <f aca="false">IF($A431="",IF(OR($D431&lt;&gt;"",$E431&lt;&gt;""),"رقم المخرج ناقص",""),IF(ISNA(MATCH($A431,قائمة_المخرجات,0)),"رقم مخرج غير موجود",IF($D431="","نوع الحركة ناقص",IF(NOT(ISNUMBER($E431)),"التاريخ ناقص",IF($E431&gt;تاريخ_الاحتساب,"تاريخ بعد تاريخ الاحتساب",IF(AND($D431&lt;&gt;"تسليم",COUNTIFS($A$5:$A$1504,$A431,$D$5:$D$1504,"تسليم",$E$5:$E$1504,"&lt;="&amp;$E431)=0),"لا يوجد تسليم قبل الحركة دي",""))))))</f>
        <v/>
      </c>
    </row>
    <row r="432" customFormat="false" ht="15" hidden="false" customHeight="false" outlineLevel="0" collapsed="false">
      <c r="A432" s="20"/>
      <c r="B432" s="35" t="str">
        <f aca="false">IF($A432="","",IFERROR(INDEX(مخرج_البند,MATCH($A432,قائمة_المخرجات,0)),""))</f>
        <v/>
      </c>
      <c r="C432" s="30" t="str">
        <f aca="false">IF($A432="","",IFERROR(INDEX(مخرج_الوصف,MATCH($A432,قائمة_المخرجات,0)),""))</f>
        <v/>
      </c>
      <c r="D432" s="20"/>
      <c r="E432" s="31"/>
      <c r="F432" s="22"/>
      <c r="G432" s="36" t="str">
        <f aca="false">IF(OR($A432="",$D432&lt;&gt;"تسليم",NOT(ISNUMBER($E432))),"",COUNTIFS($A$5:$A$1504,$A432,$D$5:$D$1504,"تسليم",$E$5:$E$1504,"&lt;"&amp;$E432)+1)</f>
        <v/>
      </c>
      <c r="H432" s="33" t="str">
        <f aca="false">IF($G432="","",_xlfn.MINIFS($E$5:$E$1504,$A$5:$A$1504,$A432,$D$5:$D$1504,"&lt;&gt;تسليم",$E$5:$E$1504,"&gt;="&amp;$E432))</f>
        <v/>
      </c>
      <c r="I432" s="33" t="str">
        <f aca="false">IF($G432="","",_xlfn.MINIFS($E$5:$E$1504,$A$5:$A$1504,$A432,$D$5:$D$1504,"تسليم",$E$5:$E$1504,"&gt;"&amp;$E432))</f>
        <v/>
      </c>
      <c r="J432" s="33" t="str">
        <f aca="false">IF($G432="","",IF(H432&gt;0,IF(I432&gt;0,MIN(H432,I432),H432),IF(I432&gt;0,I432,تاريخ_الاحتساب)))</f>
        <v/>
      </c>
      <c r="K432" s="34" t="str">
        <f aca="false">IF($G432="","",IF(AND(H432=0,I432=0),"جارية","مغلقة"))</f>
        <v/>
      </c>
      <c r="L432" s="26" t="str">
        <f aca="false">IF($G432="","",MAX(0,NETWORKDAYS.INTL($E432,J432,رمز_العطلة,أيام_الأجازات)-1))</f>
        <v/>
      </c>
      <c r="M432" s="26" t="str">
        <f aca="false">IF($G432="","",MAX(0,L432-مهلة_المراجعة))</f>
        <v/>
      </c>
      <c r="N432" s="30" t="str">
        <f aca="false">IF($A432="",IF(OR($D432&lt;&gt;"",$E432&lt;&gt;""),"رقم المخرج ناقص",""),IF(ISNA(MATCH($A432,قائمة_المخرجات,0)),"رقم مخرج غير موجود",IF($D432="","نوع الحركة ناقص",IF(NOT(ISNUMBER($E432)),"التاريخ ناقص",IF($E432&gt;تاريخ_الاحتساب,"تاريخ بعد تاريخ الاحتساب",IF(AND($D432&lt;&gt;"تسليم",COUNTIFS($A$5:$A$1504,$A432,$D$5:$D$1504,"تسليم",$E$5:$E$1504,"&lt;="&amp;$E432)=0),"لا يوجد تسليم قبل الحركة دي",""))))))</f>
        <v/>
      </c>
    </row>
    <row r="433" customFormat="false" ht="15" hidden="false" customHeight="false" outlineLevel="0" collapsed="false">
      <c r="A433" s="20"/>
      <c r="B433" s="35" t="str">
        <f aca="false">IF($A433="","",IFERROR(INDEX(مخرج_البند,MATCH($A433,قائمة_المخرجات,0)),""))</f>
        <v/>
      </c>
      <c r="C433" s="30" t="str">
        <f aca="false">IF($A433="","",IFERROR(INDEX(مخرج_الوصف,MATCH($A433,قائمة_المخرجات,0)),""))</f>
        <v/>
      </c>
      <c r="D433" s="20"/>
      <c r="E433" s="31"/>
      <c r="F433" s="22"/>
      <c r="G433" s="36" t="str">
        <f aca="false">IF(OR($A433="",$D433&lt;&gt;"تسليم",NOT(ISNUMBER($E433))),"",COUNTIFS($A$5:$A$1504,$A433,$D$5:$D$1504,"تسليم",$E$5:$E$1504,"&lt;"&amp;$E433)+1)</f>
        <v/>
      </c>
      <c r="H433" s="33" t="str">
        <f aca="false">IF($G433="","",_xlfn.MINIFS($E$5:$E$1504,$A$5:$A$1504,$A433,$D$5:$D$1504,"&lt;&gt;تسليم",$E$5:$E$1504,"&gt;="&amp;$E433))</f>
        <v/>
      </c>
      <c r="I433" s="33" t="str">
        <f aca="false">IF($G433="","",_xlfn.MINIFS($E$5:$E$1504,$A$5:$A$1504,$A433,$D$5:$D$1504,"تسليم",$E$5:$E$1504,"&gt;"&amp;$E433))</f>
        <v/>
      </c>
      <c r="J433" s="33" t="str">
        <f aca="false">IF($G433="","",IF(H433&gt;0,IF(I433&gt;0,MIN(H433,I433),H433),IF(I433&gt;0,I433,تاريخ_الاحتساب)))</f>
        <v/>
      </c>
      <c r="K433" s="34" t="str">
        <f aca="false">IF($G433="","",IF(AND(H433=0,I433=0),"جارية","مغلقة"))</f>
        <v/>
      </c>
      <c r="L433" s="26" t="str">
        <f aca="false">IF($G433="","",MAX(0,NETWORKDAYS.INTL($E433,J433,رمز_العطلة,أيام_الأجازات)-1))</f>
        <v/>
      </c>
      <c r="M433" s="26" t="str">
        <f aca="false">IF($G433="","",MAX(0,L433-مهلة_المراجعة))</f>
        <v/>
      </c>
      <c r="N433" s="30" t="str">
        <f aca="false">IF($A433="",IF(OR($D433&lt;&gt;"",$E433&lt;&gt;""),"رقم المخرج ناقص",""),IF(ISNA(MATCH($A433,قائمة_المخرجات,0)),"رقم مخرج غير موجود",IF($D433="","نوع الحركة ناقص",IF(NOT(ISNUMBER($E433)),"التاريخ ناقص",IF($E433&gt;تاريخ_الاحتساب,"تاريخ بعد تاريخ الاحتساب",IF(AND($D433&lt;&gt;"تسليم",COUNTIFS($A$5:$A$1504,$A433,$D$5:$D$1504,"تسليم",$E$5:$E$1504,"&lt;="&amp;$E433)=0),"لا يوجد تسليم قبل الحركة دي",""))))))</f>
        <v/>
      </c>
    </row>
    <row r="434" customFormat="false" ht="15" hidden="false" customHeight="false" outlineLevel="0" collapsed="false">
      <c r="A434" s="20"/>
      <c r="B434" s="35" t="str">
        <f aca="false">IF($A434="","",IFERROR(INDEX(مخرج_البند,MATCH($A434,قائمة_المخرجات,0)),""))</f>
        <v/>
      </c>
      <c r="C434" s="30" t="str">
        <f aca="false">IF($A434="","",IFERROR(INDEX(مخرج_الوصف,MATCH($A434,قائمة_المخرجات,0)),""))</f>
        <v/>
      </c>
      <c r="D434" s="20"/>
      <c r="E434" s="31"/>
      <c r="F434" s="22"/>
      <c r="G434" s="36" t="str">
        <f aca="false">IF(OR($A434="",$D434&lt;&gt;"تسليم",NOT(ISNUMBER($E434))),"",COUNTIFS($A$5:$A$1504,$A434,$D$5:$D$1504,"تسليم",$E$5:$E$1504,"&lt;"&amp;$E434)+1)</f>
        <v/>
      </c>
      <c r="H434" s="33" t="str">
        <f aca="false">IF($G434="","",_xlfn.MINIFS($E$5:$E$1504,$A$5:$A$1504,$A434,$D$5:$D$1504,"&lt;&gt;تسليم",$E$5:$E$1504,"&gt;="&amp;$E434))</f>
        <v/>
      </c>
      <c r="I434" s="33" t="str">
        <f aca="false">IF($G434="","",_xlfn.MINIFS($E$5:$E$1504,$A$5:$A$1504,$A434,$D$5:$D$1504,"تسليم",$E$5:$E$1504,"&gt;"&amp;$E434))</f>
        <v/>
      </c>
      <c r="J434" s="33" t="str">
        <f aca="false">IF($G434="","",IF(H434&gt;0,IF(I434&gt;0,MIN(H434,I434),H434),IF(I434&gt;0,I434,تاريخ_الاحتساب)))</f>
        <v/>
      </c>
      <c r="K434" s="34" t="str">
        <f aca="false">IF($G434="","",IF(AND(H434=0,I434=0),"جارية","مغلقة"))</f>
        <v/>
      </c>
      <c r="L434" s="26" t="str">
        <f aca="false">IF($G434="","",MAX(0,NETWORKDAYS.INTL($E434,J434,رمز_العطلة,أيام_الأجازات)-1))</f>
        <v/>
      </c>
      <c r="M434" s="26" t="str">
        <f aca="false">IF($G434="","",MAX(0,L434-مهلة_المراجعة))</f>
        <v/>
      </c>
      <c r="N434" s="30" t="str">
        <f aca="false">IF($A434="",IF(OR($D434&lt;&gt;"",$E434&lt;&gt;""),"رقم المخرج ناقص",""),IF(ISNA(MATCH($A434,قائمة_المخرجات,0)),"رقم مخرج غير موجود",IF($D434="","نوع الحركة ناقص",IF(NOT(ISNUMBER($E434)),"التاريخ ناقص",IF($E434&gt;تاريخ_الاحتساب,"تاريخ بعد تاريخ الاحتساب",IF(AND($D434&lt;&gt;"تسليم",COUNTIFS($A$5:$A$1504,$A434,$D$5:$D$1504,"تسليم",$E$5:$E$1504,"&lt;="&amp;$E434)=0),"لا يوجد تسليم قبل الحركة دي",""))))))</f>
        <v/>
      </c>
    </row>
    <row r="435" customFormat="false" ht="15" hidden="false" customHeight="false" outlineLevel="0" collapsed="false">
      <c r="A435" s="20"/>
      <c r="B435" s="35" t="str">
        <f aca="false">IF($A435="","",IFERROR(INDEX(مخرج_البند,MATCH($A435,قائمة_المخرجات,0)),""))</f>
        <v/>
      </c>
      <c r="C435" s="30" t="str">
        <f aca="false">IF($A435="","",IFERROR(INDEX(مخرج_الوصف,MATCH($A435,قائمة_المخرجات,0)),""))</f>
        <v/>
      </c>
      <c r="D435" s="20"/>
      <c r="E435" s="31"/>
      <c r="F435" s="22"/>
      <c r="G435" s="36" t="str">
        <f aca="false">IF(OR($A435="",$D435&lt;&gt;"تسليم",NOT(ISNUMBER($E435))),"",COUNTIFS($A$5:$A$1504,$A435,$D$5:$D$1504,"تسليم",$E$5:$E$1504,"&lt;"&amp;$E435)+1)</f>
        <v/>
      </c>
      <c r="H435" s="33" t="str">
        <f aca="false">IF($G435="","",_xlfn.MINIFS($E$5:$E$1504,$A$5:$A$1504,$A435,$D$5:$D$1504,"&lt;&gt;تسليم",$E$5:$E$1504,"&gt;="&amp;$E435))</f>
        <v/>
      </c>
      <c r="I435" s="33" t="str">
        <f aca="false">IF($G435="","",_xlfn.MINIFS($E$5:$E$1504,$A$5:$A$1504,$A435,$D$5:$D$1504,"تسليم",$E$5:$E$1504,"&gt;"&amp;$E435))</f>
        <v/>
      </c>
      <c r="J435" s="33" t="str">
        <f aca="false">IF($G435="","",IF(H435&gt;0,IF(I435&gt;0,MIN(H435,I435),H435),IF(I435&gt;0,I435,تاريخ_الاحتساب)))</f>
        <v/>
      </c>
      <c r="K435" s="34" t="str">
        <f aca="false">IF($G435="","",IF(AND(H435=0,I435=0),"جارية","مغلقة"))</f>
        <v/>
      </c>
      <c r="L435" s="26" t="str">
        <f aca="false">IF($G435="","",MAX(0,NETWORKDAYS.INTL($E435,J435,رمز_العطلة,أيام_الأجازات)-1))</f>
        <v/>
      </c>
      <c r="M435" s="26" t="str">
        <f aca="false">IF($G435="","",MAX(0,L435-مهلة_المراجعة))</f>
        <v/>
      </c>
      <c r="N435" s="30" t="str">
        <f aca="false">IF($A435="",IF(OR($D435&lt;&gt;"",$E435&lt;&gt;""),"رقم المخرج ناقص",""),IF(ISNA(MATCH($A435,قائمة_المخرجات,0)),"رقم مخرج غير موجود",IF($D435="","نوع الحركة ناقص",IF(NOT(ISNUMBER($E435)),"التاريخ ناقص",IF($E435&gt;تاريخ_الاحتساب,"تاريخ بعد تاريخ الاحتساب",IF(AND($D435&lt;&gt;"تسليم",COUNTIFS($A$5:$A$1504,$A435,$D$5:$D$1504,"تسليم",$E$5:$E$1504,"&lt;="&amp;$E435)=0),"لا يوجد تسليم قبل الحركة دي",""))))))</f>
        <v/>
      </c>
    </row>
    <row r="436" customFormat="false" ht="15" hidden="false" customHeight="false" outlineLevel="0" collapsed="false">
      <c r="A436" s="20"/>
      <c r="B436" s="35" t="str">
        <f aca="false">IF($A436="","",IFERROR(INDEX(مخرج_البند,MATCH($A436,قائمة_المخرجات,0)),""))</f>
        <v/>
      </c>
      <c r="C436" s="30" t="str">
        <f aca="false">IF($A436="","",IFERROR(INDEX(مخرج_الوصف,MATCH($A436,قائمة_المخرجات,0)),""))</f>
        <v/>
      </c>
      <c r="D436" s="20"/>
      <c r="E436" s="31"/>
      <c r="F436" s="22"/>
      <c r="G436" s="36" t="str">
        <f aca="false">IF(OR($A436="",$D436&lt;&gt;"تسليم",NOT(ISNUMBER($E436))),"",COUNTIFS($A$5:$A$1504,$A436,$D$5:$D$1504,"تسليم",$E$5:$E$1504,"&lt;"&amp;$E436)+1)</f>
        <v/>
      </c>
      <c r="H436" s="33" t="str">
        <f aca="false">IF($G436="","",_xlfn.MINIFS($E$5:$E$1504,$A$5:$A$1504,$A436,$D$5:$D$1504,"&lt;&gt;تسليم",$E$5:$E$1504,"&gt;="&amp;$E436))</f>
        <v/>
      </c>
      <c r="I436" s="33" t="str">
        <f aca="false">IF($G436="","",_xlfn.MINIFS($E$5:$E$1504,$A$5:$A$1504,$A436,$D$5:$D$1504,"تسليم",$E$5:$E$1504,"&gt;"&amp;$E436))</f>
        <v/>
      </c>
      <c r="J436" s="33" t="str">
        <f aca="false">IF($G436="","",IF(H436&gt;0,IF(I436&gt;0,MIN(H436,I436),H436),IF(I436&gt;0,I436,تاريخ_الاحتساب)))</f>
        <v/>
      </c>
      <c r="K436" s="34" t="str">
        <f aca="false">IF($G436="","",IF(AND(H436=0,I436=0),"جارية","مغلقة"))</f>
        <v/>
      </c>
      <c r="L436" s="26" t="str">
        <f aca="false">IF($G436="","",MAX(0,NETWORKDAYS.INTL($E436,J436,رمز_العطلة,أيام_الأجازات)-1))</f>
        <v/>
      </c>
      <c r="M436" s="26" t="str">
        <f aca="false">IF($G436="","",MAX(0,L436-مهلة_المراجعة))</f>
        <v/>
      </c>
      <c r="N436" s="30" t="str">
        <f aca="false">IF($A436="",IF(OR($D436&lt;&gt;"",$E436&lt;&gt;""),"رقم المخرج ناقص",""),IF(ISNA(MATCH($A436,قائمة_المخرجات,0)),"رقم مخرج غير موجود",IF($D436="","نوع الحركة ناقص",IF(NOT(ISNUMBER($E436)),"التاريخ ناقص",IF($E436&gt;تاريخ_الاحتساب,"تاريخ بعد تاريخ الاحتساب",IF(AND($D436&lt;&gt;"تسليم",COUNTIFS($A$5:$A$1504,$A436,$D$5:$D$1504,"تسليم",$E$5:$E$1504,"&lt;="&amp;$E436)=0),"لا يوجد تسليم قبل الحركة دي",""))))))</f>
        <v/>
      </c>
    </row>
    <row r="437" customFormat="false" ht="15" hidden="false" customHeight="false" outlineLevel="0" collapsed="false">
      <c r="A437" s="20"/>
      <c r="B437" s="35" t="str">
        <f aca="false">IF($A437="","",IFERROR(INDEX(مخرج_البند,MATCH($A437,قائمة_المخرجات,0)),""))</f>
        <v/>
      </c>
      <c r="C437" s="30" t="str">
        <f aca="false">IF($A437="","",IFERROR(INDEX(مخرج_الوصف,MATCH($A437,قائمة_المخرجات,0)),""))</f>
        <v/>
      </c>
      <c r="D437" s="20"/>
      <c r="E437" s="31"/>
      <c r="F437" s="22"/>
      <c r="G437" s="36" t="str">
        <f aca="false">IF(OR($A437="",$D437&lt;&gt;"تسليم",NOT(ISNUMBER($E437))),"",COUNTIFS($A$5:$A$1504,$A437,$D$5:$D$1504,"تسليم",$E$5:$E$1504,"&lt;"&amp;$E437)+1)</f>
        <v/>
      </c>
      <c r="H437" s="33" t="str">
        <f aca="false">IF($G437="","",_xlfn.MINIFS($E$5:$E$1504,$A$5:$A$1504,$A437,$D$5:$D$1504,"&lt;&gt;تسليم",$E$5:$E$1504,"&gt;="&amp;$E437))</f>
        <v/>
      </c>
      <c r="I437" s="33" t="str">
        <f aca="false">IF($G437="","",_xlfn.MINIFS($E$5:$E$1504,$A$5:$A$1504,$A437,$D$5:$D$1504,"تسليم",$E$5:$E$1504,"&gt;"&amp;$E437))</f>
        <v/>
      </c>
      <c r="J437" s="33" t="str">
        <f aca="false">IF($G437="","",IF(H437&gt;0,IF(I437&gt;0,MIN(H437,I437),H437),IF(I437&gt;0,I437,تاريخ_الاحتساب)))</f>
        <v/>
      </c>
      <c r="K437" s="34" t="str">
        <f aca="false">IF($G437="","",IF(AND(H437=0,I437=0),"جارية","مغلقة"))</f>
        <v/>
      </c>
      <c r="L437" s="26" t="str">
        <f aca="false">IF($G437="","",MAX(0,NETWORKDAYS.INTL($E437,J437,رمز_العطلة,أيام_الأجازات)-1))</f>
        <v/>
      </c>
      <c r="M437" s="26" t="str">
        <f aca="false">IF($G437="","",MAX(0,L437-مهلة_المراجعة))</f>
        <v/>
      </c>
      <c r="N437" s="30" t="str">
        <f aca="false">IF($A437="",IF(OR($D437&lt;&gt;"",$E437&lt;&gt;""),"رقم المخرج ناقص",""),IF(ISNA(MATCH($A437,قائمة_المخرجات,0)),"رقم مخرج غير موجود",IF($D437="","نوع الحركة ناقص",IF(NOT(ISNUMBER($E437)),"التاريخ ناقص",IF($E437&gt;تاريخ_الاحتساب,"تاريخ بعد تاريخ الاحتساب",IF(AND($D437&lt;&gt;"تسليم",COUNTIFS($A$5:$A$1504,$A437,$D$5:$D$1504,"تسليم",$E$5:$E$1504,"&lt;="&amp;$E437)=0),"لا يوجد تسليم قبل الحركة دي",""))))))</f>
        <v/>
      </c>
    </row>
    <row r="438" customFormat="false" ht="15" hidden="false" customHeight="false" outlineLevel="0" collapsed="false">
      <c r="A438" s="20"/>
      <c r="B438" s="35" t="str">
        <f aca="false">IF($A438="","",IFERROR(INDEX(مخرج_البند,MATCH($A438,قائمة_المخرجات,0)),""))</f>
        <v/>
      </c>
      <c r="C438" s="30" t="str">
        <f aca="false">IF($A438="","",IFERROR(INDEX(مخرج_الوصف,MATCH($A438,قائمة_المخرجات,0)),""))</f>
        <v/>
      </c>
      <c r="D438" s="20"/>
      <c r="E438" s="31"/>
      <c r="F438" s="22"/>
      <c r="G438" s="36" t="str">
        <f aca="false">IF(OR($A438="",$D438&lt;&gt;"تسليم",NOT(ISNUMBER($E438))),"",COUNTIFS($A$5:$A$1504,$A438,$D$5:$D$1504,"تسليم",$E$5:$E$1504,"&lt;"&amp;$E438)+1)</f>
        <v/>
      </c>
      <c r="H438" s="33" t="str">
        <f aca="false">IF($G438="","",_xlfn.MINIFS($E$5:$E$1504,$A$5:$A$1504,$A438,$D$5:$D$1504,"&lt;&gt;تسليم",$E$5:$E$1504,"&gt;="&amp;$E438))</f>
        <v/>
      </c>
      <c r="I438" s="33" t="str">
        <f aca="false">IF($G438="","",_xlfn.MINIFS($E$5:$E$1504,$A$5:$A$1504,$A438,$D$5:$D$1504,"تسليم",$E$5:$E$1504,"&gt;"&amp;$E438))</f>
        <v/>
      </c>
      <c r="J438" s="33" t="str">
        <f aca="false">IF($G438="","",IF(H438&gt;0,IF(I438&gt;0,MIN(H438,I438),H438),IF(I438&gt;0,I438,تاريخ_الاحتساب)))</f>
        <v/>
      </c>
      <c r="K438" s="34" t="str">
        <f aca="false">IF($G438="","",IF(AND(H438=0,I438=0),"جارية","مغلقة"))</f>
        <v/>
      </c>
      <c r="L438" s="26" t="str">
        <f aca="false">IF($G438="","",MAX(0,NETWORKDAYS.INTL($E438,J438,رمز_العطلة,أيام_الأجازات)-1))</f>
        <v/>
      </c>
      <c r="M438" s="26" t="str">
        <f aca="false">IF($G438="","",MAX(0,L438-مهلة_المراجعة))</f>
        <v/>
      </c>
      <c r="N438" s="30" t="str">
        <f aca="false">IF($A438="",IF(OR($D438&lt;&gt;"",$E438&lt;&gt;""),"رقم المخرج ناقص",""),IF(ISNA(MATCH($A438,قائمة_المخرجات,0)),"رقم مخرج غير موجود",IF($D438="","نوع الحركة ناقص",IF(NOT(ISNUMBER($E438)),"التاريخ ناقص",IF($E438&gt;تاريخ_الاحتساب,"تاريخ بعد تاريخ الاحتساب",IF(AND($D438&lt;&gt;"تسليم",COUNTIFS($A$5:$A$1504,$A438,$D$5:$D$1504,"تسليم",$E$5:$E$1504,"&lt;="&amp;$E438)=0),"لا يوجد تسليم قبل الحركة دي",""))))))</f>
        <v/>
      </c>
    </row>
    <row r="439" customFormat="false" ht="15" hidden="false" customHeight="false" outlineLevel="0" collapsed="false">
      <c r="A439" s="20"/>
      <c r="B439" s="35" t="str">
        <f aca="false">IF($A439="","",IFERROR(INDEX(مخرج_البند,MATCH($A439,قائمة_المخرجات,0)),""))</f>
        <v/>
      </c>
      <c r="C439" s="30" t="str">
        <f aca="false">IF($A439="","",IFERROR(INDEX(مخرج_الوصف,MATCH($A439,قائمة_المخرجات,0)),""))</f>
        <v/>
      </c>
      <c r="D439" s="20"/>
      <c r="E439" s="31"/>
      <c r="F439" s="22"/>
      <c r="G439" s="36" t="str">
        <f aca="false">IF(OR($A439="",$D439&lt;&gt;"تسليم",NOT(ISNUMBER($E439))),"",COUNTIFS($A$5:$A$1504,$A439,$D$5:$D$1504,"تسليم",$E$5:$E$1504,"&lt;"&amp;$E439)+1)</f>
        <v/>
      </c>
      <c r="H439" s="33" t="str">
        <f aca="false">IF($G439="","",_xlfn.MINIFS($E$5:$E$1504,$A$5:$A$1504,$A439,$D$5:$D$1504,"&lt;&gt;تسليم",$E$5:$E$1504,"&gt;="&amp;$E439))</f>
        <v/>
      </c>
      <c r="I439" s="33" t="str">
        <f aca="false">IF($G439="","",_xlfn.MINIFS($E$5:$E$1504,$A$5:$A$1504,$A439,$D$5:$D$1504,"تسليم",$E$5:$E$1504,"&gt;"&amp;$E439))</f>
        <v/>
      </c>
      <c r="J439" s="33" t="str">
        <f aca="false">IF($G439="","",IF(H439&gt;0,IF(I439&gt;0,MIN(H439,I439),H439),IF(I439&gt;0,I439,تاريخ_الاحتساب)))</f>
        <v/>
      </c>
      <c r="K439" s="34" t="str">
        <f aca="false">IF($G439="","",IF(AND(H439=0,I439=0),"جارية","مغلقة"))</f>
        <v/>
      </c>
      <c r="L439" s="26" t="str">
        <f aca="false">IF($G439="","",MAX(0,NETWORKDAYS.INTL($E439,J439,رمز_العطلة,أيام_الأجازات)-1))</f>
        <v/>
      </c>
      <c r="M439" s="26" t="str">
        <f aca="false">IF($G439="","",MAX(0,L439-مهلة_المراجعة))</f>
        <v/>
      </c>
      <c r="N439" s="30" t="str">
        <f aca="false">IF($A439="",IF(OR($D439&lt;&gt;"",$E439&lt;&gt;""),"رقم المخرج ناقص",""),IF(ISNA(MATCH($A439,قائمة_المخرجات,0)),"رقم مخرج غير موجود",IF($D439="","نوع الحركة ناقص",IF(NOT(ISNUMBER($E439)),"التاريخ ناقص",IF($E439&gt;تاريخ_الاحتساب,"تاريخ بعد تاريخ الاحتساب",IF(AND($D439&lt;&gt;"تسليم",COUNTIFS($A$5:$A$1504,$A439,$D$5:$D$1504,"تسليم",$E$5:$E$1504,"&lt;="&amp;$E439)=0),"لا يوجد تسليم قبل الحركة دي",""))))))</f>
        <v/>
      </c>
    </row>
    <row r="440" customFormat="false" ht="15" hidden="false" customHeight="false" outlineLevel="0" collapsed="false">
      <c r="A440" s="20"/>
      <c r="B440" s="35" t="str">
        <f aca="false">IF($A440="","",IFERROR(INDEX(مخرج_البند,MATCH($A440,قائمة_المخرجات,0)),""))</f>
        <v/>
      </c>
      <c r="C440" s="30" t="str">
        <f aca="false">IF($A440="","",IFERROR(INDEX(مخرج_الوصف,MATCH($A440,قائمة_المخرجات,0)),""))</f>
        <v/>
      </c>
      <c r="D440" s="20"/>
      <c r="E440" s="31"/>
      <c r="F440" s="22"/>
      <c r="G440" s="36" t="str">
        <f aca="false">IF(OR($A440="",$D440&lt;&gt;"تسليم",NOT(ISNUMBER($E440))),"",COUNTIFS($A$5:$A$1504,$A440,$D$5:$D$1504,"تسليم",$E$5:$E$1504,"&lt;"&amp;$E440)+1)</f>
        <v/>
      </c>
      <c r="H440" s="33" t="str">
        <f aca="false">IF($G440="","",_xlfn.MINIFS($E$5:$E$1504,$A$5:$A$1504,$A440,$D$5:$D$1504,"&lt;&gt;تسليم",$E$5:$E$1504,"&gt;="&amp;$E440))</f>
        <v/>
      </c>
      <c r="I440" s="33" t="str">
        <f aca="false">IF($G440="","",_xlfn.MINIFS($E$5:$E$1504,$A$5:$A$1504,$A440,$D$5:$D$1504,"تسليم",$E$5:$E$1504,"&gt;"&amp;$E440))</f>
        <v/>
      </c>
      <c r="J440" s="33" t="str">
        <f aca="false">IF($G440="","",IF(H440&gt;0,IF(I440&gt;0,MIN(H440,I440),H440),IF(I440&gt;0,I440,تاريخ_الاحتساب)))</f>
        <v/>
      </c>
      <c r="K440" s="34" t="str">
        <f aca="false">IF($G440="","",IF(AND(H440=0,I440=0),"جارية","مغلقة"))</f>
        <v/>
      </c>
      <c r="L440" s="26" t="str">
        <f aca="false">IF($G440="","",MAX(0,NETWORKDAYS.INTL($E440,J440,رمز_العطلة,أيام_الأجازات)-1))</f>
        <v/>
      </c>
      <c r="M440" s="26" t="str">
        <f aca="false">IF($G440="","",MAX(0,L440-مهلة_المراجعة))</f>
        <v/>
      </c>
      <c r="N440" s="30" t="str">
        <f aca="false">IF($A440="",IF(OR($D440&lt;&gt;"",$E440&lt;&gt;""),"رقم المخرج ناقص",""),IF(ISNA(MATCH($A440,قائمة_المخرجات,0)),"رقم مخرج غير موجود",IF($D440="","نوع الحركة ناقص",IF(NOT(ISNUMBER($E440)),"التاريخ ناقص",IF($E440&gt;تاريخ_الاحتساب,"تاريخ بعد تاريخ الاحتساب",IF(AND($D440&lt;&gt;"تسليم",COUNTIFS($A$5:$A$1504,$A440,$D$5:$D$1504,"تسليم",$E$5:$E$1504,"&lt;="&amp;$E440)=0),"لا يوجد تسليم قبل الحركة دي",""))))))</f>
        <v/>
      </c>
    </row>
    <row r="441" customFormat="false" ht="15" hidden="false" customHeight="false" outlineLevel="0" collapsed="false">
      <c r="A441" s="20"/>
      <c r="B441" s="35" t="str">
        <f aca="false">IF($A441="","",IFERROR(INDEX(مخرج_البند,MATCH($A441,قائمة_المخرجات,0)),""))</f>
        <v/>
      </c>
      <c r="C441" s="30" t="str">
        <f aca="false">IF($A441="","",IFERROR(INDEX(مخرج_الوصف,MATCH($A441,قائمة_المخرجات,0)),""))</f>
        <v/>
      </c>
      <c r="D441" s="20"/>
      <c r="E441" s="31"/>
      <c r="F441" s="22"/>
      <c r="G441" s="36" t="str">
        <f aca="false">IF(OR($A441="",$D441&lt;&gt;"تسليم",NOT(ISNUMBER($E441))),"",COUNTIFS($A$5:$A$1504,$A441,$D$5:$D$1504,"تسليم",$E$5:$E$1504,"&lt;"&amp;$E441)+1)</f>
        <v/>
      </c>
      <c r="H441" s="33" t="str">
        <f aca="false">IF($G441="","",_xlfn.MINIFS($E$5:$E$1504,$A$5:$A$1504,$A441,$D$5:$D$1504,"&lt;&gt;تسليم",$E$5:$E$1504,"&gt;="&amp;$E441))</f>
        <v/>
      </c>
      <c r="I441" s="33" t="str">
        <f aca="false">IF($G441="","",_xlfn.MINIFS($E$5:$E$1504,$A$5:$A$1504,$A441,$D$5:$D$1504,"تسليم",$E$5:$E$1504,"&gt;"&amp;$E441))</f>
        <v/>
      </c>
      <c r="J441" s="33" t="str">
        <f aca="false">IF($G441="","",IF(H441&gt;0,IF(I441&gt;0,MIN(H441,I441),H441),IF(I441&gt;0,I441,تاريخ_الاحتساب)))</f>
        <v/>
      </c>
      <c r="K441" s="34" t="str">
        <f aca="false">IF($G441="","",IF(AND(H441=0,I441=0),"جارية","مغلقة"))</f>
        <v/>
      </c>
      <c r="L441" s="26" t="str">
        <f aca="false">IF($G441="","",MAX(0,NETWORKDAYS.INTL($E441,J441,رمز_العطلة,أيام_الأجازات)-1))</f>
        <v/>
      </c>
      <c r="M441" s="26" t="str">
        <f aca="false">IF($G441="","",MAX(0,L441-مهلة_المراجعة))</f>
        <v/>
      </c>
      <c r="N441" s="30" t="str">
        <f aca="false">IF($A441="",IF(OR($D441&lt;&gt;"",$E441&lt;&gt;""),"رقم المخرج ناقص",""),IF(ISNA(MATCH($A441,قائمة_المخرجات,0)),"رقم مخرج غير موجود",IF($D441="","نوع الحركة ناقص",IF(NOT(ISNUMBER($E441)),"التاريخ ناقص",IF($E441&gt;تاريخ_الاحتساب,"تاريخ بعد تاريخ الاحتساب",IF(AND($D441&lt;&gt;"تسليم",COUNTIFS($A$5:$A$1504,$A441,$D$5:$D$1504,"تسليم",$E$5:$E$1504,"&lt;="&amp;$E441)=0),"لا يوجد تسليم قبل الحركة دي",""))))))</f>
        <v/>
      </c>
    </row>
    <row r="442" customFormat="false" ht="15" hidden="false" customHeight="false" outlineLevel="0" collapsed="false">
      <c r="A442" s="20"/>
      <c r="B442" s="35" t="str">
        <f aca="false">IF($A442="","",IFERROR(INDEX(مخرج_البند,MATCH($A442,قائمة_المخرجات,0)),""))</f>
        <v/>
      </c>
      <c r="C442" s="30" t="str">
        <f aca="false">IF($A442="","",IFERROR(INDEX(مخرج_الوصف,MATCH($A442,قائمة_المخرجات,0)),""))</f>
        <v/>
      </c>
      <c r="D442" s="20"/>
      <c r="E442" s="31"/>
      <c r="F442" s="22"/>
      <c r="G442" s="36" t="str">
        <f aca="false">IF(OR($A442="",$D442&lt;&gt;"تسليم",NOT(ISNUMBER($E442))),"",COUNTIFS($A$5:$A$1504,$A442,$D$5:$D$1504,"تسليم",$E$5:$E$1504,"&lt;"&amp;$E442)+1)</f>
        <v/>
      </c>
      <c r="H442" s="33" t="str">
        <f aca="false">IF($G442="","",_xlfn.MINIFS($E$5:$E$1504,$A$5:$A$1504,$A442,$D$5:$D$1504,"&lt;&gt;تسليم",$E$5:$E$1504,"&gt;="&amp;$E442))</f>
        <v/>
      </c>
      <c r="I442" s="33" t="str">
        <f aca="false">IF($G442="","",_xlfn.MINIFS($E$5:$E$1504,$A$5:$A$1504,$A442,$D$5:$D$1504,"تسليم",$E$5:$E$1504,"&gt;"&amp;$E442))</f>
        <v/>
      </c>
      <c r="J442" s="33" t="str">
        <f aca="false">IF($G442="","",IF(H442&gt;0,IF(I442&gt;0,MIN(H442,I442),H442),IF(I442&gt;0,I442,تاريخ_الاحتساب)))</f>
        <v/>
      </c>
      <c r="K442" s="34" t="str">
        <f aca="false">IF($G442="","",IF(AND(H442=0,I442=0),"جارية","مغلقة"))</f>
        <v/>
      </c>
      <c r="L442" s="26" t="str">
        <f aca="false">IF($G442="","",MAX(0,NETWORKDAYS.INTL($E442,J442,رمز_العطلة,أيام_الأجازات)-1))</f>
        <v/>
      </c>
      <c r="M442" s="26" t="str">
        <f aca="false">IF($G442="","",MAX(0,L442-مهلة_المراجعة))</f>
        <v/>
      </c>
      <c r="N442" s="30" t="str">
        <f aca="false">IF($A442="",IF(OR($D442&lt;&gt;"",$E442&lt;&gt;""),"رقم المخرج ناقص",""),IF(ISNA(MATCH($A442,قائمة_المخرجات,0)),"رقم مخرج غير موجود",IF($D442="","نوع الحركة ناقص",IF(NOT(ISNUMBER($E442)),"التاريخ ناقص",IF($E442&gt;تاريخ_الاحتساب,"تاريخ بعد تاريخ الاحتساب",IF(AND($D442&lt;&gt;"تسليم",COUNTIFS($A$5:$A$1504,$A442,$D$5:$D$1504,"تسليم",$E$5:$E$1504,"&lt;="&amp;$E442)=0),"لا يوجد تسليم قبل الحركة دي",""))))))</f>
        <v/>
      </c>
    </row>
    <row r="443" customFormat="false" ht="15" hidden="false" customHeight="false" outlineLevel="0" collapsed="false">
      <c r="A443" s="20"/>
      <c r="B443" s="35" t="str">
        <f aca="false">IF($A443="","",IFERROR(INDEX(مخرج_البند,MATCH($A443,قائمة_المخرجات,0)),""))</f>
        <v/>
      </c>
      <c r="C443" s="30" t="str">
        <f aca="false">IF($A443="","",IFERROR(INDEX(مخرج_الوصف,MATCH($A443,قائمة_المخرجات,0)),""))</f>
        <v/>
      </c>
      <c r="D443" s="20"/>
      <c r="E443" s="31"/>
      <c r="F443" s="22"/>
      <c r="G443" s="36" t="str">
        <f aca="false">IF(OR($A443="",$D443&lt;&gt;"تسليم",NOT(ISNUMBER($E443))),"",COUNTIFS($A$5:$A$1504,$A443,$D$5:$D$1504,"تسليم",$E$5:$E$1504,"&lt;"&amp;$E443)+1)</f>
        <v/>
      </c>
      <c r="H443" s="33" t="str">
        <f aca="false">IF($G443="","",_xlfn.MINIFS($E$5:$E$1504,$A$5:$A$1504,$A443,$D$5:$D$1504,"&lt;&gt;تسليم",$E$5:$E$1504,"&gt;="&amp;$E443))</f>
        <v/>
      </c>
      <c r="I443" s="33" t="str">
        <f aca="false">IF($G443="","",_xlfn.MINIFS($E$5:$E$1504,$A$5:$A$1504,$A443,$D$5:$D$1504,"تسليم",$E$5:$E$1504,"&gt;"&amp;$E443))</f>
        <v/>
      </c>
      <c r="J443" s="33" t="str">
        <f aca="false">IF($G443="","",IF(H443&gt;0,IF(I443&gt;0,MIN(H443,I443),H443),IF(I443&gt;0,I443,تاريخ_الاحتساب)))</f>
        <v/>
      </c>
      <c r="K443" s="34" t="str">
        <f aca="false">IF($G443="","",IF(AND(H443=0,I443=0),"جارية","مغلقة"))</f>
        <v/>
      </c>
      <c r="L443" s="26" t="str">
        <f aca="false">IF($G443="","",MAX(0,NETWORKDAYS.INTL($E443,J443,رمز_العطلة,أيام_الأجازات)-1))</f>
        <v/>
      </c>
      <c r="M443" s="26" t="str">
        <f aca="false">IF($G443="","",MAX(0,L443-مهلة_المراجعة))</f>
        <v/>
      </c>
      <c r="N443" s="30" t="str">
        <f aca="false">IF($A443="",IF(OR($D443&lt;&gt;"",$E443&lt;&gt;""),"رقم المخرج ناقص",""),IF(ISNA(MATCH($A443,قائمة_المخرجات,0)),"رقم مخرج غير موجود",IF($D443="","نوع الحركة ناقص",IF(NOT(ISNUMBER($E443)),"التاريخ ناقص",IF($E443&gt;تاريخ_الاحتساب,"تاريخ بعد تاريخ الاحتساب",IF(AND($D443&lt;&gt;"تسليم",COUNTIFS($A$5:$A$1504,$A443,$D$5:$D$1504,"تسليم",$E$5:$E$1504,"&lt;="&amp;$E443)=0),"لا يوجد تسليم قبل الحركة دي",""))))))</f>
        <v/>
      </c>
    </row>
    <row r="444" customFormat="false" ht="15" hidden="false" customHeight="false" outlineLevel="0" collapsed="false">
      <c r="A444" s="20"/>
      <c r="B444" s="35" t="str">
        <f aca="false">IF($A444="","",IFERROR(INDEX(مخرج_البند,MATCH($A444,قائمة_المخرجات,0)),""))</f>
        <v/>
      </c>
      <c r="C444" s="30" t="str">
        <f aca="false">IF($A444="","",IFERROR(INDEX(مخرج_الوصف,MATCH($A444,قائمة_المخرجات,0)),""))</f>
        <v/>
      </c>
      <c r="D444" s="20"/>
      <c r="E444" s="31"/>
      <c r="F444" s="22"/>
      <c r="G444" s="36" t="str">
        <f aca="false">IF(OR($A444="",$D444&lt;&gt;"تسليم",NOT(ISNUMBER($E444))),"",COUNTIFS($A$5:$A$1504,$A444,$D$5:$D$1504,"تسليم",$E$5:$E$1504,"&lt;"&amp;$E444)+1)</f>
        <v/>
      </c>
      <c r="H444" s="33" t="str">
        <f aca="false">IF($G444="","",_xlfn.MINIFS($E$5:$E$1504,$A$5:$A$1504,$A444,$D$5:$D$1504,"&lt;&gt;تسليم",$E$5:$E$1504,"&gt;="&amp;$E444))</f>
        <v/>
      </c>
      <c r="I444" s="33" t="str">
        <f aca="false">IF($G444="","",_xlfn.MINIFS($E$5:$E$1504,$A$5:$A$1504,$A444,$D$5:$D$1504,"تسليم",$E$5:$E$1504,"&gt;"&amp;$E444))</f>
        <v/>
      </c>
      <c r="J444" s="33" t="str">
        <f aca="false">IF($G444="","",IF(H444&gt;0,IF(I444&gt;0,MIN(H444,I444),H444),IF(I444&gt;0,I444,تاريخ_الاحتساب)))</f>
        <v/>
      </c>
      <c r="K444" s="34" t="str">
        <f aca="false">IF($G444="","",IF(AND(H444=0,I444=0),"جارية","مغلقة"))</f>
        <v/>
      </c>
      <c r="L444" s="26" t="str">
        <f aca="false">IF($G444="","",MAX(0,NETWORKDAYS.INTL($E444,J444,رمز_العطلة,أيام_الأجازات)-1))</f>
        <v/>
      </c>
      <c r="M444" s="26" t="str">
        <f aca="false">IF($G444="","",MAX(0,L444-مهلة_المراجعة))</f>
        <v/>
      </c>
      <c r="N444" s="30" t="str">
        <f aca="false">IF($A444="",IF(OR($D444&lt;&gt;"",$E444&lt;&gt;""),"رقم المخرج ناقص",""),IF(ISNA(MATCH($A444,قائمة_المخرجات,0)),"رقم مخرج غير موجود",IF($D444="","نوع الحركة ناقص",IF(NOT(ISNUMBER($E444)),"التاريخ ناقص",IF($E444&gt;تاريخ_الاحتساب,"تاريخ بعد تاريخ الاحتساب",IF(AND($D444&lt;&gt;"تسليم",COUNTIFS($A$5:$A$1504,$A444,$D$5:$D$1504,"تسليم",$E$5:$E$1504,"&lt;="&amp;$E444)=0),"لا يوجد تسليم قبل الحركة دي",""))))))</f>
        <v/>
      </c>
    </row>
    <row r="445" customFormat="false" ht="15" hidden="false" customHeight="false" outlineLevel="0" collapsed="false">
      <c r="A445" s="20"/>
      <c r="B445" s="35" t="str">
        <f aca="false">IF($A445="","",IFERROR(INDEX(مخرج_البند,MATCH($A445,قائمة_المخرجات,0)),""))</f>
        <v/>
      </c>
      <c r="C445" s="30" t="str">
        <f aca="false">IF($A445="","",IFERROR(INDEX(مخرج_الوصف,MATCH($A445,قائمة_المخرجات,0)),""))</f>
        <v/>
      </c>
      <c r="D445" s="20"/>
      <c r="E445" s="31"/>
      <c r="F445" s="22"/>
      <c r="G445" s="36" t="str">
        <f aca="false">IF(OR($A445="",$D445&lt;&gt;"تسليم",NOT(ISNUMBER($E445))),"",COUNTIFS($A$5:$A$1504,$A445,$D$5:$D$1504,"تسليم",$E$5:$E$1504,"&lt;"&amp;$E445)+1)</f>
        <v/>
      </c>
      <c r="H445" s="33" t="str">
        <f aca="false">IF($G445="","",_xlfn.MINIFS($E$5:$E$1504,$A$5:$A$1504,$A445,$D$5:$D$1504,"&lt;&gt;تسليم",$E$5:$E$1504,"&gt;="&amp;$E445))</f>
        <v/>
      </c>
      <c r="I445" s="33" t="str">
        <f aca="false">IF($G445="","",_xlfn.MINIFS($E$5:$E$1504,$A$5:$A$1504,$A445,$D$5:$D$1504,"تسليم",$E$5:$E$1504,"&gt;"&amp;$E445))</f>
        <v/>
      </c>
      <c r="J445" s="33" t="str">
        <f aca="false">IF($G445="","",IF(H445&gt;0,IF(I445&gt;0,MIN(H445,I445),H445),IF(I445&gt;0,I445,تاريخ_الاحتساب)))</f>
        <v/>
      </c>
      <c r="K445" s="34" t="str">
        <f aca="false">IF($G445="","",IF(AND(H445=0,I445=0),"جارية","مغلقة"))</f>
        <v/>
      </c>
      <c r="L445" s="26" t="str">
        <f aca="false">IF($G445="","",MAX(0,NETWORKDAYS.INTL($E445,J445,رمز_العطلة,أيام_الأجازات)-1))</f>
        <v/>
      </c>
      <c r="M445" s="26" t="str">
        <f aca="false">IF($G445="","",MAX(0,L445-مهلة_المراجعة))</f>
        <v/>
      </c>
      <c r="N445" s="30" t="str">
        <f aca="false">IF($A445="",IF(OR($D445&lt;&gt;"",$E445&lt;&gt;""),"رقم المخرج ناقص",""),IF(ISNA(MATCH($A445,قائمة_المخرجات,0)),"رقم مخرج غير موجود",IF($D445="","نوع الحركة ناقص",IF(NOT(ISNUMBER($E445)),"التاريخ ناقص",IF($E445&gt;تاريخ_الاحتساب,"تاريخ بعد تاريخ الاحتساب",IF(AND($D445&lt;&gt;"تسليم",COUNTIFS($A$5:$A$1504,$A445,$D$5:$D$1504,"تسليم",$E$5:$E$1504,"&lt;="&amp;$E445)=0),"لا يوجد تسليم قبل الحركة دي",""))))))</f>
        <v/>
      </c>
    </row>
    <row r="446" customFormat="false" ht="15" hidden="false" customHeight="false" outlineLevel="0" collapsed="false">
      <c r="A446" s="20"/>
      <c r="B446" s="35" t="str">
        <f aca="false">IF($A446="","",IFERROR(INDEX(مخرج_البند,MATCH($A446,قائمة_المخرجات,0)),""))</f>
        <v/>
      </c>
      <c r="C446" s="30" t="str">
        <f aca="false">IF($A446="","",IFERROR(INDEX(مخرج_الوصف,MATCH($A446,قائمة_المخرجات,0)),""))</f>
        <v/>
      </c>
      <c r="D446" s="20"/>
      <c r="E446" s="31"/>
      <c r="F446" s="22"/>
      <c r="G446" s="36" t="str">
        <f aca="false">IF(OR($A446="",$D446&lt;&gt;"تسليم",NOT(ISNUMBER($E446))),"",COUNTIFS($A$5:$A$1504,$A446,$D$5:$D$1504,"تسليم",$E$5:$E$1504,"&lt;"&amp;$E446)+1)</f>
        <v/>
      </c>
      <c r="H446" s="33" t="str">
        <f aca="false">IF($G446="","",_xlfn.MINIFS($E$5:$E$1504,$A$5:$A$1504,$A446,$D$5:$D$1504,"&lt;&gt;تسليم",$E$5:$E$1504,"&gt;="&amp;$E446))</f>
        <v/>
      </c>
      <c r="I446" s="33" t="str">
        <f aca="false">IF($G446="","",_xlfn.MINIFS($E$5:$E$1504,$A$5:$A$1504,$A446,$D$5:$D$1504,"تسليم",$E$5:$E$1504,"&gt;"&amp;$E446))</f>
        <v/>
      </c>
      <c r="J446" s="33" t="str">
        <f aca="false">IF($G446="","",IF(H446&gt;0,IF(I446&gt;0,MIN(H446,I446),H446),IF(I446&gt;0,I446,تاريخ_الاحتساب)))</f>
        <v/>
      </c>
      <c r="K446" s="34" t="str">
        <f aca="false">IF($G446="","",IF(AND(H446=0,I446=0),"جارية","مغلقة"))</f>
        <v/>
      </c>
      <c r="L446" s="26" t="str">
        <f aca="false">IF($G446="","",MAX(0,NETWORKDAYS.INTL($E446,J446,رمز_العطلة,أيام_الأجازات)-1))</f>
        <v/>
      </c>
      <c r="M446" s="26" t="str">
        <f aca="false">IF($G446="","",MAX(0,L446-مهلة_المراجعة))</f>
        <v/>
      </c>
      <c r="N446" s="30" t="str">
        <f aca="false">IF($A446="",IF(OR($D446&lt;&gt;"",$E446&lt;&gt;""),"رقم المخرج ناقص",""),IF(ISNA(MATCH($A446,قائمة_المخرجات,0)),"رقم مخرج غير موجود",IF($D446="","نوع الحركة ناقص",IF(NOT(ISNUMBER($E446)),"التاريخ ناقص",IF($E446&gt;تاريخ_الاحتساب,"تاريخ بعد تاريخ الاحتساب",IF(AND($D446&lt;&gt;"تسليم",COUNTIFS($A$5:$A$1504,$A446,$D$5:$D$1504,"تسليم",$E$5:$E$1504,"&lt;="&amp;$E446)=0),"لا يوجد تسليم قبل الحركة دي",""))))))</f>
        <v/>
      </c>
    </row>
    <row r="447" customFormat="false" ht="15" hidden="false" customHeight="false" outlineLevel="0" collapsed="false">
      <c r="A447" s="20"/>
      <c r="B447" s="35" t="str">
        <f aca="false">IF($A447="","",IFERROR(INDEX(مخرج_البند,MATCH($A447,قائمة_المخرجات,0)),""))</f>
        <v/>
      </c>
      <c r="C447" s="30" t="str">
        <f aca="false">IF($A447="","",IFERROR(INDEX(مخرج_الوصف,MATCH($A447,قائمة_المخرجات,0)),""))</f>
        <v/>
      </c>
      <c r="D447" s="20"/>
      <c r="E447" s="31"/>
      <c r="F447" s="22"/>
      <c r="G447" s="36" t="str">
        <f aca="false">IF(OR($A447="",$D447&lt;&gt;"تسليم",NOT(ISNUMBER($E447))),"",COUNTIFS($A$5:$A$1504,$A447,$D$5:$D$1504,"تسليم",$E$5:$E$1504,"&lt;"&amp;$E447)+1)</f>
        <v/>
      </c>
      <c r="H447" s="33" t="str">
        <f aca="false">IF($G447="","",_xlfn.MINIFS($E$5:$E$1504,$A$5:$A$1504,$A447,$D$5:$D$1504,"&lt;&gt;تسليم",$E$5:$E$1504,"&gt;="&amp;$E447))</f>
        <v/>
      </c>
      <c r="I447" s="33" t="str">
        <f aca="false">IF($G447="","",_xlfn.MINIFS($E$5:$E$1504,$A$5:$A$1504,$A447,$D$5:$D$1504,"تسليم",$E$5:$E$1504,"&gt;"&amp;$E447))</f>
        <v/>
      </c>
      <c r="J447" s="33" t="str">
        <f aca="false">IF($G447="","",IF(H447&gt;0,IF(I447&gt;0,MIN(H447,I447),H447),IF(I447&gt;0,I447,تاريخ_الاحتساب)))</f>
        <v/>
      </c>
      <c r="K447" s="34" t="str">
        <f aca="false">IF($G447="","",IF(AND(H447=0,I447=0),"جارية","مغلقة"))</f>
        <v/>
      </c>
      <c r="L447" s="26" t="str">
        <f aca="false">IF($G447="","",MAX(0,NETWORKDAYS.INTL($E447,J447,رمز_العطلة,أيام_الأجازات)-1))</f>
        <v/>
      </c>
      <c r="M447" s="26" t="str">
        <f aca="false">IF($G447="","",MAX(0,L447-مهلة_المراجعة))</f>
        <v/>
      </c>
      <c r="N447" s="30" t="str">
        <f aca="false">IF($A447="",IF(OR($D447&lt;&gt;"",$E447&lt;&gt;""),"رقم المخرج ناقص",""),IF(ISNA(MATCH($A447,قائمة_المخرجات,0)),"رقم مخرج غير موجود",IF($D447="","نوع الحركة ناقص",IF(NOT(ISNUMBER($E447)),"التاريخ ناقص",IF($E447&gt;تاريخ_الاحتساب,"تاريخ بعد تاريخ الاحتساب",IF(AND($D447&lt;&gt;"تسليم",COUNTIFS($A$5:$A$1504,$A447,$D$5:$D$1504,"تسليم",$E$5:$E$1504,"&lt;="&amp;$E447)=0),"لا يوجد تسليم قبل الحركة دي",""))))))</f>
        <v/>
      </c>
    </row>
    <row r="448" customFormat="false" ht="15" hidden="false" customHeight="false" outlineLevel="0" collapsed="false">
      <c r="A448" s="20"/>
      <c r="B448" s="35" t="str">
        <f aca="false">IF($A448="","",IFERROR(INDEX(مخرج_البند,MATCH($A448,قائمة_المخرجات,0)),""))</f>
        <v/>
      </c>
      <c r="C448" s="30" t="str">
        <f aca="false">IF($A448="","",IFERROR(INDEX(مخرج_الوصف,MATCH($A448,قائمة_المخرجات,0)),""))</f>
        <v/>
      </c>
      <c r="D448" s="20"/>
      <c r="E448" s="31"/>
      <c r="F448" s="22"/>
      <c r="G448" s="36" t="str">
        <f aca="false">IF(OR($A448="",$D448&lt;&gt;"تسليم",NOT(ISNUMBER($E448))),"",COUNTIFS($A$5:$A$1504,$A448,$D$5:$D$1504,"تسليم",$E$5:$E$1504,"&lt;"&amp;$E448)+1)</f>
        <v/>
      </c>
      <c r="H448" s="33" t="str">
        <f aca="false">IF($G448="","",_xlfn.MINIFS($E$5:$E$1504,$A$5:$A$1504,$A448,$D$5:$D$1504,"&lt;&gt;تسليم",$E$5:$E$1504,"&gt;="&amp;$E448))</f>
        <v/>
      </c>
      <c r="I448" s="33" t="str">
        <f aca="false">IF($G448="","",_xlfn.MINIFS($E$5:$E$1504,$A$5:$A$1504,$A448,$D$5:$D$1504,"تسليم",$E$5:$E$1504,"&gt;"&amp;$E448))</f>
        <v/>
      </c>
      <c r="J448" s="33" t="str">
        <f aca="false">IF($G448="","",IF(H448&gt;0,IF(I448&gt;0,MIN(H448,I448),H448),IF(I448&gt;0,I448,تاريخ_الاحتساب)))</f>
        <v/>
      </c>
      <c r="K448" s="34" t="str">
        <f aca="false">IF($G448="","",IF(AND(H448=0,I448=0),"جارية","مغلقة"))</f>
        <v/>
      </c>
      <c r="L448" s="26" t="str">
        <f aca="false">IF($G448="","",MAX(0,NETWORKDAYS.INTL($E448,J448,رمز_العطلة,أيام_الأجازات)-1))</f>
        <v/>
      </c>
      <c r="M448" s="26" t="str">
        <f aca="false">IF($G448="","",MAX(0,L448-مهلة_المراجعة))</f>
        <v/>
      </c>
      <c r="N448" s="30" t="str">
        <f aca="false">IF($A448="",IF(OR($D448&lt;&gt;"",$E448&lt;&gt;""),"رقم المخرج ناقص",""),IF(ISNA(MATCH($A448,قائمة_المخرجات,0)),"رقم مخرج غير موجود",IF($D448="","نوع الحركة ناقص",IF(NOT(ISNUMBER($E448)),"التاريخ ناقص",IF($E448&gt;تاريخ_الاحتساب,"تاريخ بعد تاريخ الاحتساب",IF(AND($D448&lt;&gt;"تسليم",COUNTIFS($A$5:$A$1504,$A448,$D$5:$D$1504,"تسليم",$E$5:$E$1504,"&lt;="&amp;$E448)=0),"لا يوجد تسليم قبل الحركة دي",""))))))</f>
        <v/>
      </c>
    </row>
    <row r="449" customFormat="false" ht="15" hidden="false" customHeight="false" outlineLevel="0" collapsed="false">
      <c r="A449" s="20"/>
      <c r="B449" s="35" t="str">
        <f aca="false">IF($A449="","",IFERROR(INDEX(مخرج_البند,MATCH($A449,قائمة_المخرجات,0)),""))</f>
        <v/>
      </c>
      <c r="C449" s="30" t="str">
        <f aca="false">IF($A449="","",IFERROR(INDEX(مخرج_الوصف,MATCH($A449,قائمة_المخرجات,0)),""))</f>
        <v/>
      </c>
      <c r="D449" s="20"/>
      <c r="E449" s="31"/>
      <c r="F449" s="22"/>
      <c r="G449" s="36" t="str">
        <f aca="false">IF(OR($A449="",$D449&lt;&gt;"تسليم",NOT(ISNUMBER($E449))),"",COUNTIFS($A$5:$A$1504,$A449,$D$5:$D$1504,"تسليم",$E$5:$E$1504,"&lt;"&amp;$E449)+1)</f>
        <v/>
      </c>
      <c r="H449" s="33" t="str">
        <f aca="false">IF($G449="","",_xlfn.MINIFS($E$5:$E$1504,$A$5:$A$1504,$A449,$D$5:$D$1504,"&lt;&gt;تسليم",$E$5:$E$1504,"&gt;="&amp;$E449))</f>
        <v/>
      </c>
      <c r="I449" s="33" t="str">
        <f aca="false">IF($G449="","",_xlfn.MINIFS($E$5:$E$1504,$A$5:$A$1504,$A449,$D$5:$D$1504,"تسليم",$E$5:$E$1504,"&gt;"&amp;$E449))</f>
        <v/>
      </c>
      <c r="J449" s="33" t="str">
        <f aca="false">IF($G449="","",IF(H449&gt;0,IF(I449&gt;0,MIN(H449,I449),H449),IF(I449&gt;0,I449,تاريخ_الاحتساب)))</f>
        <v/>
      </c>
      <c r="K449" s="34" t="str">
        <f aca="false">IF($G449="","",IF(AND(H449=0,I449=0),"جارية","مغلقة"))</f>
        <v/>
      </c>
      <c r="L449" s="26" t="str">
        <f aca="false">IF($G449="","",MAX(0,NETWORKDAYS.INTL($E449,J449,رمز_العطلة,أيام_الأجازات)-1))</f>
        <v/>
      </c>
      <c r="M449" s="26" t="str">
        <f aca="false">IF($G449="","",MAX(0,L449-مهلة_المراجعة))</f>
        <v/>
      </c>
      <c r="N449" s="30" t="str">
        <f aca="false">IF($A449="",IF(OR($D449&lt;&gt;"",$E449&lt;&gt;""),"رقم المخرج ناقص",""),IF(ISNA(MATCH($A449,قائمة_المخرجات,0)),"رقم مخرج غير موجود",IF($D449="","نوع الحركة ناقص",IF(NOT(ISNUMBER($E449)),"التاريخ ناقص",IF($E449&gt;تاريخ_الاحتساب,"تاريخ بعد تاريخ الاحتساب",IF(AND($D449&lt;&gt;"تسليم",COUNTIFS($A$5:$A$1504,$A449,$D$5:$D$1504,"تسليم",$E$5:$E$1504,"&lt;="&amp;$E449)=0),"لا يوجد تسليم قبل الحركة دي",""))))))</f>
        <v/>
      </c>
    </row>
    <row r="450" customFormat="false" ht="15" hidden="false" customHeight="false" outlineLevel="0" collapsed="false">
      <c r="A450" s="20"/>
      <c r="B450" s="35" t="str">
        <f aca="false">IF($A450="","",IFERROR(INDEX(مخرج_البند,MATCH($A450,قائمة_المخرجات,0)),""))</f>
        <v/>
      </c>
      <c r="C450" s="30" t="str">
        <f aca="false">IF($A450="","",IFERROR(INDEX(مخرج_الوصف,MATCH($A450,قائمة_المخرجات,0)),""))</f>
        <v/>
      </c>
      <c r="D450" s="20"/>
      <c r="E450" s="31"/>
      <c r="F450" s="22"/>
      <c r="G450" s="36" t="str">
        <f aca="false">IF(OR($A450="",$D450&lt;&gt;"تسليم",NOT(ISNUMBER($E450))),"",COUNTIFS($A$5:$A$1504,$A450,$D$5:$D$1504,"تسليم",$E$5:$E$1504,"&lt;"&amp;$E450)+1)</f>
        <v/>
      </c>
      <c r="H450" s="33" t="str">
        <f aca="false">IF($G450="","",_xlfn.MINIFS($E$5:$E$1504,$A$5:$A$1504,$A450,$D$5:$D$1504,"&lt;&gt;تسليم",$E$5:$E$1504,"&gt;="&amp;$E450))</f>
        <v/>
      </c>
      <c r="I450" s="33" t="str">
        <f aca="false">IF($G450="","",_xlfn.MINIFS($E$5:$E$1504,$A$5:$A$1504,$A450,$D$5:$D$1504,"تسليم",$E$5:$E$1504,"&gt;"&amp;$E450))</f>
        <v/>
      </c>
      <c r="J450" s="33" t="str">
        <f aca="false">IF($G450="","",IF(H450&gt;0,IF(I450&gt;0,MIN(H450,I450),H450),IF(I450&gt;0,I450,تاريخ_الاحتساب)))</f>
        <v/>
      </c>
      <c r="K450" s="34" t="str">
        <f aca="false">IF($G450="","",IF(AND(H450=0,I450=0),"جارية","مغلقة"))</f>
        <v/>
      </c>
      <c r="L450" s="26" t="str">
        <f aca="false">IF($G450="","",MAX(0,NETWORKDAYS.INTL($E450,J450,رمز_العطلة,أيام_الأجازات)-1))</f>
        <v/>
      </c>
      <c r="M450" s="26" t="str">
        <f aca="false">IF($G450="","",MAX(0,L450-مهلة_المراجعة))</f>
        <v/>
      </c>
      <c r="N450" s="30" t="str">
        <f aca="false">IF($A450="",IF(OR($D450&lt;&gt;"",$E450&lt;&gt;""),"رقم المخرج ناقص",""),IF(ISNA(MATCH($A450,قائمة_المخرجات,0)),"رقم مخرج غير موجود",IF($D450="","نوع الحركة ناقص",IF(NOT(ISNUMBER($E450)),"التاريخ ناقص",IF($E450&gt;تاريخ_الاحتساب,"تاريخ بعد تاريخ الاحتساب",IF(AND($D450&lt;&gt;"تسليم",COUNTIFS($A$5:$A$1504,$A450,$D$5:$D$1504,"تسليم",$E$5:$E$1504,"&lt;="&amp;$E450)=0),"لا يوجد تسليم قبل الحركة دي",""))))))</f>
        <v/>
      </c>
    </row>
    <row r="451" customFormat="false" ht="15" hidden="false" customHeight="false" outlineLevel="0" collapsed="false">
      <c r="A451" s="20"/>
      <c r="B451" s="35" t="str">
        <f aca="false">IF($A451="","",IFERROR(INDEX(مخرج_البند,MATCH($A451,قائمة_المخرجات,0)),""))</f>
        <v/>
      </c>
      <c r="C451" s="30" t="str">
        <f aca="false">IF($A451="","",IFERROR(INDEX(مخرج_الوصف,MATCH($A451,قائمة_المخرجات,0)),""))</f>
        <v/>
      </c>
      <c r="D451" s="20"/>
      <c r="E451" s="31"/>
      <c r="F451" s="22"/>
      <c r="G451" s="36" t="str">
        <f aca="false">IF(OR($A451="",$D451&lt;&gt;"تسليم",NOT(ISNUMBER($E451))),"",COUNTIFS($A$5:$A$1504,$A451,$D$5:$D$1504,"تسليم",$E$5:$E$1504,"&lt;"&amp;$E451)+1)</f>
        <v/>
      </c>
      <c r="H451" s="33" t="str">
        <f aca="false">IF($G451="","",_xlfn.MINIFS($E$5:$E$1504,$A$5:$A$1504,$A451,$D$5:$D$1504,"&lt;&gt;تسليم",$E$5:$E$1504,"&gt;="&amp;$E451))</f>
        <v/>
      </c>
      <c r="I451" s="33" t="str">
        <f aca="false">IF($G451="","",_xlfn.MINIFS($E$5:$E$1504,$A$5:$A$1504,$A451,$D$5:$D$1504,"تسليم",$E$5:$E$1504,"&gt;"&amp;$E451))</f>
        <v/>
      </c>
      <c r="J451" s="33" t="str">
        <f aca="false">IF($G451="","",IF(H451&gt;0,IF(I451&gt;0,MIN(H451,I451),H451),IF(I451&gt;0,I451,تاريخ_الاحتساب)))</f>
        <v/>
      </c>
      <c r="K451" s="34" t="str">
        <f aca="false">IF($G451="","",IF(AND(H451=0,I451=0),"جارية","مغلقة"))</f>
        <v/>
      </c>
      <c r="L451" s="26" t="str">
        <f aca="false">IF($G451="","",MAX(0,NETWORKDAYS.INTL($E451,J451,رمز_العطلة,أيام_الأجازات)-1))</f>
        <v/>
      </c>
      <c r="M451" s="26" t="str">
        <f aca="false">IF($G451="","",MAX(0,L451-مهلة_المراجعة))</f>
        <v/>
      </c>
      <c r="N451" s="30" t="str">
        <f aca="false">IF($A451="",IF(OR($D451&lt;&gt;"",$E451&lt;&gt;""),"رقم المخرج ناقص",""),IF(ISNA(MATCH($A451,قائمة_المخرجات,0)),"رقم مخرج غير موجود",IF($D451="","نوع الحركة ناقص",IF(NOT(ISNUMBER($E451)),"التاريخ ناقص",IF($E451&gt;تاريخ_الاحتساب,"تاريخ بعد تاريخ الاحتساب",IF(AND($D451&lt;&gt;"تسليم",COUNTIFS($A$5:$A$1504,$A451,$D$5:$D$1504,"تسليم",$E$5:$E$1504,"&lt;="&amp;$E451)=0),"لا يوجد تسليم قبل الحركة دي",""))))))</f>
        <v/>
      </c>
    </row>
    <row r="452" customFormat="false" ht="15" hidden="false" customHeight="false" outlineLevel="0" collapsed="false">
      <c r="A452" s="20"/>
      <c r="B452" s="35" t="str">
        <f aca="false">IF($A452="","",IFERROR(INDEX(مخرج_البند,MATCH($A452,قائمة_المخرجات,0)),""))</f>
        <v/>
      </c>
      <c r="C452" s="30" t="str">
        <f aca="false">IF($A452="","",IFERROR(INDEX(مخرج_الوصف,MATCH($A452,قائمة_المخرجات,0)),""))</f>
        <v/>
      </c>
      <c r="D452" s="20"/>
      <c r="E452" s="31"/>
      <c r="F452" s="22"/>
      <c r="G452" s="36" t="str">
        <f aca="false">IF(OR($A452="",$D452&lt;&gt;"تسليم",NOT(ISNUMBER($E452))),"",COUNTIFS($A$5:$A$1504,$A452,$D$5:$D$1504,"تسليم",$E$5:$E$1504,"&lt;"&amp;$E452)+1)</f>
        <v/>
      </c>
      <c r="H452" s="33" t="str">
        <f aca="false">IF($G452="","",_xlfn.MINIFS($E$5:$E$1504,$A$5:$A$1504,$A452,$D$5:$D$1504,"&lt;&gt;تسليم",$E$5:$E$1504,"&gt;="&amp;$E452))</f>
        <v/>
      </c>
      <c r="I452" s="33" t="str">
        <f aca="false">IF($G452="","",_xlfn.MINIFS($E$5:$E$1504,$A$5:$A$1504,$A452,$D$5:$D$1504,"تسليم",$E$5:$E$1504,"&gt;"&amp;$E452))</f>
        <v/>
      </c>
      <c r="J452" s="33" t="str">
        <f aca="false">IF($G452="","",IF(H452&gt;0,IF(I452&gt;0,MIN(H452,I452),H452),IF(I452&gt;0,I452,تاريخ_الاحتساب)))</f>
        <v/>
      </c>
      <c r="K452" s="34" t="str">
        <f aca="false">IF($G452="","",IF(AND(H452=0,I452=0),"جارية","مغلقة"))</f>
        <v/>
      </c>
      <c r="L452" s="26" t="str">
        <f aca="false">IF($G452="","",MAX(0,NETWORKDAYS.INTL($E452,J452,رمز_العطلة,أيام_الأجازات)-1))</f>
        <v/>
      </c>
      <c r="M452" s="26" t="str">
        <f aca="false">IF($G452="","",MAX(0,L452-مهلة_المراجعة))</f>
        <v/>
      </c>
      <c r="N452" s="30" t="str">
        <f aca="false">IF($A452="",IF(OR($D452&lt;&gt;"",$E452&lt;&gt;""),"رقم المخرج ناقص",""),IF(ISNA(MATCH($A452,قائمة_المخرجات,0)),"رقم مخرج غير موجود",IF($D452="","نوع الحركة ناقص",IF(NOT(ISNUMBER($E452)),"التاريخ ناقص",IF($E452&gt;تاريخ_الاحتساب,"تاريخ بعد تاريخ الاحتساب",IF(AND($D452&lt;&gt;"تسليم",COUNTIFS($A$5:$A$1504,$A452,$D$5:$D$1504,"تسليم",$E$5:$E$1504,"&lt;="&amp;$E452)=0),"لا يوجد تسليم قبل الحركة دي",""))))))</f>
        <v/>
      </c>
    </row>
    <row r="453" customFormat="false" ht="15" hidden="false" customHeight="false" outlineLevel="0" collapsed="false">
      <c r="A453" s="20"/>
      <c r="B453" s="35" t="str">
        <f aca="false">IF($A453="","",IFERROR(INDEX(مخرج_البند,MATCH($A453,قائمة_المخرجات,0)),""))</f>
        <v/>
      </c>
      <c r="C453" s="30" t="str">
        <f aca="false">IF($A453="","",IFERROR(INDEX(مخرج_الوصف,MATCH($A453,قائمة_المخرجات,0)),""))</f>
        <v/>
      </c>
      <c r="D453" s="20"/>
      <c r="E453" s="31"/>
      <c r="F453" s="22"/>
      <c r="G453" s="36" t="str">
        <f aca="false">IF(OR($A453="",$D453&lt;&gt;"تسليم",NOT(ISNUMBER($E453))),"",COUNTIFS($A$5:$A$1504,$A453,$D$5:$D$1504,"تسليم",$E$5:$E$1504,"&lt;"&amp;$E453)+1)</f>
        <v/>
      </c>
      <c r="H453" s="33" t="str">
        <f aca="false">IF($G453="","",_xlfn.MINIFS($E$5:$E$1504,$A$5:$A$1504,$A453,$D$5:$D$1504,"&lt;&gt;تسليم",$E$5:$E$1504,"&gt;="&amp;$E453))</f>
        <v/>
      </c>
      <c r="I453" s="33" t="str">
        <f aca="false">IF($G453="","",_xlfn.MINIFS($E$5:$E$1504,$A$5:$A$1504,$A453,$D$5:$D$1504,"تسليم",$E$5:$E$1504,"&gt;"&amp;$E453))</f>
        <v/>
      </c>
      <c r="J453" s="33" t="str">
        <f aca="false">IF($G453="","",IF(H453&gt;0,IF(I453&gt;0,MIN(H453,I453),H453),IF(I453&gt;0,I453,تاريخ_الاحتساب)))</f>
        <v/>
      </c>
      <c r="K453" s="34" t="str">
        <f aca="false">IF($G453="","",IF(AND(H453=0,I453=0),"جارية","مغلقة"))</f>
        <v/>
      </c>
      <c r="L453" s="26" t="str">
        <f aca="false">IF($G453="","",MAX(0,NETWORKDAYS.INTL($E453,J453,رمز_العطلة,أيام_الأجازات)-1))</f>
        <v/>
      </c>
      <c r="M453" s="26" t="str">
        <f aca="false">IF($G453="","",MAX(0,L453-مهلة_المراجعة))</f>
        <v/>
      </c>
      <c r="N453" s="30" t="str">
        <f aca="false">IF($A453="",IF(OR($D453&lt;&gt;"",$E453&lt;&gt;""),"رقم المخرج ناقص",""),IF(ISNA(MATCH($A453,قائمة_المخرجات,0)),"رقم مخرج غير موجود",IF($D453="","نوع الحركة ناقص",IF(NOT(ISNUMBER($E453)),"التاريخ ناقص",IF($E453&gt;تاريخ_الاحتساب,"تاريخ بعد تاريخ الاحتساب",IF(AND($D453&lt;&gt;"تسليم",COUNTIFS($A$5:$A$1504,$A453,$D$5:$D$1504,"تسليم",$E$5:$E$1504,"&lt;="&amp;$E453)=0),"لا يوجد تسليم قبل الحركة دي",""))))))</f>
        <v/>
      </c>
    </row>
    <row r="454" customFormat="false" ht="15" hidden="false" customHeight="false" outlineLevel="0" collapsed="false">
      <c r="A454" s="20"/>
      <c r="B454" s="35" t="str">
        <f aca="false">IF($A454="","",IFERROR(INDEX(مخرج_البند,MATCH($A454,قائمة_المخرجات,0)),""))</f>
        <v/>
      </c>
      <c r="C454" s="30" t="str">
        <f aca="false">IF($A454="","",IFERROR(INDEX(مخرج_الوصف,MATCH($A454,قائمة_المخرجات,0)),""))</f>
        <v/>
      </c>
      <c r="D454" s="20"/>
      <c r="E454" s="31"/>
      <c r="F454" s="22"/>
      <c r="G454" s="36" t="str">
        <f aca="false">IF(OR($A454="",$D454&lt;&gt;"تسليم",NOT(ISNUMBER($E454))),"",COUNTIFS($A$5:$A$1504,$A454,$D$5:$D$1504,"تسليم",$E$5:$E$1504,"&lt;"&amp;$E454)+1)</f>
        <v/>
      </c>
      <c r="H454" s="33" t="str">
        <f aca="false">IF($G454="","",_xlfn.MINIFS($E$5:$E$1504,$A$5:$A$1504,$A454,$D$5:$D$1504,"&lt;&gt;تسليم",$E$5:$E$1504,"&gt;="&amp;$E454))</f>
        <v/>
      </c>
      <c r="I454" s="33" t="str">
        <f aca="false">IF($G454="","",_xlfn.MINIFS($E$5:$E$1504,$A$5:$A$1504,$A454,$D$5:$D$1504,"تسليم",$E$5:$E$1504,"&gt;"&amp;$E454))</f>
        <v/>
      </c>
      <c r="J454" s="33" t="str">
        <f aca="false">IF($G454="","",IF(H454&gt;0,IF(I454&gt;0,MIN(H454,I454),H454),IF(I454&gt;0,I454,تاريخ_الاحتساب)))</f>
        <v/>
      </c>
      <c r="K454" s="34" t="str">
        <f aca="false">IF($G454="","",IF(AND(H454=0,I454=0),"جارية","مغلقة"))</f>
        <v/>
      </c>
      <c r="L454" s="26" t="str">
        <f aca="false">IF($G454="","",MAX(0,NETWORKDAYS.INTL($E454,J454,رمز_العطلة,أيام_الأجازات)-1))</f>
        <v/>
      </c>
      <c r="M454" s="26" t="str">
        <f aca="false">IF($G454="","",MAX(0,L454-مهلة_المراجعة))</f>
        <v/>
      </c>
      <c r="N454" s="30" t="str">
        <f aca="false">IF($A454="",IF(OR($D454&lt;&gt;"",$E454&lt;&gt;""),"رقم المخرج ناقص",""),IF(ISNA(MATCH($A454,قائمة_المخرجات,0)),"رقم مخرج غير موجود",IF($D454="","نوع الحركة ناقص",IF(NOT(ISNUMBER($E454)),"التاريخ ناقص",IF($E454&gt;تاريخ_الاحتساب,"تاريخ بعد تاريخ الاحتساب",IF(AND($D454&lt;&gt;"تسليم",COUNTIFS($A$5:$A$1504,$A454,$D$5:$D$1504,"تسليم",$E$5:$E$1504,"&lt;="&amp;$E454)=0),"لا يوجد تسليم قبل الحركة دي",""))))))</f>
        <v/>
      </c>
    </row>
    <row r="455" customFormat="false" ht="15" hidden="false" customHeight="false" outlineLevel="0" collapsed="false">
      <c r="A455" s="20"/>
      <c r="B455" s="35" t="str">
        <f aca="false">IF($A455="","",IFERROR(INDEX(مخرج_البند,MATCH($A455,قائمة_المخرجات,0)),""))</f>
        <v/>
      </c>
      <c r="C455" s="30" t="str">
        <f aca="false">IF($A455="","",IFERROR(INDEX(مخرج_الوصف,MATCH($A455,قائمة_المخرجات,0)),""))</f>
        <v/>
      </c>
      <c r="D455" s="20"/>
      <c r="E455" s="31"/>
      <c r="F455" s="22"/>
      <c r="G455" s="36" t="str">
        <f aca="false">IF(OR($A455="",$D455&lt;&gt;"تسليم",NOT(ISNUMBER($E455))),"",COUNTIFS($A$5:$A$1504,$A455,$D$5:$D$1504,"تسليم",$E$5:$E$1504,"&lt;"&amp;$E455)+1)</f>
        <v/>
      </c>
      <c r="H455" s="33" t="str">
        <f aca="false">IF($G455="","",_xlfn.MINIFS($E$5:$E$1504,$A$5:$A$1504,$A455,$D$5:$D$1504,"&lt;&gt;تسليم",$E$5:$E$1504,"&gt;="&amp;$E455))</f>
        <v/>
      </c>
      <c r="I455" s="33" t="str">
        <f aca="false">IF($G455="","",_xlfn.MINIFS($E$5:$E$1504,$A$5:$A$1504,$A455,$D$5:$D$1504,"تسليم",$E$5:$E$1504,"&gt;"&amp;$E455))</f>
        <v/>
      </c>
      <c r="J455" s="33" t="str">
        <f aca="false">IF($G455="","",IF(H455&gt;0,IF(I455&gt;0,MIN(H455,I455),H455),IF(I455&gt;0,I455,تاريخ_الاحتساب)))</f>
        <v/>
      </c>
      <c r="K455" s="34" t="str">
        <f aca="false">IF($G455="","",IF(AND(H455=0,I455=0),"جارية","مغلقة"))</f>
        <v/>
      </c>
      <c r="L455" s="26" t="str">
        <f aca="false">IF($G455="","",MAX(0,NETWORKDAYS.INTL($E455,J455,رمز_العطلة,أيام_الأجازات)-1))</f>
        <v/>
      </c>
      <c r="M455" s="26" t="str">
        <f aca="false">IF($G455="","",MAX(0,L455-مهلة_المراجعة))</f>
        <v/>
      </c>
      <c r="N455" s="30" t="str">
        <f aca="false">IF($A455="",IF(OR($D455&lt;&gt;"",$E455&lt;&gt;""),"رقم المخرج ناقص",""),IF(ISNA(MATCH($A455,قائمة_المخرجات,0)),"رقم مخرج غير موجود",IF($D455="","نوع الحركة ناقص",IF(NOT(ISNUMBER($E455)),"التاريخ ناقص",IF($E455&gt;تاريخ_الاحتساب,"تاريخ بعد تاريخ الاحتساب",IF(AND($D455&lt;&gt;"تسليم",COUNTIFS($A$5:$A$1504,$A455,$D$5:$D$1504,"تسليم",$E$5:$E$1504,"&lt;="&amp;$E455)=0),"لا يوجد تسليم قبل الحركة دي",""))))))</f>
        <v/>
      </c>
    </row>
    <row r="456" customFormat="false" ht="15" hidden="false" customHeight="false" outlineLevel="0" collapsed="false">
      <c r="A456" s="20"/>
      <c r="B456" s="35" t="str">
        <f aca="false">IF($A456="","",IFERROR(INDEX(مخرج_البند,MATCH($A456,قائمة_المخرجات,0)),""))</f>
        <v/>
      </c>
      <c r="C456" s="30" t="str">
        <f aca="false">IF($A456="","",IFERROR(INDEX(مخرج_الوصف,MATCH($A456,قائمة_المخرجات,0)),""))</f>
        <v/>
      </c>
      <c r="D456" s="20"/>
      <c r="E456" s="31"/>
      <c r="F456" s="22"/>
      <c r="G456" s="36" t="str">
        <f aca="false">IF(OR($A456="",$D456&lt;&gt;"تسليم",NOT(ISNUMBER($E456))),"",COUNTIFS($A$5:$A$1504,$A456,$D$5:$D$1504,"تسليم",$E$5:$E$1504,"&lt;"&amp;$E456)+1)</f>
        <v/>
      </c>
      <c r="H456" s="33" t="str">
        <f aca="false">IF($G456="","",_xlfn.MINIFS($E$5:$E$1504,$A$5:$A$1504,$A456,$D$5:$D$1504,"&lt;&gt;تسليم",$E$5:$E$1504,"&gt;="&amp;$E456))</f>
        <v/>
      </c>
      <c r="I456" s="33" t="str">
        <f aca="false">IF($G456="","",_xlfn.MINIFS($E$5:$E$1504,$A$5:$A$1504,$A456,$D$5:$D$1504,"تسليم",$E$5:$E$1504,"&gt;"&amp;$E456))</f>
        <v/>
      </c>
      <c r="J456" s="33" t="str">
        <f aca="false">IF($G456="","",IF(H456&gt;0,IF(I456&gt;0,MIN(H456,I456),H456),IF(I456&gt;0,I456,تاريخ_الاحتساب)))</f>
        <v/>
      </c>
      <c r="K456" s="34" t="str">
        <f aca="false">IF($G456="","",IF(AND(H456=0,I456=0),"جارية","مغلقة"))</f>
        <v/>
      </c>
      <c r="L456" s="26" t="str">
        <f aca="false">IF($G456="","",MAX(0,NETWORKDAYS.INTL($E456,J456,رمز_العطلة,أيام_الأجازات)-1))</f>
        <v/>
      </c>
      <c r="M456" s="26" t="str">
        <f aca="false">IF($G456="","",MAX(0,L456-مهلة_المراجعة))</f>
        <v/>
      </c>
      <c r="N456" s="30" t="str">
        <f aca="false">IF($A456="",IF(OR($D456&lt;&gt;"",$E456&lt;&gt;""),"رقم المخرج ناقص",""),IF(ISNA(MATCH($A456,قائمة_المخرجات,0)),"رقم مخرج غير موجود",IF($D456="","نوع الحركة ناقص",IF(NOT(ISNUMBER($E456)),"التاريخ ناقص",IF($E456&gt;تاريخ_الاحتساب,"تاريخ بعد تاريخ الاحتساب",IF(AND($D456&lt;&gt;"تسليم",COUNTIFS($A$5:$A$1504,$A456,$D$5:$D$1504,"تسليم",$E$5:$E$1504,"&lt;="&amp;$E456)=0),"لا يوجد تسليم قبل الحركة دي",""))))))</f>
        <v/>
      </c>
    </row>
    <row r="457" customFormat="false" ht="15" hidden="false" customHeight="false" outlineLevel="0" collapsed="false">
      <c r="A457" s="20"/>
      <c r="B457" s="35" t="str">
        <f aca="false">IF($A457="","",IFERROR(INDEX(مخرج_البند,MATCH($A457,قائمة_المخرجات,0)),""))</f>
        <v/>
      </c>
      <c r="C457" s="30" t="str">
        <f aca="false">IF($A457="","",IFERROR(INDEX(مخرج_الوصف,MATCH($A457,قائمة_المخرجات,0)),""))</f>
        <v/>
      </c>
      <c r="D457" s="20"/>
      <c r="E457" s="31"/>
      <c r="F457" s="22"/>
      <c r="G457" s="36" t="str">
        <f aca="false">IF(OR($A457="",$D457&lt;&gt;"تسليم",NOT(ISNUMBER($E457))),"",COUNTIFS($A$5:$A$1504,$A457,$D$5:$D$1504,"تسليم",$E$5:$E$1504,"&lt;"&amp;$E457)+1)</f>
        <v/>
      </c>
      <c r="H457" s="33" t="str">
        <f aca="false">IF($G457="","",_xlfn.MINIFS($E$5:$E$1504,$A$5:$A$1504,$A457,$D$5:$D$1504,"&lt;&gt;تسليم",$E$5:$E$1504,"&gt;="&amp;$E457))</f>
        <v/>
      </c>
      <c r="I457" s="33" t="str">
        <f aca="false">IF($G457="","",_xlfn.MINIFS($E$5:$E$1504,$A$5:$A$1504,$A457,$D$5:$D$1504,"تسليم",$E$5:$E$1504,"&gt;"&amp;$E457))</f>
        <v/>
      </c>
      <c r="J457" s="33" t="str">
        <f aca="false">IF($G457="","",IF(H457&gt;0,IF(I457&gt;0,MIN(H457,I457),H457),IF(I457&gt;0,I457,تاريخ_الاحتساب)))</f>
        <v/>
      </c>
      <c r="K457" s="34" t="str">
        <f aca="false">IF($G457="","",IF(AND(H457=0,I457=0),"جارية","مغلقة"))</f>
        <v/>
      </c>
      <c r="L457" s="26" t="str">
        <f aca="false">IF($G457="","",MAX(0,NETWORKDAYS.INTL($E457,J457,رمز_العطلة,أيام_الأجازات)-1))</f>
        <v/>
      </c>
      <c r="M457" s="26" t="str">
        <f aca="false">IF($G457="","",MAX(0,L457-مهلة_المراجعة))</f>
        <v/>
      </c>
      <c r="N457" s="30" t="str">
        <f aca="false">IF($A457="",IF(OR($D457&lt;&gt;"",$E457&lt;&gt;""),"رقم المخرج ناقص",""),IF(ISNA(MATCH($A457,قائمة_المخرجات,0)),"رقم مخرج غير موجود",IF($D457="","نوع الحركة ناقص",IF(NOT(ISNUMBER($E457)),"التاريخ ناقص",IF($E457&gt;تاريخ_الاحتساب,"تاريخ بعد تاريخ الاحتساب",IF(AND($D457&lt;&gt;"تسليم",COUNTIFS($A$5:$A$1504,$A457,$D$5:$D$1504,"تسليم",$E$5:$E$1504,"&lt;="&amp;$E457)=0),"لا يوجد تسليم قبل الحركة دي",""))))))</f>
        <v/>
      </c>
    </row>
    <row r="458" customFormat="false" ht="15" hidden="false" customHeight="false" outlineLevel="0" collapsed="false">
      <c r="A458" s="20"/>
      <c r="B458" s="35" t="str">
        <f aca="false">IF($A458="","",IFERROR(INDEX(مخرج_البند,MATCH($A458,قائمة_المخرجات,0)),""))</f>
        <v/>
      </c>
      <c r="C458" s="30" t="str">
        <f aca="false">IF($A458="","",IFERROR(INDEX(مخرج_الوصف,MATCH($A458,قائمة_المخرجات,0)),""))</f>
        <v/>
      </c>
      <c r="D458" s="20"/>
      <c r="E458" s="31"/>
      <c r="F458" s="22"/>
      <c r="G458" s="36" t="str">
        <f aca="false">IF(OR($A458="",$D458&lt;&gt;"تسليم",NOT(ISNUMBER($E458))),"",COUNTIFS($A$5:$A$1504,$A458,$D$5:$D$1504,"تسليم",$E$5:$E$1504,"&lt;"&amp;$E458)+1)</f>
        <v/>
      </c>
      <c r="H458" s="33" t="str">
        <f aca="false">IF($G458="","",_xlfn.MINIFS($E$5:$E$1504,$A$5:$A$1504,$A458,$D$5:$D$1504,"&lt;&gt;تسليم",$E$5:$E$1504,"&gt;="&amp;$E458))</f>
        <v/>
      </c>
      <c r="I458" s="33" t="str">
        <f aca="false">IF($G458="","",_xlfn.MINIFS($E$5:$E$1504,$A$5:$A$1504,$A458,$D$5:$D$1504,"تسليم",$E$5:$E$1504,"&gt;"&amp;$E458))</f>
        <v/>
      </c>
      <c r="J458" s="33" t="str">
        <f aca="false">IF($G458="","",IF(H458&gt;0,IF(I458&gt;0,MIN(H458,I458),H458),IF(I458&gt;0,I458,تاريخ_الاحتساب)))</f>
        <v/>
      </c>
      <c r="K458" s="34" t="str">
        <f aca="false">IF($G458="","",IF(AND(H458=0,I458=0),"جارية","مغلقة"))</f>
        <v/>
      </c>
      <c r="L458" s="26" t="str">
        <f aca="false">IF($G458="","",MAX(0,NETWORKDAYS.INTL($E458,J458,رمز_العطلة,أيام_الأجازات)-1))</f>
        <v/>
      </c>
      <c r="M458" s="26" t="str">
        <f aca="false">IF($G458="","",MAX(0,L458-مهلة_المراجعة))</f>
        <v/>
      </c>
      <c r="N458" s="30" t="str">
        <f aca="false">IF($A458="",IF(OR($D458&lt;&gt;"",$E458&lt;&gt;""),"رقم المخرج ناقص",""),IF(ISNA(MATCH($A458,قائمة_المخرجات,0)),"رقم مخرج غير موجود",IF($D458="","نوع الحركة ناقص",IF(NOT(ISNUMBER($E458)),"التاريخ ناقص",IF($E458&gt;تاريخ_الاحتساب,"تاريخ بعد تاريخ الاحتساب",IF(AND($D458&lt;&gt;"تسليم",COUNTIFS($A$5:$A$1504,$A458,$D$5:$D$1504,"تسليم",$E$5:$E$1504,"&lt;="&amp;$E458)=0),"لا يوجد تسليم قبل الحركة دي",""))))))</f>
        <v/>
      </c>
    </row>
    <row r="459" customFormat="false" ht="15" hidden="false" customHeight="false" outlineLevel="0" collapsed="false">
      <c r="A459" s="20"/>
      <c r="B459" s="35" t="str">
        <f aca="false">IF($A459="","",IFERROR(INDEX(مخرج_البند,MATCH($A459,قائمة_المخرجات,0)),""))</f>
        <v/>
      </c>
      <c r="C459" s="30" t="str">
        <f aca="false">IF($A459="","",IFERROR(INDEX(مخرج_الوصف,MATCH($A459,قائمة_المخرجات,0)),""))</f>
        <v/>
      </c>
      <c r="D459" s="20"/>
      <c r="E459" s="31"/>
      <c r="F459" s="22"/>
      <c r="G459" s="36" t="str">
        <f aca="false">IF(OR($A459="",$D459&lt;&gt;"تسليم",NOT(ISNUMBER($E459))),"",COUNTIFS($A$5:$A$1504,$A459,$D$5:$D$1504,"تسليم",$E$5:$E$1504,"&lt;"&amp;$E459)+1)</f>
        <v/>
      </c>
      <c r="H459" s="33" t="str">
        <f aca="false">IF($G459="","",_xlfn.MINIFS($E$5:$E$1504,$A$5:$A$1504,$A459,$D$5:$D$1504,"&lt;&gt;تسليم",$E$5:$E$1504,"&gt;="&amp;$E459))</f>
        <v/>
      </c>
      <c r="I459" s="33" t="str">
        <f aca="false">IF($G459="","",_xlfn.MINIFS($E$5:$E$1504,$A$5:$A$1504,$A459,$D$5:$D$1504,"تسليم",$E$5:$E$1504,"&gt;"&amp;$E459))</f>
        <v/>
      </c>
      <c r="J459" s="33" t="str">
        <f aca="false">IF($G459="","",IF(H459&gt;0,IF(I459&gt;0,MIN(H459,I459),H459),IF(I459&gt;0,I459,تاريخ_الاحتساب)))</f>
        <v/>
      </c>
      <c r="K459" s="34" t="str">
        <f aca="false">IF($G459="","",IF(AND(H459=0,I459=0),"جارية","مغلقة"))</f>
        <v/>
      </c>
      <c r="L459" s="26" t="str">
        <f aca="false">IF($G459="","",MAX(0,NETWORKDAYS.INTL($E459,J459,رمز_العطلة,أيام_الأجازات)-1))</f>
        <v/>
      </c>
      <c r="M459" s="26" t="str">
        <f aca="false">IF($G459="","",MAX(0,L459-مهلة_المراجعة))</f>
        <v/>
      </c>
      <c r="N459" s="30" t="str">
        <f aca="false">IF($A459="",IF(OR($D459&lt;&gt;"",$E459&lt;&gt;""),"رقم المخرج ناقص",""),IF(ISNA(MATCH($A459,قائمة_المخرجات,0)),"رقم مخرج غير موجود",IF($D459="","نوع الحركة ناقص",IF(NOT(ISNUMBER($E459)),"التاريخ ناقص",IF($E459&gt;تاريخ_الاحتساب,"تاريخ بعد تاريخ الاحتساب",IF(AND($D459&lt;&gt;"تسليم",COUNTIFS($A$5:$A$1504,$A459,$D$5:$D$1504,"تسليم",$E$5:$E$1504,"&lt;="&amp;$E459)=0),"لا يوجد تسليم قبل الحركة دي",""))))))</f>
        <v/>
      </c>
    </row>
    <row r="460" customFormat="false" ht="15" hidden="false" customHeight="false" outlineLevel="0" collapsed="false">
      <c r="A460" s="20"/>
      <c r="B460" s="35" t="str">
        <f aca="false">IF($A460="","",IFERROR(INDEX(مخرج_البند,MATCH($A460,قائمة_المخرجات,0)),""))</f>
        <v/>
      </c>
      <c r="C460" s="30" t="str">
        <f aca="false">IF($A460="","",IFERROR(INDEX(مخرج_الوصف,MATCH($A460,قائمة_المخرجات,0)),""))</f>
        <v/>
      </c>
      <c r="D460" s="20"/>
      <c r="E460" s="31"/>
      <c r="F460" s="22"/>
      <c r="G460" s="36" t="str">
        <f aca="false">IF(OR($A460="",$D460&lt;&gt;"تسليم",NOT(ISNUMBER($E460))),"",COUNTIFS($A$5:$A$1504,$A460,$D$5:$D$1504,"تسليم",$E$5:$E$1504,"&lt;"&amp;$E460)+1)</f>
        <v/>
      </c>
      <c r="H460" s="33" t="str">
        <f aca="false">IF($G460="","",_xlfn.MINIFS($E$5:$E$1504,$A$5:$A$1504,$A460,$D$5:$D$1504,"&lt;&gt;تسليم",$E$5:$E$1504,"&gt;="&amp;$E460))</f>
        <v/>
      </c>
      <c r="I460" s="33" t="str">
        <f aca="false">IF($G460="","",_xlfn.MINIFS($E$5:$E$1504,$A$5:$A$1504,$A460,$D$5:$D$1504,"تسليم",$E$5:$E$1504,"&gt;"&amp;$E460))</f>
        <v/>
      </c>
      <c r="J460" s="33" t="str">
        <f aca="false">IF($G460="","",IF(H460&gt;0,IF(I460&gt;0,MIN(H460,I460),H460),IF(I460&gt;0,I460,تاريخ_الاحتساب)))</f>
        <v/>
      </c>
      <c r="K460" s="34" t="str">
        <f aca="false">IF($G460="","",IF(AND(H460=0,I460=0),"جارية","مغلقة"))</f>
        <v/>
      </c>
      <c r="L460" s="26" t="str">
        <f aca="false">IF($G460="","",MAX(0,NETWORKDAYS.INTL($E460,J460,رمز_العطلة,أيام_الأجازات)-1))</f>
        <v/>
      </c>
      <c r="M460" s="26" t="str">
        <f aca="false">IF($G460="","",MAX(0,L460-مهلة_المراجعة))</f>
        <v/>
      </c>
      <c r="N460" s="30" t="str">
        <f aca="false">IF($A460="",IF(OR($D460&lt;&gt;"",$E460&lt;&gt;""),"رقم المخرج ناقص",""),IF(ISNA(MATCH($A460,قائمة_المخرجات,0)),"رقم مخرج غير موجود",IF($D460="","نوع الحركة ناقص",IF(NOT(ISNUMBER($E460)),"التاريخ ناقص",IF($E460&gt;تاريخ_الاحتساب,"تاريخ بعد تاريخ الاحتساب",IF(AND($D460&lt;&gt;"تسليم",COUNTIFS($A$5:$A$1504,$A460,$D$5:$D$1504,"تسليم",$E$5:$E$1504,"&lt;="&amp;$E460)=0),"لا يوجد تسليم قبل الحركة دي",""))))))</f>
        <v/>
      </c>
    </row>
    <row r="461" customFormat="false" ht="15" hidden="false" customHeight="false" outlineLevel="0" collapsed="false">
      <c r="A461" s="20"/>
      <c r="B461" s="35" t="str">
        <f aca="false">IF($A461="","",IFERROR(INDEX(مخرج_البند,MATCH($A461,قائمة_المخرجات,0)),""))</f>
        <v/>
      </c>
      <c r="C461" s="30" t="str">
        <f aca="false">IF($A461="","",IFERROR(INDEX(مخرج_الوصف,MATCH($A461,قائمة_المخرجات,0)),""))</f>
        <v/>
      </c>
      <c r="D461" s="20"/>
      <c r="E461" s="31"/>
      <c r="F461" s="22"/>
      <c r="G461" s="36" t="str">
        <f aca="false">IF(OR($A461="",$D461&lt;&gt;"تسليم",NOT(ISNUMBER($E461))),"",COUNTIFS($A$5:$A$1504,$A461,$D$5:$D$1504,"تسليم",$E$5:$E$1504,"&lt;"&amp;$E461)+1)</f>
        <v/>
      </c>
      <c r="H461" s="33" t="str">
        <f aca="false">IF($G461="","",_xlfn.MINIFS($E$5:$E$1504,$A$5:$A$1504,$A461,$D$5:$D$1504,"&lt;&gt;تسليم",$E$5:$E$1504,"&gt;="&amp;$E461))</f>
        <v/>
      </c>
      <c r="I461" s="33" t="str">
        <f aca="false">IF($G461="","",_xlfn.MINIFS($E$5:$E$1504,$A$5:$A$1504,$A461,$D$5:$D$1504,"تسليم",$E$5:$E$1504,"&gt;"&amp;$E461))</f>
        <v/>
      </c>
      <c r="J461" s="33" t="str">
        <f aca="false">IF($G461="","",IF(H461&gt;0,IF(I461&gt;0,MIN(H461,I461),H461),IF(I461&gt;0,I461,تاريخ_الاحتساب)))</f>
        <v/>
      </c>
      <c r="K461" s="34" t="str">
        <f aca="false">IF($G461="","",IF(AND(H461=0,I461=0),"جارية","مغلقة"))</f>
        <v/>
      </c>
      <c r="L461" s="26" t="str">
        <f aca="false">IF($G461="","",MAX(0,NETWORKDAYS.INTL($E461,J461,رمز_العطلة,أيام_الأجازات)-1))</f>
        <v/>
      </c>
      <c r="M461" s="26" t="str">
        <f aca="false">IF($G461="","",MAX(0,L461-مهلة_المراجعة))</f>
        <v/>
      </c>
      <c r="N461" s="30" t="str">
        <f aca="false">IF($A461="",IF(OR($D461&lt;&gt;"",$E461&lt;&gt;""),"رقم المخرج ناقص",""),IF(ISNA(MATCH($A461,قائمة_المخرجات,0)),"رقم مخرج غير موجود",IF($D461="","نوع الحركة ناقص",IF(NOT(ISNUMBER($E461)),"التاريخ ناقص",IF($E461&gt;تاريخ_الاحتساب,"تاريخ بعد تاريخ الاحتساب",IF(AND($D461&lt;&gt;"تسليم",COUNTIFS($A$5:$A$1504,$A461,$D$5:$D$1504,"تسليم",$E$5:$E$1504,"&lt;="&amp;$E461)=0),"لا يوجد تسليم قبل الحركة دي",""))))))</f>
        <v/>
      </c>
    </row>
    <row r="462" customFormat="false" ht="15" hidden="false" customHeight="false" outlineLevel="0" collapsed="false">
      <c r="A462" s="20"/>
      <c r="B462" s="35" t="str">
        <f aca="false">IF($A462="","",IFERROR(INDEX(مخرج_البند,MATCH($A462,قائمة_المخرجات,0)),""))</f>
        <v/>
      </c>
      <c r="C462" s="30" t="str">
        <f aca="false">IF($A462="","",IFERROR(INDEX(مخرج_الوصف,MATCH($A462,قائمة_المخرجات,0)),""))</f>
        <v/>
      </c>
      <c r="D462" s="20"/>
      <c r="E462" s="31"/>
      <c r="F462" s="22"/>
      <c r="G462" s="36" t="str">
        <f aca="false">IF(OR($A462="",$D462&lt;&gt;"تسليم",NOT(ISNUMBER($E462))),"",COUNTIFS($A$5:$A$1504,$A462,$D$5:$D$1504,"تسليم",$E$5:$E$1504,"&lt;"&amp;$E462)+1)</f>
        <v/>
      </c>
      <c r="H462" s="33" t="str">
        <f aca="false">IF($G462="","",_xlfn.MINIFS($E$5:$E$1504,$A$5:$A$1504,$A462,$D$5:$D$1504,"&lt;&gt;تسليم",$E$5:$E$1504,"&gt;="&amp;$E462))</f>
        <v/>
      </c>
      <c r="I462" s="33" t="str">
        <f aca="false">IF($G462="","",_xlfn.MINIFS($E$5:$E$1504,$A$5:$A$1504,$A462,$D$5:$D$1504,"تسليم",$E$5:$E$1504,"&gt;"&amp;$E462))</f>
        <v/>
      </c>
      <c r="J462" s="33" t="str">
        <f aca="false">IF($G462="","",IF(H462&gt;0,IF(I462&gt;0,MIN(H462,I462),H462),IF(I462&gt;0,I462,تاريخ_الاحتساب)))</f>
        <v/>
      </c>
      <c r="K462" s="34" t="str">
        <f aca="false">IF($G462="","",IF(AND(H462=0,I462=0),"جارية","مغلقة"))</f>
        <v/>
      </c>
      <c r="L462" s="26" t="str">
        <f aca="false">IF($G462="","",MAX(0,NETWORKDAYS.INTL($E462,J462,رمز_العطلة,أيام_الأجازات)-1))</f>
        <v/>
      </c>
      <c r="M462" s="26" t="str">
        <f aca="false">IF($G462="","",MAX(0,L462-مهلة_المراجعة))</f>
        <v/>
      </c>
      <c r="N462" s="30" t="str">
        <f aca="false">IF($A462="",IF(OR($D462&lt;&gt;"",$E462&lt;&gt;""),"رقم المخرج ناقص",""),IF(ISNA(MATCH($A462,قائمة_المخرجات,0)),"رقم مخرج غير موجود",IF($D462="","نوع الحركة ناقص",IF(NOT(ISNUMBER($E462)),"التاريخ ناقص",IF($E462&gt;تاريخ_الاحتساب,"تاريخ بعد تاريخ الاحتساب",IF(AND($D462&lt;&gt;"تسليم",COUNTIFS($A$5:$A$1504,$A462,$D$5:$D$1504,"تسليم",$E$5:$E$1504,"&lt;="&amp;$E462)=0),"لا يوجد تسليم قبل الحركة دي",""))))))</f>
        <v/>
      </c>
    </row>
    <row r="463" customFormat="false" ht="15" hidden="false" customHeight="false" outlineLevel="0" collapsed="false">
      <c r="A463" s="20"/>
      <c r="B463" s="35" t="str">
        <f aca="false">IF($A463="","",IFERROR(INDEX(مخرج_البند,MATCH($A463,قائمة_المخرجات,0)),""))</f>
        <v/>
      </c>
      <c r="C463" s="30" t="str">
        <f aca="false">IF($A463="","",IFERROR(INDEX(مخرج_الوصف,MATCH($A463,قائمة_المخرجات,0)),""))</f>
        <v/>
      </c>
      <c r="D463" s="20"/>
      <c r="E463" s="31"/>
      <c r="F463" s="22"/>
      <c r="G463" s="36" t="str">
        <f aca="false">IF(OR($A463="",$D463&lt;&gt;"تسليم",NOT(ISNUMBER($E463))),"",COUNTIFS($A$5:$A$1504,$A463,$D$5:$D$1504,"تسليم",$E$5:$E$1504,"&lt;"&amp;$E463)+1)</f>
        <v/>
      </c>
      <c r="H463" s="33" t="str">
        <f aca="false">IF($G463="","",_xlfn.MINIFS($E$5:$E$1504,$A$5:$A$1504,$A463,$D$5:$D$1504,"&lt;&gt;تسليم",$E$5:$E$1504,"&gt;="&amp;$E463))</f>
        <v/>
      </c>
      <c r="I463" s="33" t="str">
        <f aca="false">IF($G463="","",_xlfn.MINIFS($E$5:$E$1504,$A$5:$A$1504,$A463,$D$5:$D$1504,"تسليم",$E$5:$E$1504,"&gt;"&amp;$E463))</f>
        <v/>
      </c>
      <c r="J463" s="33" t="str">
        <f aca="false">IF($G463="","",IF(H463&gt;0,IF(I463&gt;0,MIN(H463,I463),H463),IF(I463&gt;0,I463,تاريخ_الاحتساب)))</f>
        <v/>
      </c>
      <c r="K463" s="34" t="str">
        <f aca="false">IF($G463="","",IF(AND(H463=0,I463=0),"جارية","مغلقة"))</f>
        <v/>
      </c>
      <c r="L463" s="26" t="str">
        <f aca="false">IF($G463="","",MAX(0,NETWORKDAYS.INTL($E463,J463,رمز_العطلة,أيام_الأجازات)-1))</f>
        <v/>
      </c>
      <c r="M463" s="26" t="str">
        <f aca="false">IF($G463="","",MAX(0,L463-مهلة_المراجعة))</f>
        <v/>
      </c>
      <c r="N463" s="30" t="str">
        <f aca="false">IF($A463="",IF(OR($D463&lt;&gt;"",$E463&lt;&gt;""),"رقم المخرج ناقص",""),IF(ISNA(MATCH($A463,قائمة_المخرجات,0)),"رقم مخرج غير موجود",IF($D463="","نوع الحركة ناقص",IF(NOT(ISNUMBER($E463)),"التاريخ ناقص",IF($E463&gt;تاريخ_الاحتساب,"تاريخ بعد تاريخ الاحتساب",IF(AND($D463&lt;&gt;"تسليم",COUNTIFS($A$5:$A$1504,$A463,$D$5:$D$1504,"تسليم",$E$5:$E$1504,"&lt;="&amp;$E463)=0),"لا يوجد تسليم قبل الحركة دي",""))))))</f>
        <v/>
      </c>
    </row>
    <row r="464" customFormat="false" ht="15" hidden="false" customHeight="false" outlineLevel="0" collapsed="false">
      <c r="A464" s="20"/>
      <c r="B464" s="35" t="str">
        <f aca="false">IF($A464="","",IFERROR(INDEX(مخرج_البند,MATCH($A464,قائمة_المخرجات,0)),""))</f>
        <v/>
      </c>
      <c r="C464" s="30" t="str">
        <f aca="false">IF($A464="","",IFERROR(INDEX(مخرج_الوصف,MATCH($A464,قائمة_المخرجات,0)),""))</f>
        <v/>
      </c>
      <c r="D464" s="20"/>
      <c r="E464" s="31"/>
      <c r="F464" s="22"/>
      <c r="G464" s="36" t="str">
        <f aca="false">IF(OR($A464="",$D464&lt;&gt;"تسليم",NOT(ISNUMBER($E464))),"",COUNTIFS($A$5:$A$1504,$A464,$D$5:$D$1504,"تسليم",$E$5:$E$1504,"&lt;"&amp;$E464)+1)</f>
        <v/>
      </c>
      <c r="H464" s="33" t="str">
        <f aca="false">IF($G464="","",_xlfn.MINIFS($E$5:$E$1504,$A$5:$A$1504,$A464,$D$5:$D$1504,"&lt;&gt;تسليم",$E$5:$E$1504,"&gt;="&amp;$E464))</f>
        <v/>
      </c>
      <c r="I464" s="33" t="str">
        <f aca="false">IF($G464="","",_xlfn.MINIFS($E$5:$E$1504,$A$5:$A$1504,$A464,$D$5:$D$1504,"تسليم",$E$5:$E$1504,"&gt;"&amp;$E464))</f>
        <v/>
      </c>
      <c r="J464" s="33" t="str">
        <f aca="false">IF($G464="","",IF(H464&gt;0,IF(I464&gt;0,MIN(H464,I464),H464),IF(I464&gt;0,I464,تاريخ_الاحتساب)))</f>
        <v/>
      </c>
      <c r="K464" s="34" t="str">
        <f aca="false">IF($G464="","",IF(AND(H464=0,I464=0),"جارية","مغلقة"))</f>
        <v/>
      </c>
      <c r="L464" s="26" t="str">
        <f aca="false">IF($G464="","",MAX(0,NETWORKDAYS.INTL($E464,J464,رمز_العطلة,أيام_الأجازات)-1))</f>
        <v/>
      </c>
      <c r="M464" s="26" t="str">
        <f aca="false">IF($G464="","",MAX(0,L464-مهلة_المراجعة))</f>
        <v/>
      </c>
      <c r="N464" s="30" t="str">
        <f aca="false">IF($A464="",IF(OR($D464&lt;&gt;"",$E464&lt;&gt;""),"رقم المخرج ناقص",""),IF(ISNA(MATCH($A464,قائمة_المخرجات,0)),"رقم مخرج غير موجود",IF($D464="","نوع الحركة ناقص",IF(NOT(ISNUMBER($E464)),"التاريخ ناقص",IF($E464&gt;تاريخ_الاحتساب,"تاريخ بعد تاريخ الاحتساب",IF(AND($D464&lt;&gt;"تسليم",COUNTIFS($A$5:$A$1504,$A464,$D$5:$D$1504,"تسليم",$E$5:$E$1504,"&lt;="&amp;$E464)=0),"لا يوجد تسليم قبل الحركة دي",""))))))</f>
        <v/>
      </c>
    </row>
    <row r="465" customFormat="false" ht="15" hidden="false" customHeight="false" outlineLevel="0" collapsed="false">
      <c r="A465" s="20"/>
      <c r="B465" s="35" t="str">
        <f aca="false">IF($A465="","",IFERROR(INDEX(مخرج_البند,MATCH($A465,قائمة_المخرجات,0)),""))</f>
        <v/>
      </c>
      <c r="C465" s="30" t="str">
        <f aca="false">IF($A465="","",IFERROR(INDEX(مخرج_الوصف,MATCH($A465,قائمة_المخرجات,0)),""))</f>
        <v/>
      </c>
      <c r="D465" s="20"/>
      <c r="E465" s="31"/>
      <c r="F465" s="22"/>
      <c r="G465" s="36" t="str">
        <f aca="false">IF(OR($A465="",$D465&lt;&gt;"تسليم",NOT(ISNUMBER($E465))),"",COUNTIFS($A$5:$A$1504,$A465,$D$5:$D$1504,"تسليم",$E$5:$E$1504,"&lt;"&amp;$E465)+1)</f>
        <v/>
      </c>
      <c r="H465" s="33" t="str">
        <f aca="false">IF($G465="","",_xlfn.MINIFS($E$5:$E$1504,$A$5:$A$1504,$A465,$D$5:$D$1504,"&lt;&gt;تسليم",$E$5:$E$1504,"&gt;="&amp;$E465))</f>
        <v/>
      </c>
      <c r="I465" s="33" t="str">
        <f aca="false">IF($G465="","",_xlfn.MINIFS($E$5:$E$1504,$A$5:$A$1504,$A465,$D$5:$D$1504,"تسليم",$E$5:$E$1504,"&gt;"&amp;$E465))</f>
        <v/>
      </c>
      <c r="J465" s="33" t="str">
        <f aca="false">IF($G465="","",IF(H465&gt;0,IF(I465&gt;0,MIN(H465,I465),H465),IF(I465&gt;0,I465,تاريخ_الاحتساب)))</f>
        <v/>
      </c>
      <c r="K465" s="34" t="str">
        <f aca="false">IF($G465="","",IF(AND(H465=0,I465=0),"جارية","مغلقة"))</f>
        <v/>
      </c>
      <c r="L465" s="26" t="str">
        <f aca="false">IF($G465="","",MAX(0,NETWORKDAYS.INTL($E465,J465,رمز_العطلة,أيام_الأجازات)-1))</f>
        <v/>
      </c>
      <c r="M465" s="26" t="str">
        <f aca="false">IF($G465="","",MAX(0,L465-مهلة_المراجعة))</f>
        <v/>
      </c>
      <c r="N465" s="30" t="str">
        <f aca="false">IF($A465="",IF(OR($D465&lt;&gt;"",$E465&lt;&gt;""),"رقم المخرج ناقص",""),IF(ISNA(MATCH($A465,قائمة_المخرجات,0)),"رقم مخرج غير موجود",IF($D465="","نوع الحركة ناقص",IF(NOT(ISNUMBER($E465)),"التاريخ ناقص",IF($E465&gt;تاريخ_الاحتساب,"تاريخ بعد تاريخ الاحتساب",IF(AND($D465&lt;&gt;"تسليم",COUNTIFS($A$5:$A$1504,$A465,$D$5:$D$1504,"تسليم",$E$5:$E$1504,"&lt;="&amp;$E465)=0),"لا يوجد تسليم قبل الحركة دي",""))))))</f>
        <v/>
      </c>
    </row>
    <row r="466" customFormat="false" ht="15" hidden="false" customHeight="false" outlineLevel="0" collapsed="false">
      <c r="A466" s="20"/>
      <c r="B466" s="35" t="str">
        <f aca="false">IF($A466="","",IFERROR(INDEX(مخرج_البند,MATCH($A466,قائمة_المخرجات,0)),""))</f>
        <v/>
      </c>
      <c r="C466" s="30" t="str">
        <f aca="false">IF($A466="","",IFERROR(INDEX(مخرج_الوصف,MATCH($A466,قائمة_المخرجات,0)),""))</f>
        <v/>
      </c>
      <c r="D466" s="20"/>
      <c r="E466" s="31"/>
      <c r="F466" s="22"/>
      <c r="G466" s="36" t="str">
        <f aca="false">IF(OR($A466="",$D466&lt;&gt;"تسليم",NOT(ISNUMBER($E466))),"",COUNTIFS($A$5:$A$1504,$A466,$D$5:$D$1504,"تسليم",$E$5:$E$1504,"&lt;"&amp;$E466)+1)</f>
        <v/>
      </c>
      <c r="H466" s="33" t="str">
        <f aca="false">IF($G466="","",_xlfn.MINIFS($E$5:$E$1504,$A$5:$A$1504,$A466,$D$5:$D$1504,"&lt;&gt;تسليم",$E$5:$E$1504,"&gt;="&amp;$E466))</f>
        <v/>
      </c>
      <c r="I466" s="33" t="str">
        <f aca="false">IF($G466="","",_xlfn.MINIFS($E$5:$E$1504,$A$5:$A$1504,$A466,$D$5:$D$1504,"تسليم",$E$5:$E$1504,"&gt;"&amp;$E466))</f>
        <v/>
      </c>
      <c r="J466" s="33" t="str">
        <f aca="false">IF($G466="","",IF(H466&gt;0,IF(I466&gt;0,MIN(H466,I466),H466),IF(I466&gt;0,I466,تاريخ_الاحتساب)))</f>
        <v/>
      </c>
      <c r="K466" s="34" t="str">
        <f aca="false">IF($G466="","",IF(AND(H466=0,I466=0),"جارية","مغلقة"))</f>
        <v/>
      </c>
      <c r="L466" s="26" t="str">
        <f aca="false">IF($G466="","",MAX(0,NETWORKDAYS.INTL($E466,J466,رمز_العطلة,أيام_الأجازات)-1))</f>
        <v/>
      </c>
      <c r="M466" s="26" t="str">
        <f aca="false">IF($G466="","",MAX(0,L466-مهلة_المراجعة))</f>
        <v/>
      </c>
      <c r="N466" s="30" t="str">
        <f aca="false">IF($A466="",IF(OR($D466&lt;&gt;"",$E466&lt;&gt;""),"رقم المخرج ناقص",""),IF(ISNA(MATCH($A466,قائمة_المخرجات,0)),"رقم مخرج غير موجود",IF($D466="","نوع الحركة ناقص",IF(NOT(ISNUMBER($E466)),"التاريخ ناقص",IF($E466&gt;تاريخ_الاحتساب,"تاريخ بعد تاريخ الاحتساب",IF(AND($D466&lt;&gt;"تسليم",COUNTIFS($A$5:$A$1504,$A466,$D$5:$D$1504,"تسليم",$E$5:$E$1504,"&lt;="&amp;$E466)=0),"لا يوجد تسليم قبل الحركة دي",""))))))</f>
        <v/>
      </c>
    </row>
    <row r="467" customFormat="false" ht="15" hidden="false" customHeight="false" outlineLevel="0" collapsed="false">
      <c r="A467" s="20"/>
      <c r="B467" s="35" t="str">
        <f aca="false">IF($A467="","",IFERROR(INDEX(مخرج_البند,MATCH($A467,قائمة_المخرجات,0)),""))</f>
        <v/>
      </c>
      <c r="C467" s="30" t="str">
        <f aca="false">IF($A467="","",IFERROR(INDEX(مخرج_الوصف,MATCH($A467,قائمة_المخرجات,0)),""))</f>
        <v/>
      </c>
      <c r="D467" s="20"/>
      <c r="E467" s="31"/>
      <c r="F467" s="22"/>
      <c r="G467" s="36" t="str">
        <f aca="false">IF(OR($A467="",$D467&lt;&gt;"تسليم",NOT(ISNUMBER($E467))),"",COUNTIFS($A$5:$A$1504,$A467,$D$5:$D$1504,"تسليم",$E$5:$E$1504,"&lt;"&amp;$E467)+1)</f>
        <v/>
      </c>
      <c r="H467" s="33" t="str">
        <f aca="false">IF($G467="","",_xlfn.MINIFS($E$5:$E$1504,$A$5:$A$1504,$A467,$D$5:$D$1504,"&lt;&gt;تسليم",$E$5:$E$1504,"&gt;="&amp;$E467))</f>
        <v/>
      </c>
      <c r="I467" s="33" t="str">
        <f aca="false">IF($G467="","",_xlfn.MINIFS($E$5:$E$1504,$A$5:$A$1504,$A467,$D$5:$D$1504,"تسليم",$E$5:$E$1504,"&gt;"&amp;$E467))</f>
        <v/>
      </c>
      <c r="J467" s="33" t="str">
        <f aca="false">IF($G467="","",IF(H467&gt;0,IF(I467&gt;0,MIN(H467,I467),H467),IF(I467&gt;0,I467,تاريخ_الاحتساب)))</f>
        <v/>
      </c>
      <c r="K467" s="34" t="str">
        <f aca="false">IF($G467="","",IF(AND(H467=0,I467=0),"جارية","مغلقة"))</f>
        <v/>
      </c>
      <c r="L467" s="26" t="str">
        <f aca="false">IF($G467="","",MAX(0,NETWORKDAYS.INTL($E467,J467,رمز_العطلة,أيام_الأجازات)-1))</f>
        <v/>
      </c>
      <c r="M467" s="26" t="str">
        <f aca="false">IF($G467="","",MAX(0,L467-مهلة_المراجعة))</f>
        <v/>
      </c>
      <c r="N467" s="30" t="str">
        <f aca="false">IF($A467="",IF(OR($D467&lt;&gt;"",$E467&lt;&gt;""),"رقم المخرج ناقص",""),IF(ISNA(MATCH($A467,قائمة_المخرجات,0)),"رقم مخرج غير موجود",IF($D467="","نوع الحركة ناقص",IF(NOT(ISNUMBER($E467)),"التاريخ ناقص",IF($E467&gt;تاريخ_الاحتساب,"تاريخ بعد تاريخ الاحتساب",IF(AND($D467&lt;&gt;"تسليم",COUNTIFS($A$5:$A$1504,$A467,$D$5:$D$1504,"تسليم",$E$5:$E$1504,"&lt;="&amp;$E467)=0),"لا يوجد تسليم قبل الحركة دي",""))))))</f>
        <v/>
      </c>
    </row>
    <row r="468" customFormat="false" ht="15" hidden="false" customHeight="false" outlineLevel="0" collapsed="false">
      <c r="A468" s="20"/>
      <c r="B468" s="35" t="str">
        <f aca="false">IF($A468="","",IFERROR(INDEX(مخرج_البند,MATCH($A468,قائمة_المخرجات,0)),""))</f>
        <v/>
      </c>
      <c r="C468" s="30" t="str">
        <f aca="false">IF($A468="","",IFERROR(INDEX(مخرج_الوصف,MATCH($A468,قائمة_المخرجات,0)),""))</f>
        <v/>
      </c>
      <c r="D468" s="20"/>
      <c r="E468" s="31"/>
      <c r="F468" s="22"/>
      <c r="G468" s="36" t="str">
        <f aca="false">IF(OR($A468="",$D468&lt;&gt;"تسليم",NOT(ISNUMBER($E468))),"",COUNTIFS($A$5:$A$1504,$A468,$D$5:$D$1504,"تسليم",$E$5:$E$1504,"&lt;"&amp;$E468)+1)</f>
        <v/>
      </c>
      <c r="H468" s="33" t="str">
        <f aca="false">IF($G468="","",_xlfn.MINIFS($E$5:$E$1504,$A$5:$A$1504,$A468,$D$5:$D$1504,"&lt;&gt;تسليم",$E$5:$E$1504,"&gt;="&amp;$E468))</f>
        <v/>
      </c>
      <c r="I468" s="33" t="str">
        <f aca="false">IF($G468="","",_xlfn.MINIFS($E$5:$E$1504,$A$5:$A$1504,$A468,$D$5:$D$1504,"تسليم",$E$5:$E$1504,"&gt;"&amp;$E468))</f>
        <v/>
      </c>
      <c r="J468" s="33" t="str">
        <f aca="false">IF($G468="","",IF(H468&gt;0,IF(I468&gt;0,MIN(H468,I468),H468),IF(I468&gt;0,I468,تاريخ_الاحتساب)))</f>
        <v/>
      </c>
      <c r="K468" s="34" t="str">
        <f aca="false">IF($G468="","",IF(AND(H468=0,I468=0),"جارية","مغلقة"))</f>
        <v/>
      </c>
      <c r="L468" s="26" t="str">
        <f aca="false">IF($G468="","",MAX(0,NETWORKDAYS.INTL($E468,J468,رمز_العطلة,أيام_الأجازات)-1))</f>
        <v/>
      </c>
      <c r="M468" s="26" t="str">
        <f aca="false">IF($G468="","",MAX(0,L468-مهلة_المراجعة))</f>
        <v/>
      </c>
      <c r="N468" s="30" t="str">
        <f aca="false">IF($A468="",IF(OR($D468&lt;&gt;"",$E468&lt;&gt;""),"رقم المخرج ناقص",""),IF(ISNA(MATCH($A468,قائمة_المخرجات,0)),"رقم مخرج غير موجود",IF($D468="","نوع الحركة ناقص",IF(NOT(ISNUMBER($E468)),"التاريخ ناقص",IF($E468&gt;تاريخ_الاحتساب,"تاريخ بعد تاريخ الاحتساب",IF(AND($D468&lt;&gt;"تسليم",COUNTIFS($A$5:$A$1504,$A468,$D$5:$D$1504,"تسليم",$E$5:$E$1504,"&lt;="&amp;$E468)=0),"لا يوجد تسليم قبل الحركة دي",""))))))</f>
        <v/>
      </c>
    </row>
    <row r="469" customFormat="false" ht="15" hidden="false" customHeight="false" outlineLevel="0" collapsed="false">
      <c r="A469" s="20"/>
      <c r="B469" s="35" t="str">
        <f aca="false">IF($A469="","",IFERROR(INDEX(مخرج_البند,MATCH($A469,قائمة_المخرجات,0)),""))</f>
        <v/>
      </c>
      <c r="C469" s="30" t="str">
        <f aca="false">IF($A469="","",IFERROR(INDEX(مخرج_الوصف,MATCH($A469,قائمة_المخرجات,0)),""))</f>
        <v/>
      </c>
      <c r="D469" s="20"/>
      <c r="E469" s="31"/>
      <c r="F469" s="22"/>
      <c r="G469" s="36" t="str">
        <f aca="false">IF(OR($A469="",$D469&lt;&gt;"تسليم",NOT(ISNUMBER($E469))),"",COUNTIFS($A$5:$A$1504,$A469,$D$5:$D$1504,"تسليم",$E$5:$E$1504,"&lt;"&amp;$E469)+1)</f>
        <v/>
      </c>
      <c r="H469" s="33" t="str">
        <f aca="false">IF($G469="","",_xlfn.MINIFS($E$5:$E$1504,$A$5:$A$1504,$A469,$D$5:$D$1504,"&lt;&gt;تسليم",$E$5:$E$1504,"&gt;="&amp;$E469))</f>
        <v/>
      </c>
      <c r="I469" s="33" t="str">
        <f aca="false">IF($G469="","",_xlfn.MINIFS($E$5:$E$1504,$A$5:$A$1504,$A469,$D$5:$D$1504,"تسليم",$E$5:$E$1504,"&gt;"&amp;$E469))</f>
        <v/>
      </c>
      <c r="J469" s="33" t="str">
        <f aca="false">IF($G469="","",IF(H469&gt;0,IF(I469&gt;0,MIN(H469,I469),H469),IF(I469&gt;0,I469,تاريخ_الاحتساب)))</f>
        <v/>
      </c>
      <c r="K469" s="34" t="str">
        <f aca="false">IF($G469="","",IF(AND(H469=0,I469=0),"جارية","مغلقة"))</f>
        <v/>
      </c>
      <c r="L469" s="26" t="str">
        <f aca="false">IF($G469="","",MAX(0,NETWORKDAYS.INTL($E469,J469,رمز_العطلة,أيام_الأجازات)-1))</f>
        <v/>
      </c>
      <c r="M469" s="26" t="str">
        <f aca="false">IF($G469="","",MAX(0,L469-مهلة_المراجعة))</f>
        <v/>
      </c>
      <c r="N469" s="30" t="str">
        <f aca="false">IF($A469="",IF(OR($D469&lt;&gt;"",$E469&lt;&gt;""),"رقم المخرج ناقص",""),IF(ISNA(MATCH($A469,قائمة_المخرجات,0)),"رقم مخرج غير موجود",IF($D469="","نوع الحركة ناقص",IF(NOT(ISNUMBER($E469)),"التاريخ ناقص",IF($E469&gt;تاريخ_الاحتساب,"تاريخ بعد تاريخ الاحتساب",IF(AND($D469&lt;&gt;"تسليم",COUNTIFS($A$5:$A$1504,$A469,$D$5:$D$1504,"تسليم",$E$5:$E$1504,"&lt;="&amp;$E469)=0),"لا يوجد تسليم قبل الحركة دي",""))))))</f>
        <v/>
      </c>
    </row>
    <row r="470" customFormat="false" ht="15" hidden="false" customHeight="false" outlineLevel="0" collapsed="false">
      <c r="A470" s="20"/>
      <c r="B470" s="35" t="str">
        <f aca="false">IF($A470="","",IFERROR(INDEX(مخرج_البند,MATCH($A470,قائمة_المخرجات,0)),""))</f>
        <v/>
      </c>
      <c r="C470" s="30" t="str">
        <f aca="false">IF($A470="","",IFERROR(INDEX(مخرج_الوصف,MATCH($A470,قائمة_المخرجات,0)),""))</f>
        <v/>
      </c>
      <c r="D470" s="20"/>
      <c r="E470" s="31"/>
      <c r="F470" s="22"/>
      <c r="G470" s="36" t="str">
        <f aca="false">IF(OR($A470="",$D470&lt;&gt;"تسليم",NOT(ISNUMBER($E470))),"",COUNTIFS($A$5:$A$1504,$A470,$D$5:$D$1504,"تسليم",$E$5:$E$1504,"&lt;"&amp;$E470)+1)</f>
        <v/>
      </c>
      <c r="H470" s="33" t="str">
        <f aca="false">IF($G470="","",_xlfn.MINIFS($E$5:$E$1504,$A$5:$A$1504,$A470,$D$5:$D$1504,"&lt;&gt;تسليم",$E$5:$E$1504,"&gt;="&amp;$E470))</f>
        <v/>
      </c>
      <c r="I470" s="33" t="str">
        <f aca="false">IF($G470="","",_xlfn.MINIFS($E$5:$E$1504,$A$5:$A$1504,$A470,$D$5:$D$1504,"تسليم",$E$5:$E$1504,"&gt;"&amp;$E470))</f>
        <v/>
      </c>
      <c r="J470" s="33" t="str">
        <f aca="false">IF($G470="","",IF(H470&gt;0,IF(I470&gt;0,MIN(H470,I470),H470),IF(I470&gt;0,I470,تاريخ_الاحتساب)))</f>
        <v/>
      </c>
      <c r="K470" s="34" t="str">
        <f aca="false">IF($G470="","",IF(AND(H470=0,I470=0),"جارية","مغلقة"))</f>
        <v/>
      </c>
      <c r="L470" s="26" t="str">
        <f aca="false">IF($G470="","",MAX(0,NETWORKDAYS.INTL($E470,J470,رمز_العطلة,أيام_الأجازات)-1))</f>
        <v/>
      </c>
      <c r="M470" s="26" t="str">
        <f aca="false">IF($G470="","",MAX(0,L470-مهلة_المراجعة))</f>
        <v/>
      </c>
      <c r="N470" s="30" t="str">
        <f aca="false">IF($A470="",IF(OR($D470&lt;&gt;"",$E470&lt;&gt;""),"رقم المخرج ناقص",""),IF(ISNA(MATCH($A470,قائمة_المخرجات,0)),"رقم مخرج غير موجود",IF($D470="","نوع الحركة ناقص",IF(NOT(ISNUMBER($E470)),"التاريخ ناقص",IF($E470&gt;تاريخ_الاحتساب,"تاريخ بعد تاريخ الاحتساب",IF(AND($D470&lt;&gt;"تسليم",COUNTIFS($A$5:$A$1504,$A470,$D$5:$D$1504,"تسليم",$E$5:$E$1504,"&lt;="&amp;$E470)=0),"لا يوجد تسليم قبل الحركة دي",""))))))</f>
        <v/>
      </c>
    </row>
    <row r="471" customFormat="false" ht="15" hidden="false" customHeight="false" outlineLevel="0" collapsed="false">
      <c r="A471" s="20"/>
      <c r="B471" s="35" t="str">
        <f aca="false">IF($A471="","",IFERROR(INDEX(مخرج_البند,MATCH($A471,قائمة_المخرجات,0)),""))</f>
        <v/>
      </c>
      <c r="C471" s="30" t="str">
        <f aca="false">IF($A471="","",IFERROR(INDEX(مخرج_الوصف,MATCH($A471,قائمة_المخرجات,0)),""))</f>
        <v/>
      </c>
      <c r="D471" s="20"/>
      <c r="E471" s="31"/>
      <c r="F471" s="22"/>
      <c r="G471" s="36" t="str">
        <f aca="false">IF(OR($A471="",$D471&lt;&gt;"تسليم",NOT(ISNUMBER($E471))),"",COUNTIFS($A$5:$A$1504,$A471,$D$5:$D$1504,"تسليم",$E$5:$E$1504,"&lt;"&amp;$E471)+1)</f>
        <v/>
      </c>
      <c r="H471" s="33" t="str">
        <f aca="false">IF($G471="","",_xlfn.MINIFS($E$5:$E$1504,$A$5:$A$1504,$A471,$D$5:$D$1504,"&lt;&gt;تسليم",$E$5:$E$1504,"&gt;="&amp;$E471))</f>
        <v/>
      </c>
      <c r="I471" s="33" t="str">
        <f aca="false">IF($G471="","",_xlfn.MINIFS($E$5:$E$1504,$A$5:$A$1504,$A471,$D$5:$D$1504,"تسليم",$E$5:$E$1504,"&gt;"&amp;$E471))</f>
        <v/>
      </c>
      <c r="J471" s="33" t="str">
        <f aca="false">IF($G471="","",IF(H471&gt;0,IF(I471&gt;0,MIN(H471,I471),H471),IF(I471&gt;0,I471,تاريخ_الاحتساب)))</f>
        <v/>
      </c>
      <c r="K471" s="34" t="str">
        <f aca="false">IF($G471="","",IF(AND(H471=0,I471=0),"جارية","مغلقة"))</f>
        <v/>
      </c>
      <c r="L471" s="26" t="str">
        <f aca="false">IF($G471="","",MAX(0,NETWORKDAYS.INTL($E471,J471,رمز_العطلة,أيام_الأجازات)-1))</f>
        <v/>
      </c>
      <c r="M471" s="26" t="str">
        <f aca="false">IF($G471="","",MAX(0,L471-مهلة_المراجعة))</f>
        <v/>
      </c>
      <c r="N471" s="30" t="str">
        <f aca="false">IF($A471="",IF(OR($D471&lt;&gt;"",$E471&lt;&gt;""),"رقم المخرج ناقص",""),IF(ISNA(MATCH($A471,قائمة_المخرجات,0)),"رقم مخرج غير موجود",IF($D471="","نوع الحركة ناقص",IF(NOT(ISNUMBER($E471)),"التاريخ ناقص",IF($E471&gt;تاريخ_الاحتساب,"تاريخ بعد تاريخ الاحتساب",IF(AND($D471&lt;&gt;"تسليم",COUNTIFS($A$5:$A$1504,$A471,$D$5:$D$1504,"تسليم",$E$5:$E$1504,"&lt;="&amp;$E471)=0),"لا يوجد تسليم قبل الحركة دي",""))))))</f>
        <v/>
      </c>
    </row>
    <row r="472" customFormat="false" ht="15" hidden="false" customHeight="false" outlineLevel="0" collapsed="false">
      <c r="A472" s="20"/>
      <c r="B472" s="35" t="str">
        <f aca="false">IF($A472="","",IFERROR(INDEX(مخرج_البند,MATCH($A472,قائمة_المخرجات,0)),""))</f>
        <v/>
      </c>
      <c r="C472" s="30" t="str">
        <f aca="false">IF($A472="","",IFERROR(INDEX(مخرج_الوصف,MATCH($A472,قائمة_المخرجات,0)),""))</f>
        <v/>
      </c>
      <c r="D472" s="20"/>
      <c r="E472" s="31"/>
      <c r="F472" s="22"/>
      <c r="G472" s="36" t="str">
        <f aca="false">IF(OR($A472="",$D472&lt;&gt;"تسليم",NOT(ISNUMBER($E472))),"",COUNTIFS($A$5:$A$1504,$A472,$D$5:$D$1504,"تسليم",$E$5:$E$1504,"&lt;"&amp;$E472)+1)</f>
        <v/>
      </c>
      <c r="H472" s="33" t="str">
        <f aca="false">IF($G472="","",_xlfn.MINIFS($E$5:$E$1504,$A$5:$A$1504,$A472,$D$5:$D$1504,"&lt;&gt;تسليم",$E$5:$E$1504,"&gt;="&amp;$E472))</f>
        <v/>
      </c>
      <c r="I472" s="33" t="str">
        <f aca="false">IF($G472="","",_xlfn.MINIFS($E$5:$E$1504,$A$5:$A$1504,$A472,$D$5:$D$1504,"تسليم",$E$5:$E$1504,"&gt;"&amp;$E472))</f>
        <v/>
      </c>
      <c r="J472" s="33" t="str">
        <f aca="false">IF($G472="","",IF(H472&gt;0,IF(I472&gt;0,MIN(H472,I472),H472),IF(I472&gt;0,I472,تاريخ_الاحتساب)))</f>
        <v/>
      </c>
      <c r="K472" s="34" t="str">
        <f aca="false">IF($G472="","",IF(AND(H472=0,I472=0),"جارية","مغلقة"))</f>
        <v/>
      </c>
      <c r="L472" s="26" t="str">
        <f aca="false">IF($G472="","",MAX(0,NETWORKDAYS.INTL($E472,J472,رمز_العطلة,أيام_الأجازات)-1))</f>
        <v/>
      </c>
      <c r="M472" s="26" t="str">
        <f aca="false">IF($G472="","",MAX(0,L472-مهلة_المراجعة))</f>
        <v/>
      </c>
      <c r="N472" s="30" t="str">
        <f aca="false">IF($A472="",IF(OR($D472&lt;&gt;"",$E472&lt;&gt;""),"رقم المخرج ناقص",""),IF(ISNA(MATCH($A472,قائمة_المخرجات,0)),"رقم مخرج غير موجود",IF($D472="","نوع الحركة ناقص",IF(NOT(ISNUMBER($E472)),"التاريخ ناقص",IF($E472&gt;تاريخ_الاحتساب,"تاريخ بعد تاريخ الاحتساب",IF(AND($D472&lt;&gt;"تسليم",COUNTIFS($A$5:$A$1504,$A472,$D$5:$D$1504,"تسليم",$E$5:$E$1504,"&lt;="&amp;$E472)=0),"لا يوجد تسليم قبل الحركة دي",""))))))</f>
        <v/>
      </c>
    </row>
    <row r="473" customFormat="false" ht="15" hidden="false" customHeight="false" outlineLevel="0" collapsed="false">
      <c r="A473" s="20"/>
      <c r="B473" s="35" t="str">
        <f aca="false">IF($A473="","",IFERROR(INDEX(مخرج_البند,MATCH($A473,قائمة_المخرجات,0)),""))</f>
        <v/>
      </c>
      <c r="C473" s="30" t="str">
        <f aca="false">IF($A473="","",IFERROR(INDEX(مخرج_الوصف,MATCH($A473,قائمة_المخرجات,0)),""))</f>
        <v/>
      </c>
      <c r="D473" s="20"/>
      <c r="E473" s="31"/>
      <c r="F473" s="22"/>
      <c r="G473" s="36" t="str">
        <f aca="false">IF(OR($A473="",$D473&lt;&gt;"تسليم",NOT(ISNUMBER($E473))),"",COUNTIFS($A$5:$A$1504,$A473,$D$5:$D$1504,"تسليم",$E$5:$E$1504,"&lt;"&amp;$E473)+1)</f>
        <v/>
      </c>
      <c r="H473" s="33" t="str">
        <f aca="false">IF($G473="","",_xlfn.MINIFS($E$5:$E$1504,$A$5:$A$1504,$A473,$D$5:$D$1504,"&lt;&gt;تسليم",$E$5:$E$1504,"&gt;="&amp;$E473))</f>
        <v/>
      </c>
      <c r="I473" s="33" t="str">
        <f aca="false">IF($G473="","",_xlfn.MINIFS($E$5:$E$1504,$A$5:$A$1504,$A473,$D$5:$D$1504,"تسليم",$E$5:$E$1504,"&gt;"&amp;$E473))</f>
        <v/>
      </c>
      <c r="J473" s="33" t="str">
        <f aca="false">IF($G473="","",IF(H473&gt;0,IF(I473&gt;0,MIN(H473,I473),H473),IF(I473&gt;0,I473,تاريخ_الاحتساب)))</f>
        <v/>
      </c>
      <c r="K473" s="34" t="str">
        <f aca="false">IF($G473="","",IF(AND(H473=0,I473=0),"جارية","مغلقة"))</f>
        <v/>
      </c>
      <c r="L473" s="26" t="str">
        <f aca="false">IF($G473="","",MAX(0,NETWORKDAYS.INTL($E473,J473,رمز_العطلة,أيام_الأجازات)-1))</f>
        <v/>
      </c>
      <c r="M473" s="26" t="str">
        <f aca="false">IF($G473="","",MAX(0,L473-مهلة_المراجعة))</f>
        <v/>
      </c>
      <c r="N473" s="30" t="str">
        <f aca="false">IF($A473="",IF(OR($D473&lt;&gt;"",$E473&lt;&gt;""),"رقم المخرج ناقص",""),IF(ISNA(MATCH($A473,قائمة_المخرجات,0)),"رقم مخرج غير موجود",IF($D473="","نوع الحركة ناقص",IF(NOT(ISNUMBER($E473)),"التاريخ ناقص",IF($E473&gt;تاريخ_الاحتساب,"تاريخ بعد تاريخ الاحتساب",IF(AND($D473&lt;&gt;"تسليم",COUNTIFS($A$5:$A$1504,$A473,$D$5:$D$1504,"تسليم",$E$5:$E$1504,"&lt;="&amp;$E473)=0),"لا يوجد تسليم قبل الحركة دي",""))))))</f>
        <v/>
      </c>
    </row>
    <row r="474" customFormat="false" ht="15" hidden="false" customHeight="false" outlineLevel="0" collapsed="false">
      <c r="A474" s="20"/>
      <c r="B474" s="35" t="str">
        <f aca="false">IF($A474="","",IFERROR(INDEX(مخرج_البند,MATCH($A474,قائمة_المخرجات,0)),""))</f>
        <v/>
      </c>
      <c r="C474" s="30" t="str">
        <f aca="false">IF($A474="","",IFERROR(INDEX(مخرج_الوصف,MATCH($A474,قائمة_المخرجات,0)),""))</f>
        <v/>
      </c>
      <c r="D474" s="20"/>
      <c r="E474" s="31"/>
      <c r="F474" s="22"/>
      <c r="G474" s="36" t="str">
        <f aca="false">IF(OR($A474="",$D474&lt;&gt;"تسليم",NOT(ISNUMBER($E474))),"",COUNTIFS($A$5:$A$1504,$A474,$D$5:$D$1504,"تسليم",$E$5:$E$1504,"&lt;"&amp;$E474)+1)</f>
        <v/>
      </c>
      <c r="H474" s="33" t="str">
        <f aca="false">IF($G474="","",_xlfn.MINIFS($E$5:$E$1504,$A$5:$A$1504,$A474,$D$5:$D$1504,"&lt;&gt;تسليم",$E$5:$E$1504,"&gt;="&amp;$E474))</f>
        <v/>
      </c>
      <c r="I474" s="33" t="str">
        <f aca="false">IF($G474="","",_xlfn.MINIFS($E$5:$E$1504,$A$5:$A$1504,$A474,$D$5:$D$1504,"تسليم",$E$5:$E$1504,"&gt;"&amp;$E474))</f>
        <v/>
      </c>
      <c r="J474" s="33" t="str">
        <f aca="false">IF($G474="","",IF(H474&gt;0,IF(I474&gt;0,MIN(H474,I474),H474),IF(I474&gt;0,I474,تاريخ_الاحتساب)))</f>
        <v/>
      </c>
      <c r="K474" s="34" t="str">
        <f aca="false">IF($G474="","",IF(AND(H474=0,I474=0),"جارية","مغلقة"))</f>
        <v/>
      </c>
      <c r="L474" s="26" t="str">
        <f aca="false">IF($G474="","",MAX(0,NETWORKDAYS.INTL($E474,J474,رمز_العطلة,أيام_الأجازات)-1))</f>
        <v/>
      </c>
      <c r="M474" s="26" t="str">
        <f aca="false">IF($G474="","",MAX(0,L474-مهلة_المراجعة))</f>
        <v/>
      </c>
      <c r="N474" s="30" t="str">
        <f aca="false">IF($A474="",IF(OR($D474&lt;&gt;"",$E474&lt;&gt;""),"رقم المخرج ناقص",""),IF(ISNA(MATCH($A474,قائمة_المخرجات,0)),"رقم مخرج غير موجود",IF($D474="","نوع الحركة ناقص",IF(NOT(ISNUMBER($E474)),"التاريخ ناقص",IF($E474&gt;تاريخ_الاحتساب,"تاريخ بعد تاريخ الاحتساب",IF(AND($D474&lt;&gt;"تسليم",COUNTIFS($A$5:$A$1504,$A474,$D$5:$D$1504,"تسليم",$E$5:$E$1504,"&lt;="&amp;$E474)=0),"لا يوجد تسليم قبل الحركة دي",""))))))</f>
        <v/>
      </c>
    </row>
    <row r="475" customFormat="false" ht="15" hidden="false" customHeight="false" outlineLevel="0" collapsed="false">
      <c r="A475" s="20"/>
      <c r="B475" s="35" t="str">
        <f aca="false">IF($A475="","",IFERROR(INDEX(مخرج_البند,MATCH($A475,قائمة_المخرجات,0)),""))</f>
        <v/>
      </c>
      <c r="C475" s="30" t="str">
        <f aca="false">IF($A475="","",IFERROR(INDEX(مخرج_الوصف,MATCH($A475,قائمة_المخرجات,0)),""))</f>
        <v/>
      </c>
      <c r="D475" s="20"/>
      <c r="E475" s="31"/>
      <c r="F475" s="22"/>
      <c r="G475" s="36" t="str">
        <f aca="false">IF(OR($A475="",$D475&lt;&gt;"تسليم",NOT(ISNUMBER($E475))),"",COUNTIFS($A$5:$A$1504,$A475,$D$5:$D$1504,"تسليم",$E$5:$E$1504,"&lt;"&amp;$E475)+1)</f>
        <v/>
      </c>
      <c r="H475" s="33" t="str">
        <f aca="false">IF($G475="","",_xlfn.MINIFS($E$5:$E$1504,$A$5:$A$1504,$A475,$D$5:$D$1504,"&lt;&gt;تسليم",$E$5:$E$1504,"&gt;="&amp;$E475))</f>
        <v/>
      </c>
      <c r="I475" s="33" t="str">
        <f aca="false">IF($G475="","",_xlfn.MINIFS($E$5:$E$1504,$A$5:$A$1504,$A475,$D$5:$D$1504,"تسليم",$E$5:$E$1504,"&gt;"&amp;$E475))</f>
        <v/>
      </c>
      <c r="J475" s="33" t="str">
        <f aca="false">IF($G475="","",IF(H475&gt;0,IF(I475&gt;0,MIN(H475,I475),H475),IF(I475&gt;0,I475,تاريخ_الاحتساب)))</f>
        <v/>
      </c>
      <c r="K475" s="34" t="str">
        <f aca="false">IF($G475="","",IF(AND(H475=0,I475=0),"جارية","مغلقة"))</f>
        <v/>
      </c>
      <c r="L475" s="26" t="str">
        <f aca="false">IF($G475="","",MAX(0,NETWORKDAYS.INTL($E475,J475,رمز_العطلة,أيام_الأجازات)-1))</f>
        <v/>
      </c>
      <c r="M475" s="26" t="str">
        <f aca="false">IF($G475="","",MAX(0,L475-مهلة_المراجعة))</f>
        <v/>
      </c>
      <c r="N475" s="30" t="str">
        <f aca="false">IF($A475="",IF(OR($D475&lt;&gt;"",$E475&lt;&gt;""),"رقم المخرج ناقص",""),IF(ISNA(MATCH($A475,قائمة_المخرجات,0)),"رقم مخرج غير موجود",IF($D475="","نوع الحركة ناقص",IF(NOT(ISNUMBER($E475)),"التاريخ ناقص",IF($E475&gt;تاريخ_الاحتساب,"تاريخ بعد تاريخ الاحتساب",IF(AND($D475&lt;&gt;"تسليم",COUNTIFS($A$5:$A$1504,$A475,$D$5:$D$1504,"تسليم",$E$5:$E$1504,"&lt;="&amp;$E475)=0),"لا يوجد تسليم قبل الحركة دي",""))))))</f>
        <v/>
      </c>
    </row>
    <row r="476" customFormat="false" ht="15" hidden="false" customHeight="false" outlineLevel="0" collapsed="false">
      <c r="A476" s="20"/>
      <c r="B476" s="35" t="str">
        <f aca="false">IF($A476="","",IFERROR(INDEX(مخرج_البند,MATCH($A476,قائمة_المخرجات,0)),""))</f>
        <v/>
      </c>
      <c r="C476" s="30" t="str">
        <f aca="false">IF($A476="","",IFERROR(INDEX(مخرج_الوصف,MATCH($A476,قائمة_المخرجات,0)),""))</f>
        <v/>
      </c>
      <c r="D476" s="20"/>
      <c r="E476" s="31"/>
      <c r="F476" s="22"/>
      <c r="G476" s="36" t="str">
        <f aca="false">IF(OR($A476="",$D476&lt;&gt;"تسليم",NOT(ISNUMBER($E476))),"",COUNTIFS($A$5:$A$1504,$A476,$D$5:$D$1504,"تسليم",$E$5:$E$1504,"&lt;"&amp;$E476)+1)</f>
        <v/>
      </c>
      <c r="H476" s="33" t="str">
        <f aca="false">IF($G476="","",_xlfn.MINIFS($E$5:$E$1504,$A$5:$A$1504,$A476,$D$5:$D$1504,"&lt;&gt;تسليم",$E$5:$E$1504,"&gt;="&amp;$E476))</f>
        <v/>
      </c>
      <c r="I476" s="33" t="str">
        <f aca="false">IF($G476="","",_xlfn.MINIFS($E$5:$E$1504,$A$5:$A$1504,$A476,$D$5:$D$1504,"تسليم",$E$5:$E$1504,"&gt;"&amp;$E476))</f>
        <v/>
      </c>
      <c r="J476" s="33" t="str">
        <f aca="false">IF($G476="","",IF(H476&gt;0,IF(I476&gt;0,MIN(H476,I476),H476),IF(I476&gt;0,I476,تاريخ_الاحتساب)))</f>
        <v/>
      </c>
      <c r="K476" s="34" t="str">
        <f aca="false">IF($G476="","",IF(AND(H476=0,I476=0),"جارية","مغلقة"))</f>
        <v/>
      </c>
      <c r="L476" s="26" t="str">
        <f aca="false">IF($G476="","",MAX(0,NETWORKDAYS.INTL($E476,J476,رمز_العطلة,أيام_الأجازات)-1))</f>
        <v/>
      </c>
      <c r="M476" s="26" t="str">
        <f aca="false">IF($G476="","",MAX(0,L476-مهلة_المراجعة))</f>
        <v/>
      </c>
      <c r="N476" s="30" t="str">
        <f aca="false">IF($A476="",IF(OR($D476&lt;&gt;"",$E476&lt;&gt;""),"رقم المخرج ناقص",""),IF(ISNA(MATCH($A476,قائمة_المخرجات,0)),"رقم مخرج غير موجود",IF($D476="","نوع الحركة ناقص",IF(NOT(ISNUMBER($E476)),"التاريخ ناقص",IF($E476&gt;تاريخ_الاحتساب,"تاريخ بعد تاريخ الاحتساب",IF(AND($D476&lt;&gt;"تسليم",COUNTIFS($A$5:$A$1504,$A476,$D$5:$D$1504,"تسليم",$E$5:$E$1504,"&lt;="&amp;$E476)=0),"لا يوجد تسليم قبل الحركة دي",""))))))</f>
        <v/>
      </c>
    </row>
    <row r="477" customFormat="false" ht="15" hidden="false" customHeight="false" outlineLevel="0" collapsed="false">
      <c r="A477" s="20"/>
      <c r="B477" s="35" t="str">
        <f aca="false">IF($A477="","",IFERROR(INDEX(مخرج_البند,MATCH($A477,قائمة_المخرجات,0)),""))</f>
        <v/>
      </c>
      <c r="C477" s="30" t="str">
        <f aca="false">IF($A477="","",IFERROR(INDEX(مخرج_الوصف,MATCH($A477,قائمة_المخرجات,0)),""))</f>
        <v/>
      </c>
      <c r="D477" s="20"/>
      <c r="E477" s="31"/>
      <c r="F477" s="22"/>
      <c r="G477" s="36" t="str">
        <f aca="false">IF(OR($A477="",$D477&lt;&gt;"تسليم",NOT(ISNUMBER($E477))),"",COUNTIFS($A$5:$A$1504,$A477,$D$5:$D$1504,"تسليم",$E$5:$E$1504,"&lt;"&amp;$E477)+1)</f>
        <v/>
      </c>
      <c r="H477" s="33" t="str">
        <f aca="false">IF($G477="","",_xlfn.MINIFS($E$5:$E$1504,$A$5:$A$1504,$A477,$D$5:$D$1504,"&lt;&gt;تسليم",$E$5:$E$1504,"&gt;="&amp;$E477))</f>
        <v/>
      </c>
      <c r="I477" s="33" t="str">
        <f aca="false">IF($G477="","",_xlfn.MINIFS($E$5:$E$1504,$A$5:$A$1504,$A477,$D$5:$D$1504,"تسليم",$E$5:$E$1504,"&gt;"&amp;$E477))</f>
        <v/>
      </c>
      <c r="J477" s="33" t="str">
        <f aca="false">IF($G477="","",IF(H477&gt;0,IF(I477&gt;0,MIN(H477,I477),H477),IF(I477&gt;0,I477,تاريخ_الاحتساب)))</f>
        <v/>
      </c>
      <c r="K477" s="34" t="str">
        <f aca="false">IF($G477="","",IF(AND(H477=0,I477=0),"جارية","مغلقة"))</f>
        <v/>
      </c>
      <c r="L477" s="26" t="str">
        <f aca="false">IF($G477="","",MAX(0,NETWORKDAYS.INTL($E477,J477,رمز_العطلة,أيام_الأجازات)-1))</f>
        <v/>
      </c>
      <c r="M477" s="26" t="str">
        <f aca="false">IF($G477="","",MAX(0,L477-مهلة_المراجعة))</f>
        <v/>
      </c>
      <c r="N477" s="30" t="str">
        <f aca="false">IF($A477="",IF(OR($D477&lt;&gt;"",$E477&lt;&gt;""),"رقم المخرج ناقص",""),IF(ISNA(MATCH($A477,قائمة_المخرجات,0)),"رقم مخرج غير موجود",IF($D477="","نوع الحركة ناقص",IF(NOT(ISNUMBER($E477)),"التاريخ ناقص",IF($E477&gt;تاريخ_الاحتساب,"تاريخ بعد تاريخ الاحتساب",IF(AND($D477&lt;&gt;"تسليم",COUNTIFS($A$5:$A$1504,$A477,$D$5:$D$1504,"تسليم",$E$5:$E$1504,"&lt;="&amp;$E477)=0),"لا يوجد تسليم قبل الحركة دي",""))))))</f>
        <v/>
      </c>
    </row>
    <row r="478" customFormat="false" ht="15" hidden="false" customHeight="false" outlineLevel="0" collapsed="false">
      <c r="A478" s="20"/>
      <c r="B478" s="35" t="str">
        <f aca="false">IF($A478="","",IFERROR(INDEX(مخرج_البند,MATCH($A478,قائمة_المخرجات,0)),""))</f>
        <v/>
      </c>
      <c r="C478" s="30" t="str">
        <f aca="false">IF($A478="","",IFERROR(INDEX(مخرج_الوصف,MATCH($A478,قائمة_المخرجات,0)),""))</f>
        <v/>
      </c>
      <c r="D478" s="20"/>
      <c r="E478" s="31"/>
      <c r="F478" s="22"/>
      <c r="G478" s="36" t="str">
        <f aca="false">IF(OR($A478="",$D478&lt;&gt;"تسليم",NOT(ISNUMBER($E478))),"",COUNTIFS($A$5:$A$1504,$A478,$D$5:$D$1504,"تسليم",$E$5:$E$1504,"&lt;"&amp;$E478)+1)</f>
        <v/>
      </c>
      <c r="H478" s="33" t="str">
        <f aca="false">IF($G478="","",_xlfn.MINIFS($E$5:$E$1504,$A$5:$A$1504,$A478,$D$5:$D$1504,"&lt;&gt;تسليم",$E$5:$E$1504,"&gt;="&amp;$E478))</f>
        <v/>
      </c>
      <c r="I478" s="33" t="str">
        <f aca="false">IF($G478="","",_xlfn.MINIFS($E$5:$E$1504,$A$5:$A$1504,$A478,$D$5:$D$1504,"تسليم",$E$5:$E$1504,"&gt;"&amp;$E478))</f>
        <v/>
      </c>
      <c r="J478" s="33" t="str">
        <f aca="false">IF($G478="","",IF(H478&gt;0,IF(I478&gt;0,MIN(H478,I478),H478),IF(I478&gt;0,I478,تاريخ_الاحتساب)))</f>
        <v/>
      </c>
      <c r="K478" s="34" t="str">
        <f aca="false">IF($G478="","",IF(AND(H478=0,I478=0),"جارية","مغلقة"))</f>
        <v/>
      </c>
      <c r="L478" s="26" t="str">
        <f aca="false">IF($G478="","",MAX(0,NETWORKDAYS.INTL($E478,J478,رمز_العطلة,أيام_الأجازات)-1))</f>
        <v/>
      </c>
      <c r="M478" s="26" t="str">
        <f aca="false">IF($G478="","",MAX(0,L478-مهلة_المراجعة))</f>
        <v/>
      </c>
      <c r="N478" s="30" t="str">
        <f aca="false">IF($A478="",IF(OR($D478&lt;&gt;"",$E478&lt;&gt;""),"رقم المخرج ناقص",""),IF(ISNA(MATCH($A478,قائمة_المخرجات,0)),"رقم مخرج غير موجود",IF($D478="","نوع الحركة ناقص",IF(NOT(ISNUMBER($E478)),"التاريخ ناقص",IF($E478&gt;تاريخ_الاحتساب,"تاريخ بعد تاريخ الاحتساب",IF(AND($D478&lt;&gt;"تسليم",COUNTIFS($A$5:$A$1504,$A478,$D$5:$D$1504,"تسليم",$E$5:$E$1504,"&lt;="&amp;$E478)=0),"لا يوجد تسليم قبل الحركة دي",""))))))</f>
        <v/>
      </c>
    </row>
    <row r="479" customFormat="false" ht="15" hidden="false" customHeight="false" outlineLevel="0" collapsed="false">
      <c r="A479" s="20"/>
      <c r="B479" s="35" t="str">
        <f aca="false">IF($A479="","",IFERROR(INDEX(مخرج_البند,MATCH($A479,قائمة_المخرجات,0)),""))</f>
        <v/>
      </c>
      <c r="C479" s="30" t="str">
        <f aca="false">IF($A479="","",IFERROR(INDEX(مخرج_الوصف,MATCH($A479,قائمة_المخرجات,0)),""))</f>
        <v/>
      </c>
      <c r="D479" s="20"/>
      <c r="E479" s="31"/>
      <c r="F479" s="22"/>
      <c r="G479" s="36" t="str">
        <f aca="false">IF(OR($A479="",$D479&lt;&gt;"تسليم",NOT(ISNUMBER($E479))),"",COUNTIFS($A$5:$A$1504,$A479,$D$5:$D$1504,"تسليم",$E$5:$E$1504,"&lt;"&amp;$E479)+1)</f>
        <v/>
      </c>
      <c r="H479" s="33" t="str">
        <f aca="false">IF($G479="","",_xlfn.MINIFS($E$5:$E$1504,$A$5:$A$1504,$A479,$D$5:$D$1504,"&lt;&gt;تسليم",$E$5:$E$1504,"&gt;="&amp;$E479))</f>
        <v/>
      </c>
      <c r="I479" s="33" t="str">
        <f aca="false">IF($G479="","",_xlfn.MINIFS($E$5:$E$1504,$A$5:$A$1504,$A479,$D$5:$D$1504,"تسليم",$E$5:$E$1504,"&gt;"&amp;$E479))</f>
        <v/>
      </c>
      <c r="J479" s="33" t="str">
        <f aca="false">IF($G479="","",IF(H479&gt;0,IF(I479&gt;0,MIN(H479,I479),H479),IF(I479&gt;0,I479,تاريخ_الاحتساب)))</f>
        <v/>
      </c>
      <c r="K479" s="34" t="str">
        <f aca="false">IF($G479="","",IF(AND(H479=0,I479=0),"جارية","مغلقة"))</f>
        <v/>
      </c>
      <c r="L479" s="26" t="str">
        <f aca="false">IF($G479="","",MAX(0,NETWORKDAYS.INTL($E479,J479,رمز_العطلة,أيام_الأجازات)-1))</f>
        <v/>
      </c>
      <c r="M479" s="26" t="str">
        <f aca="false">IF($G479="","",MAX(0,L479-مهلة_المراجعة))</f>
        <v/>
      </c>
      <c r="N479" s="30" t="str">
        <f aca="false">IF($A479="",IF(OR($D479&lt;&gt;"",$E479&lt;&gt;""),"رقم المخرج ناقص",""),IF(ISNA(MATCH($A479,قائمة_المخرجات,0)),"رقم مخرج غير موجود",IF($D479="","نوع الحركة ناقص",IF(NOT(ISNUMBER($E479)),"التاريخ ناقص",IF($E479&gt;تاريخ_الاحتساب,"تاريخ بعد تاريخ الاحتساب",IF(AND($D479&lt;&gt;"تسليم",COUNTIFS($A$5:$A$1504,$A479,$D$5:$D$1504,"تسليم",$E$5:$E$1504,"&lt;="&amp;$E479)=0),"لا يوجد تسليم قبل الحركة دي",""))))))</f>
        <v/>
      </c>
    </row>
    <row r="480" customFormat="false" ht="15" hidden="false" customHeight="false" outlineLevel="0" collapsed="false">
      <c r="A480" s="20"/>
      <c r="B480" s="35" t="str">
        <f aca="false">IF($A480="","",IFERROR(INDEX(مخرج_البند,MATCH($A480,قائمة_المخرجات,0)),""))</f>
        <v/>
      </c>
      <c r="C480" s="30" t="str">
        <f aca="false">IF($A480="","",IFERROR(INDEX(مخرج_الوصف,MATCH($A480,قائمة_المخرجات,0)),""))</f>
        <v/>
      </c>
      <c r="D480" s="20"/>
      <c r="E480" s="31"/>
      <c r="F480" s="22"/>
      <c r="G480" s="36" t="str">
        <f aca="false">IF(OR($A480="",$D480&lt;&gt;"تسليم",NOT(ISNUMBER($E480))),"",COUNTIFS($A$5:$A$1504,$A480,$D$5:$D$1504,"تسليم",$E$5:$E$1504,"&lt;"&amp;$E480)+1)</f>
        <v/>
      </c>
      <c r="H480" s="33" t="str">
        <f aca="false">IF($G480="","",_xlfn.MINIFS($E$5:$E$1504,$A$5:$A$1504,$A480,$D$5:$D$1504,"&lt;&gt;تسليم",$E$5:$E$1504,"&gt;="&amp;$E480))</f>
        <v/>
      </c>
      <c r="I480" s="33" t="str">
        <f aca="false">IF($G480="","",_xlfn.MINIFS($E$5:$E$1504,$A$5:$A$1504,$A480,$D$5:$D$1504,"تسليم",$E$5:$E$1504,"&gt;"&amp;$E480))</f>
        <v/>
      </c>
      <c r="J480" s="33" t="str">
        <f aca="false">IF($G480="","",IF(H480&gt;0,IF(I480&gt;0,MIN(H480,I480),H480),IF(I480&gt;0,I480,تاريخ_الاحتساب)))</f>
        <v/>
      </c>
      <c r="K480" s="34" t="str">
        <f aca="false">IF($G480="","",IF(AND(H480=0,I480=0),"جارية","مغلقة"))</f>
        <v/>
      </c>
      <c r="L480" s="26" t="str">
        <f aca="false">IF($G480="","",MAX(0,NETWORKDAYS.INTL($E480,J480,رمز_العطلة,أيام_الأجازات)-1))</f>
        <v/>
      </c>
      <c r="M480" s="26" t="str">
        <f aca="false">IF($G480="","",MAX(0,L480-مهلة_المراجعة))</f>
        <v/>
      </c>
      <c r="N480" s="30" t="str">
        <f aca="false">IF($A480="",IF(OR($D480&lt;&gt;"",$E480&lt;&gt;""),"رقم المخرج ناقص",""),IF(ISNA(MATCH($A480,قائمة_المخرجات,0)),"رقم مخرج غير موجود",IF($D480="","نوع الحركة ناقص",IF(NOT(ISNUMBER($E480)),"التاريخ ناقص",IF($E480&gt;تاريخ_الاحتساب,"تاريخ بعد تاريخ الاحتساب",IF(AND($D480&lt;&gt;"تسليم",COUNTIFS($A$5:$A$1504,$A480,$D$5:$D$1504,"تسليم",$E$5:$E$1504,"&lt;="&amp;$E480)=0),"لا يوجد تسليم قبل الحركة دي",""))))))</f>
        <v/>
      </c>
    </row>
    <row r="481" customFormat="false" ht="15" hidden="false" customHeight="false" outlineLevel="0" collapsed="false">
      <c r="A481" s="20"/>
      <c r="B481" s="35" t="str">
        <f aca="false">IF($A481="","",IFERROR(INDEX(مخرج_البند,MATCH($A481,قائمة_المخرجات,0)),""))</f>
        <v/>
      </c>
      <c r="C481" s="30" t="str">
        <f aca="false">IF($A481="","",IFERROR(INDEX(مخرج_الوصف,MATCH($A481,قائمة_المخرجات,0)),""))</f>
        <v/>
      </c>
      <c r="D481" s="20"/>
      <c r="E481" s="31"/>
      <c r="F481" s="22"/>
      <c r="G481" s="36" t="str">
        <f aca="false">IF(OR($A481="",$D481&lt;&gt;"تسليم",NOT(ISNUMBER($E481))),"",COUNTIFS($A$5:$A$1504,$A481,$D$5:$D$1504,"تسليم",$E$5:$E$1504,"&lt;"&amp;$E481)+1)</f>
        <v/>
      </c>
      <c r="H481" s="33" t="str">
        <f aca="false">IF($G481="","",_xlfn.MINIFS($E$5:$E$1504,$A$5:$A$1504,$A481,$D$5:$D$1504,"&lt;&gt;تسليم",$E$5:$E$1504,"&gt;="&amp;$E481))</f>
        <v/>
      </c>
      <c r="I481" s="33" t="str">
        <f aca="false">IF($G481="","",_xlfn.MINIFS($E$5:$E$1504,$A$5:$A$1504,$A481,$D$5:$D$1504,"تسليم",$E$5:$E$1504,"&gt;"&amp;$E481))</f>
        <v/>
      </c>
      <c r="J481" s="33" t="str">
        <f aca="false">IF($G481="","",IF(H481&gt;0,IF(I481&gt;0,MIN(H481,I481),H481),IF(I481&gt;0,I481,تاريخ_الاحتساب)))</f>
        <v/>
      </c>
      <c r="K481" s="34" t="str">
        <f aca="false">IF($G481="","",IF(AND(H481=0,I481=0),"جارية","مغلقة"))</f>
        <v/>
      </c>
      <c r="L481" s="26" t="str">
        <f aca="false">IF($G481="","",MAX(0,NETWORKDAYS.INTL($E481,J481,رمز_العطلة,أيام_الأجازات)-1))</f>
        <v/>
      </c>
      <c r="M481" s="26" t="str">
        <f aca="false">IF($G481="","",MAX(0,L481-مهلة_المراجعة))</f>
        <v/>
      </c>
      <c r="N481" s="30" t="str">
        <f aca="false">IF($A481="",IF(OR($D481&lt;&gt;"",$E481&lt;&gt;""),"رقم المخرج ناقص",""),IF(ISNA(MATCH($A481,قائمة_المخرجات,0)),"رقم مخرج غير موجود",IF($D481="","نوع الحركة ناقص",IF(NOT(ISNUMBER($E481)),"التاريخ ناقص",IF($E481&gt;تاريخ_الاحتساب,"تاريخ بعد تاريخ الاحتساب",IF(AND($D481&lt;&gt;"تسليم",COUNTIFS($A$5:$A$1504,$A481,$D$5:$D$1504,"تسليم",$E$5:$E$1504,"&lt;="&amp;$E481)=0),"لا يوجد تسليم قبل الحركة دي",""))))))</f>
        <v/>
      </c>
    </row>
    <row r="482" customFormat="false" ht="15" hidden="false" customHeight="false" outlineLevel="0" collapsed="false">
      <c r="A482" s="20"/>
      <c r="B482" s="35" t="str">
        <f aca="false">IF($A482="","",IFERROR(INDEX(مخرج_البند,MATCH($A482,قائمة_المخرجات,0)),""))</f>
        <v/>
      </c>
      <c r="C482" s="30" t="str">
        <f aca="false">IF($A482="","",IFERROR(INDEX(مخرج_الوصف,MATCH($A482,قائمة_المخرجات,0)),""))</f>
        <v/>
      </c>
      <c r="D482" s="20"/>
      <c r="E482" s="31"/>
      <c r="F482" s="22"/>
      <c r="G482" s="36" t="str">
        <f aca="false">IF(OR($A482="",$D482&lt;&gt;"تسليم",NOT(ISNUMBER($E482))),"",COUNTIFS($A$5:$A$1504,$A482,$D$5:$D$1504,"تسليم",$E$5:$E$1504,"&lt;"&amp;$E482)+1)</f>
        <v/>
      </c>
      <c r="H482" s="33" t="str">
        <f aca="false">IF($G482="","",_xlfn.MINIFS($E$5:$E$1504,$A$5:$A$1504,$A482,$D$5:$D$1504,"&lt;&gt;تسليم",$E$5:$E$1504,"&gt;="&amp;$E482))</f>
        <v/>
      </c>
      <c r="I482" s="33" t="str">
        <f aca="false">IF($G482="","",_xlfn.MINIFS($E$5:$E$1504,$A$5:$A$1504,$A482,$D$5:$D$1504,"تسليم",$E$5:$E$1504,"&gt;"&amp;$E482))</f>
        <v/>
      </c>
      <c r="J482" s="33" t="str">
        <f aca="false">IF($G482="","",IF(H482&gt;0,IF(I482&gt;0,MIN(H482,I482),H482),IF(I482&gt;0,I482,تاريخ_الاحتساب)))</f>
        <v/>
      </c>
      <c r="K482" s="34" t="str">
        <f aca="false">IF($G482="","",IF(AND(H482=0,I482=0),"جارية","مغلقة"))</f>
        <v/>
      </c>
      <c r="L482" s="26" t="str">
        <f aca="false">IF($G482="","",MAX(0,NETWORKDAYS.INTL($E482,J482,رمز_العطلة,أيام_الأجازات)-1))</f>
        <v/>
      </c>
      <c r="M482" s="26" t="str">
        <f aca="false">IF($G482="","",MAX(0,L482-مهلة_المراجعة))</f>
        <v/>
      </c>
      <c r="N482" s="30" t="str">
        <f aca="false">IF($A482="",IF(OR($D482&lt;&gt;"",$E482&lt;&gt;""),"رقم المخرج ناقص",""),IF(ISNA(MATCH($A482,قائمة_المخرجات,0)),"رقم مخرج غير موجود",IF($D482="","نوع الحركة ناقص",IF(NOT(ISNUMBER($E482)),"التاريخ ناقص",IF($E482&gt;تاريخ_الاحتساب,"تاريخ بعد تاريخ الاحتساب",IF(AND($D482&lt;&gt;"تسليم",COUNTIFS($A$5:$A$1504,$A482,$D$5:$D$1504,"تسليم",$E$5:$E$1504,"&lt;="&amp;$E482)=0),"لا يوجد تسليم قبل الحركة دي",""))))))</f>
        <v/>
      </c>
    </row>
    <row r="483" customFormat="false" ht="15" hidden="false" customHeight="false" outlineLevel="0" collapsed="false">
      <c r="A483" s="20"/>
      <c r="B483" s="35" t="str">
        <f aca="false">IF($A483="","",IFERROR(INDEX(مخرج_البند,MATCH($A483,قائمة_المخرجات,0)),""))</f>
        <v/>
      </c>
      <c r="C483" s="30" t="str">
        <f aca="false">IF($A483="","",IFERROR(INDEX(مخرج_الوصف,MATCH($A483,قائمة_المخرجات,0)),""))</f>
        <v/>
      </c>
      <c r="D483" s="20"/>
      <c r="E483" s="31"/>
      <c r="F483" s="22"/>
      <c r="G483" s="36" t="str">
        <f aca="false">IF(OR($A483="",$D483&lt;&gt;"تسليم",NOT(ISNUMBER($E483))),"",COUNTIFS($A$5:$A$1504,$A483,$D$5:$D$1504,"تسليم",$E$5:$E$1504,"&lt;"&amp;$E483)+1)</f>
        <v/>
      </c>
      <c r="H483" s="33" t="str">
        <f aca="false">IF($G483="","",_xlfn.MINIFS($E$5:$E$1504,$A$5:$A$1504,$A483,$D$5:$D$1504,"&lt;&gt;تسليم",$E$5:$E$1504,"&gt;="&amp;$E483))</f>
        <v/>
      </c>
      <c r="I483" s="33" t="str">
        <f aca="false">IF($G483="","",_xlfn.MINIFS($E$5:$E$1504,$A$5:$A$1504,$A483,$D$5:$D$1504,"تسليم",$E$5:$E$1504,"&gt;"&amp;$E483))</f>
        <v/>
      </c>
      <c r="J483" s="33" t="str">
        <f aca="false">IF($G483="","",IF(H483&gt;0,IF(I483&gt;0,MIN(H483,I483),H483),IF(I483&gt;0,I483,تاريخ_الاحتساب)))</f>
        <v/>
      </c>
      <c r="K483" s="34" t="str">
        <f aca="false">IF($G483="","",IF(AND(H483=0,I483=0),"جارية","مغلقة"))</f>
        <v/>
      </c>
      <c r="L483" s="26" t="str">
        <f aca="false">IF($G483="","",MAX(0,NETWORKDAYS.INTL($E483,J483,رمز_العطلة,أيام_الأجازات)-1))</f>
        <v/>
      </c>
      <c r="M483" s="26" t="str">
        <f aca="false">IF($G483="","",MAX(0,L483-مهلة_المراجعة))</f>
        <v/>
      </c>
      <c r="N483" s="30" t="str">
        <f aca="false">IF($A483="",IF(OR($D483&lt;&gt;"",$E483&lt;&gt;""),"رقم المخرج ناقص",""),IF(ISNA(MATCH($A483,قائمة_المخرجات,0)),"رقم مخرج غير موجود",IF($D483="","نوع الحركة ناقص",IF(NOT(ISNUMBER($E483)),"التاريخ ناقص",IF($E483&gt;تاريخ_الاحتساب,"تاريخ بعد تاريخ الاحتساب",IF(AND($D483&lt;&gt;"تسليم",COUNTIFS($A$5:$A$1504,$A483,$D$5:$D$1504,"تسليم",$E$5:$E$1504,"&lt;="&amp;$E483)=0),"لا يوجد تسليم قبل الحركة دي",""))))))</f>
        <v/>
      </c>
    </row>
    <row r="484" customFormat="false" ht="15" hidden="false" customHeight="false" outlineLevel="0" collapsed="false">
      <c r="A484" s="20"/>
      <c r="B484" s="35" t="str">
        <f aca="false">IF($A484="","",IFERROR(INDEX(مخرج_البند,MATCH($A484,قائمة_المخرجات,0)),""))</f>
        <v/>
      </c>
      <c r="C484" s="30" t="str">
        <f aca="false">IF($A484="","",IFERROR(INDEX(مخرج_الوصف,MATCH($A484,قائمة_المخرجات,0)),""))</f>
        <v/>
      </c>
      <c r="D484" s="20"/>
      <c r="E484" s="31"/>
      <c r="F484" s="22"/>
      <c r="G484" s="36" t="str">
        <f aca="false">IF(OR($A484="",$D484&lt;&gt;"تسليم",NOT(ISNUMBER($E484))),"",COUNTIFS($A$5:$A$1504,$A484,$D$5:$D$1504,"تسليم",$E$5:$E$1504,"&lt;"&amp;$E484)+1)</f>
        <v/>
      </c>
      <c r="H484" s="33" t="str">
        <f aca="false">IF($G484="","",_xlfn.MINIFS($E$5:$E$1504,$A$5:$A$1504,$A484,$D$5:$D$1504,"&lt;&gt;تسليم",$E$5:$E$1504,"&gt;="&amp;$E484))</f>
        <v/>
      </c>
      <c r="I484" s="33" t="str">
        <f aca="false">IF($G484="","",_xlfn.MINIFS($E$5:$E$1504,$A$5:$A$1504,$A484,$D$5:$D$1504,"تسليم",$E$5:$E$1504,"&gt;"&amp;$E484))</f>
        <v/>
      </c>
      <c r="J484" s="33" t="str">
        <f aca="false">IF($G484="","",IF(H484&gt;0,IF(I484&gt;0,MIN(H484,I484),H484),IF(I484&gt;0,I484,تاريخ_الاحتساب)))</f>
        <v/>
      </c>
      <c r="K484" s="34" t="str">
        <f aca="false">IF($G484="","",IF(AND(H484=0,I484=0),"جارية","مغلقة"))</f>
        <v/>
      </c>
      <c r="L484" s="26" t="str">
        <f aca="false">IF($G484="","",MAX(0,NETWORKDAYS.INTL($E484,J484,رمز_العطلة,أيام_الأجازات)-1))</f>
        <v/>
      </c>
      <c r="M484" s="26" t="str">
        <f aca="false">IF($G484="","",MAX(0,L484-مهلة_المراجعة))</f>
        <v/>
      </c>
      <c r="N484" s="30" t="str">
        <f aca="false">IF($A484="",IF(OR($D484&lt;&gt;"",$E484&lt;&gt;""),"رقم المخرج ناقص",""),IF(ISNA(MATCH($A484,قائمة_المخرجات,0)),"رقم مخرج غير موجود",IF($D484="","نوع الحركة ناقص",IF(NOT(ISNUMBER($E484)),"التاريخ ناقص",IF($E484&gt;تاريخ_الاحتساب,"تاريخ بعد تاريخ الاحتساب",IF(AND($D484&lt;&gt;"تسليم",COUNTIFS($A$5:$A$1504,$A484,$D$5:$D$1504,"تسليم",$E$5:$E$1504,"&lt;="&amp;$E484)=0),"لا يوجد تسليم قبل الحركة دي",""))))))</f>
        <v/>
      </c>
    </row>
    <row r="485" customFormat="false" ht="15" hidden="false" customHeight="false" outlineLevel="0" collapsed="false">
      <c r="A485" s="20"/>
      <c r="B485" s="35" t="str">
        <f aca="false">IF($A485="","",IFERROR(INDEX(مخرج_البند,MATCH($A485,قائمة_المخرجات,0)),""))</f>
        <v/>
      </c>
      <c r="C485" s="30" t="str">
        <f aca="false">IF($A485="","",IFERROR(INDEX(مخرج_الوصف,MATCH($A485,قائمة_المخرجات,0)),""))</f>
        <v/>
      </c>
      <c r="D485" s="20"/>
      <c r="E485" s="31"/>
      <c r="F485" s="22"/>
      <c r="G485" s="36" t="str">
        <f aca="false">IF(OR($A485="",$D485&lt;&gt;"تسليم",NOT(ISNUMBER($E485))),"",COUNTIFS($A$5:$A$1504,$A485,$D$5:$D$1504,"تسليم",$E$5:$E$1504,"&lt;"&amp;$E485)+1)</f>
        <v/>
      </c>
      <c r="H485" s="33" t="str">
        <f aca="false">IF($G485="","",_xlfn.MINIFS($E$5:$E$1504,$A$5:$A$1504,$A485,$D$5:$D$1504,"&lt;&gt;تسليم",$E$5:$E$1504,"&gt;="&amp;$E485))</f>
        <v/>
      </c>
      <c r="I485" s="33" t="str">
        <f aca="false">IF($G485="","",_xlfn.MINIFS($E$5:$E$1504,$A$5:$A$1504,$A485,$D$5:$D$1504,"تسليم",$E$5:$E$1504,"&gt;"&amp;$E485))</f>
        <v/>
      </c>
      <c r="J485" s="33" t="str">
        <f aca="false">IF($G485="","",IF(H485&gt;0,IF(I485&gt;0,MIN(H485,I485),H485),IF(I485&gt;0,I485,تاريخ_الاحتساب)))</f>
        <v/>
      </c>
      <c r="K485" s="34" t="str">
        <f aca="false">IF($G485="","",IF(AND(H485=0,I485=0),"جارية","مغلقة"))</f>
        <v/>
      </c>
      <c r="L485" s="26" t="str">
        <f aca="false">IF($G485="","",MAX(0,NETWORKDAYS.INTL($E485,J485,رمز_العطلة,أيام_الأجازات)-1))</f>
        <v/>
      </c>
      <c r="M485" s="26" t="str">
        <f aca="false">IF($G485="","",MAX(0,L485-مهلة_المراجعة))</f>
        <v/>
      </c>
      <c r="N485" s="30" t="str">
        <f aca="false">IF($A485="",IF(OR($D485&lt;&gt;"",$E485&lt;&gt;""),"رقم المخرج ناقص",""),IF(ISNA(MATCH($A485,قائمة_المخرجات,0)),"رقم مخرج غير موجود",IF($D485="","نوع الحركة ناقص",IF(NOT(ISNUMBER($E485)),"التاريخ ناقص",IF($E485&gt;تاريخ_الاحتساب,"تاريخ بعد تاريخ الاحتساب",IF(AND($D485&lt;&gt;"تسليم",COUNTIFS($A$5:$A$1504,$A485,$D$5:$D$1504,"تسليم",$E$5:$E$1504,"&lt;="&amp;$E485)=0),"لا يوجد تسليم قبل الحركة دي",""))))))</f>
        <v/>
      </c>
    </row>
    <row r="486" customFormat="false" ht="15" hidden="false" customHeight="false" outlineLevel="0" collapsed="false">
      <c r="A486" s="20"/>
      <c r="B486" s="35" t="str">
        <f aca="false">IF($A486="","",IFERROR(INDEX(مخرج_البند,MATCH($A486,قائمة_المخرجات,0)),""))</f>
        <v/>
      </c>
      <c r="C486" s="30" t="str">
        <f aca="false">IF($A486="","",IFERROR(INDEX(مخرج_الوصف,MATCH($A486,قائمة_المخرجات,0)),""))</f>
        <v/>
      </c>
      <c r="D486" s="20"/>
      <c r="E486" s="31"/>
      <c r="F486" s="22"/>
      <c r="G486" s="36" t="str">
        <f aca="false">IF(OR($A486="",$D486&lt;&gt;"تسليم",NOT(ISNUMBER($E486))),"",COUNTIFS($A$5:$A$1504,$A486,$D$5:$D$1504,"تسليم",$E$5:$E$1504,"&lt;"&amp;$E486)+1)</f>
        <v/>
      </c>
      <c r="H486" s="33" t="str">
        <f aca="false">IF($G486="","",_xlfn.MINIFS($E$5:$E$1504,$A$5:$A$1504,$A486,$D$5:$D$1504,"&lt;&gt;تسليم",$E$5:$E$1504,"&gt;="&amp;$E486))</f>
        <v/>
      </c>
      <c r="I486" s="33" t="str">
        <f aca="false">IF($G486="","",_xlfn.MINIFS($E$5:$E$1504,$A$5:$A$1504,$A486,$D$5:$D$1504,"تسليم",$E$5:$E$1504,"&gt;"&amp;$E486))</f>
        <v/>
      </c>
      <c r="J486" s="33" t="str">
        <f aca="false">IF($G486="","",IF(H486&gt;0,IF(I486&gt;0,MIN(H486,I486),H486),IF(I486&gt;0,I486,تاريخ_الاحتساب)))</f>
        <v/>
      </c>
      <c r="K486" s="34" t="str">
        <f aca="false">IF($G486="","",IF(AND(H486=0,I486=0),"جارية","مغلقة"))</f>
        <v/>
      </c>
      <c r="L486" s="26" t="str">
        <f aca="false">IF($G486="","",MAX(0,NETWORKDAYS.INTL($E486,J486,رمز_العطلة,أيام_الأجازات)-1))</f>
        <v/>
      </c>
      <c r="M486" s="26" t="str">
        <f aca="false">IF($G486="","",MAX(0,L486-مهلة_المراجعة))</f>
        <v/>
      </c>
      <c r="N486" s="30" t="str">
        <f aca="false">IF($A486="",IF(OR($D486&lt;&gt;"",$E486&lt;&gt;""),"رقم المخرج ناقص",""),IF(ISNA(MATCH($A486,قائمة_المخرجات,0)),"رقم مخرج غير موجود",IF($D486="","نوع الحركة ناقص",IF(NOT(ISNUMBER($E486)),"التاريخ ناقص",IF($E486&gt;تاريخ_الاحتساب,"تاريخ بعد تاريخ الاحتساب",IF(AND($D486&lt;&gt;"تسليم",COUNTIFS($A$5:$A$1504,$A486,$D$5:$D$1504,"تسليم",$E$5:$E$1504,"&lt;="&amp;$E486)=0),"لا يوجد تسليم قبل الحركة دي",""))))))</f>
        <v/>
      </c>
    </row>
    <row r="487" customFormat="false" ht="15" hidden="false" customHeight="false" outlineLevel="0" collapsed="false">
      <c r="A487" s="20"/>
      <c r="B487" s="35" t="str">
        <f aca="false">IF($A487="","",IFERROR(INDEX(مخرج_البند,MATCH($A487,قائمة_المخرجات,0)),""))</f>
        <v/>
      </c>
      <c r="C487" s="30" t="str">
        <f aca="false">IF($A487="","",IFERROR(INDEX(مخرج_الوصف,MATCH($A487,قائمة_المخرجات,0)),""))</f>
        <v/>
      </c>
      <c r="D487" s="20"/>
      <c r="E487" s="31"/>
      <c r="F487" s="22"/>
      <c r="G487" s="36" t="str">
        <f aca="false">IF(OR($A487="",$D487&lt;&gt;"تسليم",NOT(ISNUMBER($E487))),"",COUNTIFS($A$5:$A$1504,$A487,$D$5:$D$1504,"تسليم",$E$5:$E$1504,"&lt;"&amp;$E487)+1)</f>
        <v/>
      </c>
      <c r="H487" s="33" t="str">
        <f aca="false">IF($G487="","",_xlfn.MINIFS($E$5:$E$1504,$A$5:$A$1504,$A487,$D$5:$D$1504,"&lt;&gt;تسليم",$E$5:$E$1504,"&gt;="&amp;$E487))</f>
        <v/>
      </c>
      <c r="I487" s="33" t="str">
        <f aca="false">IF($G487="","",_xlfn.MINIFS($E$5:$E$1504,$A$5:$A$1504,$A487,$D$5:$D$1504,"تسليم",$E$5:$E$1504,"&gt;"&amp;$E487))</f>
        <v/>
      </c>
      <c r="J487" s="33" t="str">
        <f aca="false">IF($G487="","",IF(H487&gt;0,IF(I487&gt;0,MIN(H487,I487),H487),IF(I487&gt;0,I487,تاريخ_الاحتساب)))</f>
        <v/>
      </c>
      <c r="K487" s="34" t="str">
        <f aca="false">IF($G487="","",IF(AND(H487=0,I487=0),"جارية","مغلقة"))</f>
        <v/>
      </c>
      <c r="L487" s="26" t="str">
        <f aca="false">IF($G487="","",MAX(0,NETWORKDAYS.INTL($E487,J487,رمز_العطلة,أيام_الأجازات)-1))</f>
        <v/>
      </c>
      <c r="M487" s="26" t="str">
        <f aca="false">IF($G487="","",MAX(0,L487-مهلة_المراجعة))</f>
        <v/>
      </c>
      <c r="N487" s="30" t="str">
        <f aca="false">IF($A487="",IF(OR($D487&lt;&gt;"",$E487&lt;&gt;""),"رقم المخرج ناقص",""),IF(ISNA(MATCH($A487,قائمة_المخرجات,0)),"رقم مخرج غير موجود",IF($D487="","نوع الحركة ناقص",IF(NOT(ISNUMBER($E487)),"التاريخ ناقص",IF($E487&gt;تاريخ_الاحتساب,"تاريخ بعد تاريخ الاحتساب",IF(AND($D487&lt;&gt;"تسليم",COUNTIFS($A$5:$A$1504,$A487,$D$5:$D$1504,"تسليم",$E$5:$E$1504,"&lt;="&amp;$E487)=0),"لا يوجد تسليم قبل الحركة دي",""))))))</f>
        <v/>
      </c>
    </row>
    <row r="488" customFormat="false" ht="15" hidden="false" customHeight="false" outlineLevel="0" collapsed="false">
      <c r="A488" s="20"/>
      <c r="B488" s="35" t="str">
        <f aca="false">IF($A488="","",IFERROR(INDEX(مخرج_البند,MATCH($A488,قائمة_المخرجات,0)),""))</f>
        <v/>
      </c>
      <c r="C488" s="30" t="str">
        <f aca="false">IF($A488="","",IFERROR(INDEX(مخرج_الوصف,MATCH($A488,قائمة_المخرجات,0)),""))</f>
        <v/>
      </c>
      <c r="D488" s="20"/>
      <c r="E488" s="31"/>
      <c r="F488" s="22"/>
      <c r="G488" s="36" t="str">
        <f aca="false">IF(OR($A488="",$D488&lt;&gt;"تسليم",NOT(ISNUMBER($E488))),"",COUNTIFS($A$5:$A$1504,$A488,$D$5:$D$1504,"تسليم",$E$5:$E$1504,"&lt;"&amp;$E488)+1)</f>
        <v/>
      </c>
      <c r="H488" s="33" t="str">
        <f aca="false">IF($G488="","",_xlfn.MINIFS($E$5:$E$1504,$A$5:$A$1504,$A488,$D$5:$D$1504,"&lt;&gt;تسليم",$E$5:$E$1504,"&gt;="&amp;$E488))</f>
        <v/>
      </c>
      <c r="I488" s="33" t="str">
        <f aca="false">IF($G488="","",_xlfn.MINIFS($E$5:$E$1504,$A$5:$A$1504,$A488,$D$5:$D$1504,"تسليم",$E$5:$E$1504,"&gt;"&amp;$E488))</f>
        <v/>
      </c>
      <c r="J488" s="33" t="str">
        <f aca="false">IF($G488="","",IF(H488&gt;0,IF(I488&gt;0,MIN(H488,I488),H488),IF(I488&gt;0,I488,تاريخ_الاحتساب)))</f>
        <v/>
      </c>
      <c r="K488" s="34" t="str">
        <f aca="false">IF($G488="","",IF(AND(H488=0,I488=0),"جارية","مغلقة"))</f>
        <v/>
      </c>
      <c r="L488" s="26" t="str">
        <f aca="false">IF($G488="","",MAX(0,NETWORKDAYS.INTL($E488,J488,رمز_العطلة,أيام_الأجازات)-1))</f>
        <v/>
      </c>
      <c r="M488" s="26" t="str">
        <f aca="false">IF($G488="","",MAX(0,L488-مهلة_المراجعة))</f>
        <v/>
      </c>
      <c r="N488" s="30" t="str">
        <f aca="false">IF($A488="",IF(OR($D488&lt;&gt;"",$E488&lt;&gt;""),"رقم المخرج ناقص",""),IF(ISNA(MATCH($A488,قائمة_المخرجات,0)),"رقم مخرج غير موجود",IF($D488="","نوع الحركة ناقص",IF(NOT(ISNUMBER($E488)),"التاريخ ناقص",IF($E488&gt;تاريخ_الاحتساب,"تاريخ بعد تاريخ الاحتساب",IF(AND($D488&lt;&gt;"تسليم",COUNTIFS($A$5:$A$1504,$A488,$D$5:$D$1504,"تسليم",$E$5:$E$1504,"&lt;="&amp;$E488)=0),"لا يوجد تسليم قبل الحركة دي",""))))))</f>
        <v/>
      </c>
    </row>
    <row r="489" customFormat="false" ht="15" hidden="false" customHeight="false" outlineLevel="0" collapsed="false">
      <c r="A489" s="20"/>
      <c r="B489" s="35" t="str">
        <f aca="false">IF($A489="","",IFERROR(INDEX(مخرج_البند,MATCH($A489,قائمة_المخرجات,0)),""))</f>
        <v/>
      </c>
      <c r="C489" s="30" t="str">
        <f aca="false">IF($A489="","",IFERROR(INDEX(مخرج_الوصف,MATCH($A489,قائمة_المخرجات,0)),""))</f>
        <v/>
      </c>
      <c r="D489" s="20"/>
      <c r="E489" s="31"/>
      <c r="F489" s="22"/>
      <c r="G489" s="36" t="str">
        <f aca="false">IF(OR($A489="",$D489&lt;&gt;"تسليم",NOT(ISNUMBER($E489))),"",COUNTIFS($A$5:$A$1504,$A489,$D$5:$D$1504,"تسليم",$E$5:$E$1504,"&lt;"&amp;$E489)+1)</f>
        <v/>
      </c>
      <c r="H489" s="33" t="str">
        <f aca="false">IF($G489="","",_xlfn.MINIFS($E$5:$E$1504,$A$5:$A$1504,$A489,$D$5:$D$1504,"&lt;&gt;تسليم",$E$5:$E$1504,"&gt;="&amp;$E489))</f>
        <v/>
      </c>
      <c r="I489" s="33" t="str">
        <f aca="false">IF($G489="","",_xlfn.MINIFS($E$5:$E$1504,$A$5:$A$1504,$A489,$D$5:$D$1504,"تسليم",$E$5:$E$1504,"&gt;"&amp;$E489))</f>
        <v/>
      </c>
      <c r="J489" s="33" t="str">
        <f aca="false">IF($G489="","",IF(H489&gt;0,IF(I489&gt;0,MIN(H489,I489),H489),IF(I489&gt;0,I489,تاريخ_الاحتساب)))</f>
        <v/>
      </c>
      <c r="K489" s="34" t="str">
        <f aca="false">IF($G489="","",IF(AND(H489=0,I489=0),"جارية","مغلقة"))</f>
        <v/>
      </c>
      <c r="L489" s="26" t="str">
        <f aca="false">IF($G489="","",MAX(0,NETWORKDAYS.INTL($E489,J489,رمز_العطلة,أيام_الأجازات)-1))</f>
        <v/>
      </c>
      <c r="M489" s="26" t="str">
        <f aca="false">IF($G489="","",MAX(0,L489-مهلة_المراجعة))</f>
        <v/>
      </c>
      <c r="N489" s="30" t="str">
        <f aca="false">IF($A489="",IF(OR($D489&lt;&gt;"",$E489&lt;&gt;""),"رقم المخرج ناقص",""),IF(ISNA(MATCH($A489,قائمة_المخرجات,0)),"رقم مخرج غير موجود",IF($D489="","نوع الحركة ناقص",IF(NOT(ISNUMBER($E489)),"التاريخ ناقص",IF($E489&gt;تاريخ_الاحتساب,"تاريخ بعد تاريخ الاحتساب",IF(AND($D489&lt;&gt;"تسليم",COUNTIFS($A$5:$A$1504,$A489,$D$5:$D$1504,"تسليم",$E$5:$E$1504,"&lt;="&amp;$E489)=0),"لا يوجد تسليم قبل الحركة دي",""))))))</f>
        <v/>
      </c>
    </row>
    <row r="490" customFormat="false" ht="15" hidden="false" customHeight="false" outlineLevel="0" collapsed="false">
      <c r="A490" s="20"/>
      <c r="B490" s="35" t="str">
        <f aca="false">IF($A490="","",IFERROR(INDEX(مخرج_البند,MATCH($A490,قائمة_المخرجات,0)),""))</f>
        <v/>
      </c>
      <c r="C490" s="30" t="str">
        <f aca="false">IF($A490="","",IFERROR(INDEX(مخرج_الوصف,MATCH($A490,قائمة_المخرجات,0)),""))</f>
        <v/>
      </c>
      <c r="D490" s="20"/>
      <c r="E490" s="31"/>
      <c r="F490" s="22"/>
      <c r="G490" s="36" t="str">
        <f aca="false">IF(OR($A490="",$D490&lt;&gt;"تسليم",NOT(ISNUMBER($E490))),"",COUNTIFS($A$5:$A$1504,$A490,$D$5:$D$1504,"تسليم",$E$5:$E$1504,"&lt;"&amp;$E490)+1)</f>
        <v/>
      </c>
      <c r="H490" s="33" t="str">
        <f aca="false">IF($G490="","",_xlfn.MINIFS($E$5:$E$1504,$A$5:$A$1504,$A490,$D$5:$D$1504,"&lt;&gt;تسليم",$E$5:$E$1504,"&gt;="&amp;$E490))</f>
        <v/>
      </c>
      <c r="I490" s="33" t="str">
        <f aca="false">IF($G490="","",_xlfn.MINIFS($E$5:$E$1504,$A$5:$A$1504,$A490,$D$5:$D$1504,"تسليم",$E$5:$E$1504,"&gt;"&amp;$E490))</f>
        <v/>
      </c>
      <c r="J490" s="33" t="str">
        <f aca="false">IF($G490="","",IF(H490&gt;0,IF(I490&gt;0,MIN(H490,I490),H490),IF(I490&gt;0,I490,تاريخ_الاحتساب)))</f>
        <v/>
      </c>
      <c r="K490" s="34" t="str">
        <f aca="false">IF($G490="","",IF(AND(H490=0,I490=0),"جارية","مغلقة"))</f>
        <v/>
      </c>
      <c r="L490" s="26" t="str">
        <f aca="false">IF($G490="","",MAX(0,NETWORKDAYS.INTL($E490,J490,رمز_العطلة,أيام_الأجازات)-1))</f>
        <v/>
      </c>
      <c r="M490" s="26" t="str">
        <f aca="false">IF($G490="","",MAX(0,L490-مهلة_المراجعة))</f>
        <v/>
      </c>
      <c r="N490" s="30" t="str">
        <f aca="false">IF($A490="",IF(OR($D490&lt;&gt;"",$E490&lt;&gt;""),"رقم المخرج ناقص",""),IF(ISNA(MATCH($A490,قائمة_المخرجات,0)),"رقم مخرج غير موجود",IF($D490="","نوع الحركة ناقص",IF(NOT(ISNUMBER($E490)),"التاريخ ناقص",IF($E490&gt;تاريخ_الاحتساب,"تاريخ بعد تاريخ الاحتساب",IF(AND($D490&lt;&gt;"تسليم",COUNTIFS($A$5:$A$1504,$A490,$D$5:$D$1504,"تسليم",$E$5:$E$1504,"&lt;="&amp;$E490)=0),"لا يوجد تسليم قبل الحركة دي",""))))))</f>
        <v/>
      </c>
    </row>
    <row r="491" customFormat="false" ht="15" hidden="false" customHeight="false" outlineLevel="0" collapsed="false">
      <c r="A491" s="20"/>
      <c r="B491" s="35" t="str">
        <f aca="false">IF($A491="","",IFERROR(INDEX(مخرج_البند,MATCH($A491,قائمة_المخرجات,0)),""))</f>
        <v/>
      </c>
      <c r="C491" s="30" t="str">
        <f aca="false">IF($A491="","",IFERROR(INDEX(مخرج_الوصف,MATCH($A491,قائمة_المخرجات,0)),""))</f>
        <v/>
      </c>
      <c r="D491" s="20"/>
      <c r="E491" s="31"/>
      <c r="F491" s="22"/>
      <c r="G491" s="36" t="str">
        <f aca="false">IF(OR($A491="",$D491&lt;&gt;"تسليم",NOT(ISNUMBER($E491))),"",COUNTIFS($A$5:$A$1504,$A491,$D$5:$D$1504,"تسليم",$E$5:$E$1504,"&lt;"&amp;$E491)+1)</f>
        <v/>
      </c>
      <c r="H491" s="33" t="str">
        <f aca="false">IF($G491="","",_xlfn.MINIFS($E$5:$E$1504,$A$5:$A$1504,$A491,$D$5:$D$1504,"&lt;&gt;تسليم",$E$5:$E$1504,"&gt;="&amp;$E491))</f>
        <v/>
      </c>
      <c r="I491" s="33" t="str">
        <f aca="false">IF($G491="","",_xlfn.MINIFS($E$5:$E$1504,$A$5:$A$1504,$A491,$D$5:$D$1504,"تسليم",$E$5:$E$1504,"&gt;"&amp;$E491))</f>
        <v/>
      </c>
      <c r="J491" s="33" t="str">
        <f aca="false">IF($G491="","",IF(H491&gt;0,IF(I491&gt;0,MIN(H491,I491),H491),IF(I491&gt;0,I491,تاريخ_الاحتساب)))</f>
        <v/>
      </c>
      <c r="K491" s="34" t="str">
        <f aca="false">IF($G491="","",IF(AND(H491=0,I491=0),"جارية","مغلقة"))</f>
        <v/>
      </c>
      <c r="L491" s="26" t="str">
        <f aca="false">IF($G491="","",MAX(0,NETWORKDAYS.INTL($E491,J491,رمز_العطلة,أيام_الأجازات)-1))</f>
        <v/>
      </c>
      <c r="M491" s="26" t="str">
        <f aca="false">IF($G491="","",MAX(0,L491-مهلة_المراجعة))</f>
        <v/>
      </c>
      <c r="N491" s="30" t="str">
        <f aca="false">IF($A491="",IF(OR($D491&lt;&gt;"",$E491&lt;&gt;""),"رقم المخرج ناقص",""),IF(ISNA(MATCH($A491,قائمة_المخرجات,0)),"رقم مخرج غير موجود",IF($D491="","نوع الحركة ناقص",IF(NOT(ISNUMBER($E491)),"التاريخ ناقص",IF($E491&gt;تاريخ_الاحتساب,"تاريخ بعد تاريخ الاحتساب",IF(AND($D491&lt;&gt;"تسليم",COUNTIFS($A$5:$A$1504,$A491,$D$5:$D$1504,"تسليم",$E$5:$E$1504,"&lt;="&amp;$E491)=0),"لا يوجد تسليم قبل الحركة دي",""))))))</f>
        <v/>
      </c>
    </row>
    <row r="492" customFormat="false" ht="15" hidden="false" customHeight="false" outlineLevel="0" collapsed="false">
      <c r="A492" s="20"/>
      <c r="B492" s="35" t="str">
        <f aca="false">IF($A492="","",IFERROR(INDEX(مخرج_البند,MATCH($A492,قائمة_المخرجات,0)),""))</f>
        <v/>
      </c>
      <c r="C492" s="30" t="str">
        <f aca="false">IF($A492="","",IFERROR(INDEX(مخرج_الوصف,MATCH($A492,قائمة_المخرجات,0)),""))</f>
        <v/>
      </c>
      <c r="D492" s="20"/>
      <c r="E492" s="31"/>
      <c r="F492" s="22"/>
      <c r="G492" s="36" t="str">
        <f aca="false">IF(OR($A492="",$D492&lt;&gt;"تسليم",NOT(ISNUMBER($E492))),"",COUNTIFS($A$5:$A$1504,$A492,$D$5:$D$1504,"تسليم",$E$5:$E$1504,"&lt;"&amp;$E492)+1)</f>
        <v/>
      </c>
      <c r="H492" s="33" t="str">
        <f aca="false">IF($G492="","",_xlfn.MINIFS($E$5:$E$1504,$A$5:$A$1504,$A492,$D$5:$D$1504,"&lt;&gt;تسليم",$E$5:$E$1504,"&gt;="&amp;$E492))</f>
        <v/>
      </c>
      <c r="I492" s="33" t="str">
        <f aca="false">IF($G492="","",_xlfn.MINIFS($E$5:$E$1504,$A$5:$A$1504,$A492,$D$5:$D$1504,"تسليم",$E$5:$E$1504,"&gt;"&amp;$E492))</f>
        <v/>
      </c>
      <c r="J492" s="33" t="str">
        <f aca="false">IF($G492="","",IF(H492&gt;0,IF(I492&gt;0,MIN(H492,I492),H492),IF(I492&gt;0,I492,تاريخ_الاحتساب)))</f>
        <v/>
      </c>
      <c r="K492" s="34" t="str">
        <f aca="false">IF($G492="","",IF(AND(H492=0,I492=0),"جارية","مغلقة"))</f>
        <v/>
      </c>
      <c r="L492" s="26" t="str">
        <f aca="false">IF($G492="","",MAX(0,NETWORKDAYS.INTL($E492,J492,رمز_العطلة,أيام_الأجازات)-1))</f>
        <v/>
      </c>
      <c r="M492" s="26" t="str">
        <f aca="false">IF($G492="","",MAX(0,L492-مهلة_المراجعة))</f>
        <v/>
      </c>
      <c r="N492" s="30" t="str">
        <f aca="false">IF($A492="",IF(OR($D492&lt;&gt;"",$E492&lt;&gt;""),"رقم المخرج ناقص",""),IF(ISNA(MATCH($A492,قائمة_المخرجات,0)),"رقم مخرج غير موجود",IF($D492="","نوع الحركة ناقص",IF(NOT(ISNUMBER($E492)),"التاريخ ناقص",IF($E492&gt;تاريخ_الاحتساب,"تاريخ بعد تاريخ الاحتساب",IF(AND($D492&lt;&gt;"تسليم",COUNTIFS($A$5:$A$1504,$A492,$D$5:$D$1504,"تسليم",$E$5:$E$1504,"&lt;="&amp;$E492)=0),"لا يوجد تسليم قبل الحركة دي",""))))))</f>
        <v/>
      </c>
    </row>
    <row r="493" customFormat="false" ht="15" hidden="false" customHeight="false" outlineLevel="0" collapsed="false">
      <c r="A493" s="20"/>
      <c r="B493" s="35" t="str">
        <f aca="false">IF($A493="","",IFERROR(INDEX(مخرج_البند,MATCH($A493,قائمة_المخرجات,0)),""))</f>
        <v/>
      </c>
      <c r="C493" s="30" t="str">
        <f aca="false">IF($A493="","",IFERROR(INDEX(مخرج_الوصف,MATCH($A493,قائمة_المخرجات,0)),""))</f>
        <v/>
      </c>
      <c r="D493" s="20"/>
      <c r="E493" s="31"/>
      <c r="F493" s="22"/>
      <c r="G493" s="36" t="str">
        <f aca="false">IF(OR($A493="",$D493&lt;&gt;"تسليم",NOT(ISNUMBER($E493))),"",COUNTIFS($A$5:$A$1504,$A493,$D$5:$D$1504,"تسليم",$E$5:$E$1504,"&lt;"&amp;$E493)+1)</f>
        <v/>
      </c>
      <c r="H493" s="33" t="str">
        <f aca="false">IF($G493="","",_xlfn.MINIFS($E$5:$E$1504,$A$5:$A$1504,$A493,$D$5:$D$1504,"&lt;&gt;تسليم",$E$5:$E$1504,"&gt;="&amp;$E493))</f>
        <v/>
      </c>
      <c r="I493" s="33" t="str">
        <f aca="false">IF($G493="","",_xlfn.MINIFS($E$5:$E$1504,$A$5:$A$1504,$A493,$D$5:$D$1504,"تسليم",$E$5:$E$1504,"&gt;"&amp;$E493))</f>
        <v/>
      </c>
      <c r="J493" s="33" t="str">
        <f aca="false">IF($G493="","",IF(H493&gt;0,IF(I493&gt;0,MIN(H493,I493),H493),IF(I493&gt;0,I493,تاريخ_الاحتساب)))</f>
        <v/>
      </c>
      <c r="K493" s="34" t="str">
        <f aca="false">IF($G493="","",IF(AND(H493=0,I493=0),"جارية","مغلقة"))</f>
        <v/>
      </c>
      <c r="L493" s="26" t="str">
        <f aca="false">IF($G493="","",MAX(0,NETWORKDAYS.INTL($E493,J493,رمز_العطلة,أيام_الأجازات)-1))</f>
        <v/>
      </c>
      <c r="M493" s="26" t="str">
        <f aca="false">IF($G493="","",MAX(0,L493-مهلة_المراجعة))</f>
        <v/>
      </c>
      <c r="N493" s="30" t="str">
        <f aca="false">IF($A493="",IF(OR($D493&lt;&gt;"",$E493&lt;&gt;""),"رقم المخرج ناقص",""),IF(ISNA(MATCH($A493,قائمة_المخرجات,0)),"رقم مخرج غير موجود",IF($D493="","نوع الحركة ناقص",IF(NOT(ISNUMBER($E493)),"التاريخ ناقص",IF($E493&gt;تاريخ_الاحتساب,"تاريخ بعد تاريخ الاحتساب",IF(AND($D493&lt;&gt;"تسليم",COUNTIFS($A$5:$A$1504,$A493,$D$5:$D$1504,"تسليم",$E$5:$E$1504,"&lt;="&amp;$E493)=0),"لا يوجد تسليم قبل الحركة دي",""))))))</f>
        <v/>
      </c>
    </row>
    <row r="494" customFormat="false" ht="15" hidden="false" customHeight="false" outlineLevel="0" collapsed="false">
      <c r="A494" s="20"/>
      <c r="B494" s="35" t="str">
        <f aca="false">IF($A494="","",IFERROR(INDEX(مخرج_البند,MATCH($A494,قائمة_المخرجات,0)),""))</f>
        <v/>
      </c>
      <c r="C494" s="30" t="str">
        <f aca="false">IF($A494="","",IFERROR(INDEX(مخرج_الوصف,MATCH($A494,قائمة_المخرجات,0)),""))</f>
        <v/>
      </c>
      <c r="D494" s="20"/>
      <c r="E494" s="31"/>
      <c r="F494" s="22"/>
      <c r="G494" s="36" t="str">
        <f aca="false">IF(OR($A494="",$D494&lt;&gt;"تسليم",NOT(ISNUMBER($E494))),"",COUNTIFS($A$5:$A$1504,$A494,$D$5:$D$1504,"تسليم",$E$5:$E$1504,"&lt;"&amp;$E494)+1)</f>
        <v/>
      </c>
      <c r="H494" s="33" t="str">
        <f aca="false">IF($G494="","",_xlfn.MINIFS($E$5:$E$1504,$A$5:$A$1504,$A494,$D$5:$D$1504,"&lt;&gt;تسليم",$E$5:$E$1504,"&gt;="&amp;$E494))</f>
        <v/>
      </c>
      <c r="I494" s="33" t="str">
        <f aca="false">IF($G494="","",_xlfn.MINIFS($E$5:$E$1504,$A$5:$A$1504,$A494,$D$5:$D$1504,"تسليم",$E$5:$E$1504,"&gt;"&amp;$E494))</f>
        <v/>
      </c>
      <c r="J494" s="33" t="str">
        <f aca="false">IF($G494="","",IF(H494&gt;0,IF(I494&gt;0,MIN(H494,I494),H494),IF(I494&gt;0,I494,تاريخ_الاحتساب)))</f>
        <v/>
      </c>
      <c r="K494" s="34" t="str">
        <f aca="false">IF($G494="","",IF(AND(H494=0,I494=0),"جارية","مغلقة"))</f>
        <v/>
      </c>
      <c r="L494" s="26" t="str">
        <f aca="false">IF($G494="","",MAX(0,NETWORKDAYS.INTL($E494,J494,رمز_العطلة,أيام_الأجازات)-1))</f>
        <v/>
      </c>
      <c r="M494" s="26" t="str">
        <f aca="false">IF($G494="","",MAX(0,L494-مهلة_المراجعة))</f>
        <v/>
      </c>
      <c r="N494" s="30" t="str">
        <f aca="false">IF($A494="",IF(OR($D494&lt;&gt;"",$E494&lt;&gt;""),"رقم المخرج ناقص",""),IF(ISNA(MATCH($A494,قائمة_المخرجات,0)),"رقم مخرج غير موجود",IF($D494="","نوع الحركة ناقص",IF(NOT(ISNUMBER($E494)),"التاريخ ناقص",IF($E494&gt;تاريخ_الاحتساب,"تاريخ بعد تاريخ الاحتساب",IF(AND($D494&lt;&gt;"تسليم",COUNTIFS($A$5:$A$1504,$A494,$D$5:$D$1504,"تسليم",$E$5:$E$1504,"&lt;="&amp;$E494)=0),"لا يوجد تسليم قبل الحركة دي",""))))))</f>
        <v/>
      </c>
    </row>
    <row r="495" customFormat="false" ht="15" hidden="false" customHeight="false" outlineLevel="0" collapsed="false">
      <c r="A495" s="20"/>
      <c r="B495" s="35" t="str">
        <f aca="false">IF($A495="","",IFERROR(INDEX(مخرج_البند,MATCH($A495,قائمة_المخرجات,0)),""))</f>
        <v/>
      </c>
      <c r="C495" s="30" t="str">
        <f aca="false">IF($A495="","",IFERROR(INDEX(مخرج_الوصف,MATCH($A495,قائمة_المخرجات,0)),""))</f>
        <v/>
      </c>
      <c r="D495" s="20"/>
      <c r="E495" s="31"/>
      <c r="F495" s="22"/>
      <c r="G495" s="36" t="str">
        <f aca="false">IF(OR($A495="",$D495&lt;&gt;"تسليم",NOT(ISNUMBER($E495))),"",COUNTIFS($A$5:$A$1504,$A495,$D$5:$D$1504,"تسليم",$E$5:$E$1504,"&lt;"&amp;$E495)+1)</f>
        <v/>
      </c>
      <c r="H495" s="33" t="str">
        <f aca="false">IF($G495="","",_xlfn.MINIFS($E$5:$E$1504,$A$5:$A$1504,$A495,$D$5:$D$1504,"&lt;&gt;تسليم",$E$5:$E$1504,"&gt;="&amp;$E495))</f>
        <v/>
      </c>
      <c r="I495" s="33" t="str">
        <f aca="false">IF($G495="","",_xlfn.MINIFS($E$5:$E$1504,$A$5:$A$1504,$A495,$D$5:$D$1504,"تسليم",$E$5:$E$1504,"&gt;"&amp;$E495))</f>
        <v/>
      </c>
      <c r="J495" s="33" t="str">
        <f aca="false">IF($G495="","",IF(H495&gt;0,IF(I495&gt;0,MIN(H495,I495),H495),IF(I495&gt;0,I495,تاريخ_الاحتساب)))</f>
        <v/>
      </c>
      <c r="K495" s="34" t="str">
        <f aca="false">IF($G495="","",IF(AND(H495=0,I495=0),"جارية","مغلقة"))</f>
        <v/>
      </c>
      <c r="L495" s="26" t="str">
        <f aca="false">IF($G495="","",MAX(0,NETWORKDAYS.INTL($E495,J495,رمز_العطلة,أيام_الأجازات)-1))</f>
        <v/>
      </c>
      <c r="M495" s="26" t="str">
        <f aca="false">IF($G495="","",MAX(0,L495-مهلة_المراجعة))</f>
        <v/>
      </c>
      <c r="N495" s="30" t="str">
        <f aca="false">IF($A495="",IF(OR($D495&lt;&gt;"",$E495&lt;&gt;""),"رقم المخرج ناقص",""),IF(ISNA(MATCH($A495,قائمة_المخرجات,0)),"رقم مخرج غير موجود",IF($D495="","نوع الحركة ناقص",IF(NOT(ISNUMBER($E495)),"التاريخ ناقص",IF($E495&gt;تاريخ_الاحتساب,"تاريخ بعد تاريخ الاحتساب",IF(AND($D495&lt;&gt;"تسليم",COUNTIFS($A$5:$A$1504,$A495,$D$5:$D$1504,"تسليم",$E$5:$E$1504,"&lt;="&amp;$E495)=0),"لا يوجد تسليم قبل الحركة دي",""))))))</f>
        <v/>
      </c>
    </row>
    <row r="496" customFormat="false" ht="15" hidden="false" customHeight="false" outlineLevel="0" collapsed="false">
      <c r="A496" s="20"/>
      <c r="B496" s="35" t="str">
        <f aca="false">IF($A496="","",IFERROR(INDEX(مخرج_البند,MATCH($A496,قائمة_المخرجات,0)),""))</f>
        <v/>
      </c>
      <c r="C496" s="30" t="str">
        <f aca="false">IF($A496="","",IFERROR(INDEX(مخرج_الوصف,MATCH($A496,قائمة_المخرجات,0)),""))</f>
        <v/>
      </c>
      <c r="D496" s="20"/>
      <c r="E496" s="31"/>
      <c r="F496" s="22"/>
      <c r="G496" s="36" t="str">
        <f aca="false">IF(OR($A496="",$D496&lt;&gt;"تسليم",NOT(ISNUMBER($E496))),"",COUNTIFS($A$5:$A$1504,$A496,$D$5:$D$1504,"تسليم",$E$5:$E$1504,"&lt;"&amp;$E496)+1)</f>
        <v/>
      </c>
      <c r="H496" s="33" t="str">
        <f aca="false">IF($G496="","",_xlfn.MINIFS($E$5:$E$1504,$A$5:$A$1504,$A496,$D$5:$D$1504,"&lt;&gt;تسليم",$E$5:$E$1504,"&gt;="&amp;$E496))</f>
        <v/>
      </c>
      <c r="I496" s="33" t="str">
        <f aca="false">IF($G496="","",_xlfn.MINIFS($E$5:$E$1504,$A$5:$A$1504,$A496,$D$5:$D$1504,"تسليم",$E$5:$E$1504,"&gt;"&amp;$E496))</f>
        <v/>
      </c>
      <c r="J496" s="33" t="str">
        <f aca="false">IF($G496="","",IF(H496&gt;0,IF(I496&gt;0,MIN(H496,I496),H496),IF(I496&gt;0,I496,تاريخ_الاحتساب)))</f>
        <v/>
      </c>
      <c r="K496" s="34" t="str">
        <f aca="false">IF($G496="","",IF(AND(H496=0,I496=0),"جارية","مغلقة"))</f>
        <v/>
      </c>
      <c r="L496" s="26" t="str">
        <f aca="false">IF($G496="","",MAX(0,NETWORKDAYS.INTL($E496,J496,رمز_العطلة,أيام_الأجازات)-1))</f>
        <v/>
      </c>
      <c r="M496" s="26" t="str">
        <f aca="false">IF($G496="","",MAX(0,L496-مهلة_المراجعة))</f>
        <v/>
      </c>
      <c r="N496" s="30" t="str">
        <f aca="false">IF($A496="",IF(OR($D496&lt;&gt;"",$E496&lt;&gt;""),"رقم المخرج ناقص",""),IF(ISNA(MATCH($A496,قائمة_المخرجات,0)),"رقم مخرج غير موجود",IF($D496="","نوع الحركة ناقص",IF(NOT(ISNUMBER($E496)),"التاريخ ناقص",IF($E496&gt;تاريخ_الاحتساب,"تاريخ بعد تاريخ الاحتساب",IF(AND($D496&lt;&gt;"تسليم",COUNTIFS($A$5:$A$1504,$A496,$D$5:$D$1504,"تسليم",$E$5:$E$1504,"&lt;="&amp;$E496)=0),"لا يوجد تسليم قبل الحركة دي",""))))))</f>
        <v/>
      </c>
    </row>
    <row r="497" customFormat="false" ht="15" hidden="false" customHeight="false" outlineLevel="0" collapsed="false">
      <c r="A497" s="20"/>
      <c r="B497" s="35" t="str">
        <f aca="false">IF($A497="","",IFERROR(INDEX(مخرج_البند,MATCH($A497,قائمة_المخرجات,0)),""))</f>
        <v/>
      </c>
      <c r="C497" s="30" t="str">
        <f aca="false">IF($A497="","",IFERROR(INDEX(مخرج_الوصف,MATCH($A497,قائمة_المخرجات,0)),""))</f>
        <v/>
      </c>
      <c r="D497" s="20"/>
      <c r="E497" s="31"/>
      <c r="F497" s="22"/>
      <c r="G497" s="36" t="str">
        <f aca="false">IF(OR($A497="",$D497&lt;&gt;"تسليم",NOT(ISNUMBER($E497))),"",COUNTIFS($A$5:$A$1504,$A497,$D$5:$D$1504,"تسليم",$E$5:$E$1504,"&lt;"&amp;$E497)+1)</f>
        <v/>
      </c>
      <c r="H497" s="33" t="str">
        <f aca="false">IF($G497="","",_xlfn.MINIFS($E$5:$E$1504,$A$5:$A$1504,$A497,$D$5:$D$1504,"&lt;&gt;تسليم",$E$5:$E$1504,"&gt;="&amp;$E497))</f>
        <v/>
      </c>
      <c r="I497" s="33" t="str">
        <f aca="false">IF($G497="","",_xlfn.MINIFS($E$5:$E$1504,$A$5:$A$1504,$A497,$D$5:$D$1504,"تسليم",$E$5:$E$1504,"&gt;"&amp;$E497))</f>
        <v/>
      </c>
      <c r="J497" s="33" t="str">
        <f aca="false">IF($G497="","",IF(H497&gt;0,IF(I497&gt;0,MIN(H497,I497),H497),IF(I497&gt;0,I497,تاريخ_الاحتساب)))</f>
        <v/>
      </c>
      <c r="K497" s="34" t="str">
        <f aca="false">IF($G497="","",IF(AND(H497=0,I497=0),"جارية","مغلقة"))</f>
        <v/>
      </c>
      <c r="L497" s="26" t="str">
        <f aca="false">IF($G497="","",MAX(0,NETWORKDAYS.INTL($E497,J497,رمز_العطلة,أيام_الأجازات)-1))</f>
        <v/>
      </c>
      <c r="M497" s="26" t="str">
        <f aca="false">IF($G497="","",MAX(0,L497-مهلة_المراجعة))</f>
        <v/>
      </c>
      <c r="N497" s="30" t="str">
        <f aca="false">IF($A497="",IF(OR($D497&lt;&gt;"",$E497&lt;&gt;""),"رقم المخرج ناقص",""),IF(ISNA(MATCH($A497,قائمة_المخرجات,0)),"رقم مخرج غير موجود",IF($D497="","نوع الحركة ناقص",IF(NOT(ISNUMBER($E497)),"التاريخ ناقص",IF($E497&gt;تاريخ_الاحتساب,"تاريخ بعد تاريخ الاحتساب",IF(AND($D497&lt;&gt;"تسليم",COUNTIFS($A$5:$A$1504,$A497,$D$5:$D$1504,"تسليم",$E$5:$E$1504,"&lt;="&amp;$E497)=0),"لا يوجد تسليم قبل الحركة دي",""))))))</f>
        <v/>
      </c>
    </row>
    <row r="498" customFormat="false" ht="15" hidden="false" customHeight="false" outlineLevel="0" collapsed="false">
      <c r="A498" s="20"/>
      <c r="B498" s="35" t="str">
        <f aca="false">IF($A498="","",IFERROR(INDEX(مخرج_البند,MATCH($A498,قائمة_المخرجات,0)),""))</f>
        <v/>
      </c>
      <c r="C498" s="30" t="str">
        <f aca="false">IF($A498="","",IFERROR(INDEX(مخرج_الوصف,MATCH($A498,قائمة_المخرجات,0)),""))</f>
        <v/>
      </c>
      <c r="D498" s="20"/>
      <c r="E498" s="31"/>
      <c r="F498" s="22"/>
      <c r="G498" s="36" t="str">
        <f aca="false">IF(OR($A498="",$D498&lt;&gt;"تسليم",NOT(ISNUMBER($E498))),"",COUNTIFS($A$5:$A$1504,$A498,$D$5:$D$1504,"تسليم",$E$5:$E$1504,"&lt;"&amp;$E498)+1)</f>
        <v/>
      </c>
      <c r="H498" s="33" t="str">
        <f aca="false">IF($G498="","",_xlfn.MINIFS($E$5:$E$1504,$A$5:$A$1504,$A498,$D$5:$D$1504,"&lt;&gt;تسليم",$E$5:$E$1504,"&gt;="&amp;$E498))</f>
        <v/>
      </c>
      <c r="I498" s="33" t="str">
        <f aca="false">IF($G498="","",_xlfn.MINIFS($E$5:$E$1504,$A$5:$A$1504,$A498,$D$5:$D$1504,"تسليم",$E$5:$E$1504,"&gt;"&amp;$E498))</f>
        <v/>
      </c>
      <c r="J498" s="33" t="str">
        <f aca="false">IF($G498="","",IF(H498&gt;0,IF(I498&gt;0,MIN(H498,I498),H498),IF(I498&gt;0,I498,تاريخ_الاحتساب)))</f>
        <v/>
      </c>
      <c r="K498" s="34" t="str">
        <f aca="false">IF($G498="","",IF(AND(H498=0,I498=0),"جارية","مغلقة"))</f>
        <v/>
      </c>
      <c r="L498" s="26" t="str">
        <f aca="false">IF($G498="","",MAX(0,NETWORKDAYS.INTL($E498,J498,رمز_العطلة,أيام_الأجازات)-1))</f>
        <v/>
      </c>
      <c r="M498" s="26" t="str">
        <f aca="false">IF($G498="","",MAX(0,L498-مهلة_المراجعة))</f>
        <v/>
      </c>
      <c r="N498" s="30" t="str">
        <f aca="false">IF($A498="",IF(OR($D498&lt;&gt;"",$E498&lt;&gt;""),"رقم المخرج ناقص",""),IF(ISNA(MATCH($A498,قائمة_المخرجات,0)),"رقم مخرج غير موجود",IF($D498="","نوع الحركة ناقص",IF(NOT(ISNUMBER($E498)),"التاريخ ناقص",IF($E498&gt;تاريخ_الاحتساب,"تاريخ بعد تاريخ الاحتساب",IF(AND($D498&lt;&gt;"تسليم",COUNTIFS($A$5:$A$1504,$A498,$D$5:$D$1504,"تسليم",$E$5:$E$1504,"&lt;="&amp;$E498)=0),"لا يوجد تسليم قبل الحركة دي",""))))))</f>
        <v/>
      </c>
    </row>
    <row r="499" customFormat="false" ht="15" hidden="false" customHeight="false" outlineLevel="0" collapsed="false">
      <c r="A499" s="20"/>
      <c r="B499" s="35" t="str">
        <f aca="false">IF($A499="","",IFERROR(INDEX(مخرج_البند,MATCH($A499,قائمة_المخرجات,0)),""))</f>
        <v/>
      </c>
      <c r="C499" s="30" t="str">
        <f aca="false">IF($A499="","",IFERROR(INDEX(مخرج_الوصف,MATCH($A499,قائمة_المخرجات,0)),""))</f>
        <v/>
      </c>
      <c r="D499" s="20"/>
      <c r="E499" s="31"/>
      <c r="F499" s="22"/>
      <c r="G499" s="36" t="str">
        <f aca="false">IF(OR($A499="",$D499&lt;&gt;"تسليم",NOT(ISNUMBER($E499))),"",COUNTIFS($A$5:$A$1504,$A499,$D$5:$D$1504,"تسليم",$E$5:$E$1504,"&lt;"&amp;$E499)+1)</f>
        <v/>
      </c>
      <c r="H499" s="33" t="str">
        <f aca="false">IF($G499="","",_xlfn.MINIFS($E$5:$E$1504,$A$5:$A$1504,$A499,$D$5:$D$1504,"&lt;&gt;تسليم",$E$5:$E$1504,"&gt;="&amp;$E499))</f>
        <v/>
      </c>
      <c r="I499" s="33" t="str">
        <f aca="false">IF($G499="","",_xlfn.MINIFS($E$5:$E$1504,$A$5:$A$1504,$A499,$D$5:$D$1504,"تسليم",$E$5:$E$1504,"&gt;"&amp;$E499))</f>
        <v/>
      </c>
      <c r="J499" s="33" t="str">
        <f aca="false">IF($G499="","",IF(H499&gt;0,IF(I499&gt;0,MIN(H499,I499),H499),IF(I499&gt;0,I499,تاريخ_الاحتساب)))</f>
        <v/>
      </c>
      <c r="K499" s="34" t="str">
        <f aca="false">IF($G499="","",IF(AND(H499=0,I499=0),"جارية","مغلقة"))</f>
        <v/>
      </c>
      <c r="L499" s="26" t="str">
        <f aca="false">IF($G499="","",MAX(0,NETWORKDAYS.INTL($E499,J499,رمز_العطلة,أيام_الأجازات)-1))</f>
        <v/>
      </c>
      <c r="M499" s="26" t="str">
        <f aca="false">IF($G499="","",MAX(0,L499-مهلة_المراجعة))</f>
        <v/>
      </c>
      <c r="N499" s="30" t="str">
        <f aca="false">IF($A499="",IF(OR($D499&lt;&gt;"",$E499&lt;&gt;""),"رقم المخرج ناقص",""),IF(ISNA(MATCH($A499,قائمة_المخرجات,0)),"رقم مخرج غير موجود",IF($D499="","نوع الحركة ناقص",IF(NOT(ISNUMBER($E499)),"التاريخ ناقص",IF($E499&gt;تاريخ_الاحتساب,"تاريخ بعد تاريخ الاحتساب",IF(AND($D499&lt;&gt;"تسليم",COUNTIFS($A$5:$A$1504,$A499,$D$5:$D$1504,"تسليم",$E$5:$E$1504,"&lt;="&amp;$E499)=0),"لا يوجد تسليم قبل الحركة دي",""))))))</f>
        <v/>
      </c>
    </row>
    <row r="500" customFormat="false" ht="15" hidden="false" customHeight="false" outlineLevel="0" collapsed="false">
      <c r="A500" s="20"/>
      <c r="B500" s="35" t="str">
        <f aca="false">IF($A500="","",IFERROR(INDEX(مخرج_البند,MATCH($A500,قائمة_المخرجات,0)),""))</f>
        <v/>
      </c>
      <c r="C500" s="30" t="str">
        <f aca="false">IF($A500="","",IFERROR(INDEX(مخرج_الوصف,MATCH($A500,قائمة_المخرجات,0)),""))</f>
        <v/>
      </c>
      <c r="D500" s="20"/>
      <c r="E500" s="31"/>
      <c r="F500" s="22"/>
      <c r="G500" s="36" t="str">
        <f aca="false">IF(OR($A500="",$D500&lt;&gt;"تسليم",NOT(ISNUMBER($E500))),"",COUNTIFS($A$5:$A$1504,$A500,$D$5:$D$1504,"تسليم",$E$5:$E$1504,"&lt;"&amp;$E500)+1)</f>
        <v/>
      </c>
      <c r="H500" s="33" t="str">
        <f aca="false">IF($G500="","",_xlfn.MINIFS($E$5:$E$1504,$A$5:$A$1504,$A500,$D$5:$D$1504,"&lt;&gt;تسليم",$E$5:$E$1504,"&gt;="&amp;$E500))</f>
        <v/>
      </c>
      <c r="I500" s="33" t="str">
        <f aca="false">IF($G500="","",_xlfn.MINIFS($E$5:$E$1504,$A$5:$A$1504,$A500,$D$5:$D$1504,"تسليم",$E$5:$E$1504,"&gt;"&amp;$E500))</f>
        <v/>
      </c>
      <c r="J500" s="33" t="str">
        <f aca="false">IF($G500="","",IF(H500&gt;0,IF(I500&gt;0,MIN(H500,I500),H500),IF(I500&gt;0,I500,تاريخ_الاحتساب)))</f>
        <v/>
      </c>
      <c r="K500" s="34" t="str">
        <f aca="false">IF($G500="","",IF(AND(H500=0,I500=0),"جارية","مغلقة"))</f>
        <v/>
      </c>
      <c r="L500" s="26" t="str">
        <f aca="false">IF($G500="","",MAX(0,NETWORKDAYS.INTL($E500,J500,رمز_العطلة,أيام_الأجازات)-1))</f>
        <v/>
      </c>
      <c r="M500" s="26" t="str">
        <f aca="false">IF($G500="","",MAX(0,L500-مهلة_المراجعة))</f>
        <v/>
      </c>
      <c r="N500" s="30" t="str">
        <f aca="false">IF($A500="",IF(OR($D500&lt;&gt;"",$E500&lt;&gt;""),"رقم المخرج ناقص",""),IF(ISNA(MATCH($A500,قائمة_المخرجات,0)),"رقم مخرج غير موجود",IF($D500="","نوع الحركة ناقص",IF(NOT(ISNUMBER($E500)),"التاريخ ناقص",IF($E500&gt;تاريخ_الاحتساب,"تاريخ بعد تاريخ الاحتساب",IF(AND($D500&lt;&gt;"تسليم",COUNTIFS($A$5:$A$1504,$A500,$D$5:$D$1504,"تسليم",$E$5:$E$1504,"&lt;="&amp;$E500)=0),"لا يوجد تسليم قبل الحركة دي",""))))))</f>
        <v/>
      </c>
    </row>
    <row r="501" customFormat="false" ht="15" hidden="false" customHeight="false" outlineLevel="0" collapsed="false">
      <c r="A501" s="20"/>
      <c r="B501" s="35" t="str">
        <f aca="false">IF($A501="","",IFERROR(INDEX(مخرج_البند,MATCH($A501,قائمة_المخرجات,0)),""))</f>
        <v/>
      </c>
      <c r="C501" s="30" t="str">
        <f aca="false">IF($A501="","",IFERROR(INDEX(مخرج_الوصف,MATCH($A501,قائمة_المخرجات,0)),""))</f>
        <v/>
      </c>
      <c r="D501" s="20"/>
      <c r="E501" s="31"/>
      <c r="F501" s="22"/>
      <c r="G501" s="36" t="str">
        <f aca="false">IF(OR($A501="",$D501&lt;&gt;"تسليم",NOT(ISNUMBER($E501))),"",COUNTIFS($A$5:$A$1504,$A501,$D$5:$D$1504,"تسليم",$E$5:$E$1504,"&lt;"&amp;$E501)+1)</f>
        <v/>
      </c>
      <c r="H501" s="33" t="str">
        <f aca="false">IF($G501="","",_xlfn.MINIFS($E$5:$E$1504,$A$5:$A$1504,$A501,$D$5:$D$1504,"&lt;&gt;تسليم",$E$5:$E$1504,"&gt;="&amp;$E501))</f>
        <v/>
      </c>
      <c r="I501" s="33" t="str">
        <f aca="false">IF($G501="","",_xlfn.MINIFS($E$5:$E$1504,$A$5:$A$1504,$A501,$D$5:$D$1504,"تسليم",$E$5:$E$1504,"&gt;"&amp;$E501))</f>
        <v/>
      </c>
      <c r="J501" s="33" t="str">
        <f aca="false">IF($G501="","",IF(H501&gt;0,IF(I501&gt;0,MIN(H501,I501),H501),IF(I501&gt;0,I501,تاريخ_الاحتساب)))</f>
        <v/>
      </c>
      <c r="K501" s="34" t="str">
        <f aca="false">IF($G501="","",IF(AND(H501=0,I501=0),"جارية","مغلقة"))</f>
        <v/>
      </c>
      <c r="L501" s="26" t="str">
        <f aca="false">IF($G501="","",MAX(0,NETWORKDAYS.INTL($E501,J501,رمز_العطلة,أيام_الأجازات)-1))</f>
        <v/>
      </c>
      <c r="M501" s="26" t="str">
        <f aca="false">IF($G501="","",MAX(0,L501-مهلة_المراجعة))</f>
        <v/>
      </c>
      <c r="N501" s="30" t="str">
        <f aca="false">IF($A501="",IF(OR($D501&lt;&gt;"",$E501&lt;&gt;""),"رقم المخرج ناقص",""),IF(ISNA(MATCH($A501,قائمة_المخرجات,0)),"رقم مخرج غير موجود",IF($D501="","نوع الحركة ناقص",IF(NOT(ISNUMBER($E501)),"التاريخ ناقص",IF($E501&gt;تاريخ_الاحتساب,"تاريخ بعد تاريخ الاحتساب",IF(AND($D501&lt;&gt;"تسليم",COUNTIFS($A$5:$A$1504,$A501,$D$5:$D$1504,"تسليم",$E$5:$E$1504,"&lt;="&amp;$E501)=0),"لا يوجد تسليم قبل الحركة دي",""))))))</f>
        <v/>
      </c>
    </row>
    <row r="502" customFormat="false" ht="15" hidden="false" customHeight="false" outlineLevel="0" collapsed="false">
      <c r="A502" s="20"/>
      <c r="B502" s="35" t="str">
        <f aca="false">IF($A502="","",IFERROR(INDEX(مخرج_البند,MATCH($A502,قائمة_المخرجات,0)),""))</f>
        <v/>
      </c>
      <c r="C502" s="30" t="str">
        <f aca="false">IF($A502="","",IFERROR(INDEX(مخرج_الوصف,MATCH($A502,قائمة_المخرجات,0)),""))</f>
        <v/>
      </c>
      <c r="D502" s="20"/>
      <c r="E502" s="31"/>
      <c r="F502" s="22"/>
      <c r="G502" s="36" t="str">
        <f aca="false">IF(OR($A502="",$D502&lt;&gt;"تسليم",NOT(ISNUMBER($E502))),"",COUNTIFS($A$5:$A$1504,$A502,$D$5:$D$1504,"تسليم",$E$5:$E$1504,"&lt;"&amp;$E502)+1)</f>
        <v/>
      </c>
      <c r="H502" s="33" t="str">
        <f aca="false">IF($G502="","",_xlfn.MINIFS($E$5:$E$1504,$A$5:$A$1504,$A502,$D$5:$D$1504,"&lt;&gt;تسليم",$E$5:$E$1504,"&gt;="&amp;$E502))</f>
        <v/>
      </c>
      <c r="I502" s="33" t="str">
        <f aca="false">IF($G502="","",_xlfn.MINIFS($E$5:$E$1504,$A$5:$A$1504,$A502,$D$5:$D$1504,"تسليم",$E$5:$E$1504,"&gt;"&amp;$E502))</f>
        <v/>
      </c>
      <c r="J502" s="33" t="str">
        <f aca="false">IF($G502="","",IF(H502&gt;0,IF(I502&gt;0,MIN(H502,I502),H502),IF(I502&gt;0,I502,تاريخ_الاحتساب)))</f>
        <v/>
      </c>
      <c r="K502" s="34" t="str">
        <f aca="false">IF($G502="","",IF(AND(H502=0,I502=0),"جارية","مغلقة"))</f>
        <v/>
      </c>
      <c r="L502" s="26" t="str">
        <f aca="false">IF($G502="","",MAX(0,NETWORKDAYS.INTL($E502,J502,رمز_العطلة,أيام_الأجازات)-1))</f>
        <v/>
      </c>
      <c r="M502" s="26" t="str">
        <f aca="false">IF($G502="","",MAX(0,L502-مهلة_المراجعة))</f>
        <v/>
      </c>
      <c r="N502" s="30" t="str">
        <f aca="false">IF($A502="",IF(OR($D502&lt;&gt;"",$E502&lt;&gt;""),"رقم المخرج ناقص",""),IF(ISNA(MATCH($A502,قائمة_المخرجات,0)),"رقم مخرج غير موجود",IF($D502="","نوع الحركة ناقص",IF(NOT(ISNUMBER($E502)),"التاريخ ناقص",IF($E502&gt;تاريخ_الاحتساب,"تاريخ بعد تاريخ الاحتساب",IF(AND($D502&lt;&gt;"تسليم",COUNTIFS($A$5:$A$1504,$A502,$D$5:$D$1504,"تسليم",$E$5:$E$1504,"&lt;="&amp;$E502)=0),"لا يوجد تسليم قبل الحركة دي",""))))))</f>
        <v/>
      </c>
    </row>
    <row r="503" customFormat="false" ht="15" hidden="false" customHeight="false" outlineLevel="0" collapsed="false">
      <c r="A503" s="20"/>
      <c r="B503" s="35" t="str">
        <f aca="false">IF($A503="","",IFERROR(INDEX(مخرج_البند,MATCH($A503,قائمة_المخرجات,0)),""))</f>
        <v/>
      </c>
      <c r="C503" s="30" t="str">
        <f aca="false">IF($A503="","",IFERROR(INDEX(مخرج_الوصف,MATCH($A503,قائمة_المخرجات,0)),""))</f>
        <v/>
      </c>
      <c r="D503" s="20"/>
      <c r="E503" s="31"/>
      <c r="F503" s="22"/>
      <c r="G503" s="36" t="str">
        <f aca="false">IF(OR($A503="",$D503&lt;&gt;"تسليم",NOT(ISNUMBER($E503))),"",COUNTIFS($A$5:$A$1504,$A503,$D$5:$D$1504,"تسليم",$E$5:$E$1504,"&lt;"&amp;$E503)+1)</f>
        <v/>
      </c>
      <c r="H503" s="33" t="str">
        <f aca="false">IF($G503="","",_xlfn.MINIFS($E$5:$E$1504,$A$5:$A$1504,$A503,$D$5:$D$1504,"&lt;&gt;تسليم",$E$5:$E$1504,"&gt;="&amp;$E503))</f>
        <v/>
      </c>
      <c r="I503" s="33" t="str">
        <f aca="false">IF($G503="","",_xlfn.MINIFS($E$5:$E$1504,$A$5:$A$1504,$A503,$D$5:$D$1504,"تسليم",$E$5:$E$1504,"&gt;"&amp;$E503))</f>
        <v/>
      </c>
      <c r="J503" s="33" t="str">
        <f aca="false">IF($G503="","",IF(H503&gt;0,IF(I503&gt;0,MIN(H503,I503),H503),IF(I503&gt;0,I503,تاريخ_الاحتساب)))</f>
        <v/>
      </c>
      <c r="K503" s="34" t="str">
        <f aca="false">IF($G503="","",IF(AND(H503=0,I503=0),"جارية","مغلقة"))</f>
        <v/>
      </c>
      <c r="L503" s="26" t="str">
        <f aca="false">IF($G503="","",MAX(0,NETWORKDAYS.INTL($E503,J503,رمز_العطلة,أيام_الأجازات)-1))</f>
        <v/>
      </c>
      <c r="M503" s="26" t="str">
        <f aca="false">IF($G503="","",MAX(0,L503-مهلة_المراجعة))</f>
        <v/>
      </c>
      <c r="N503" s="30" t="str">
        <f aca="false">IF($A503="",IF(OR($D503&lt;&gt;"",$E503&lt;&gt;""),"رقم المخرج ناقص",""),IF(ISNA(MATCH($A503,قائمة_المخرجات,0)),"رقم مخرج غير موجود",IF($D503="","نوع الحركة ناقص",IF(NOT(ISNUMBER($E503)),"التاريخ ناقص",IF($E503&gt;تاريخ_الاحتساب,"تاريخ بعد تاريخ الاحتساب",IF(AND($D503&lt;&gt;"تسليم",COUNTIFS($A$5:$A$1504,$A503,$D$5:$D$1504,"تسليم",$E$5:$E$1504,"&lt;="&amp;$E503)=0),"لا يوجد تسليم قبل الحركة دي",""))))))</f>
        <v/>
      </c>
    </row>
    <row r="504" customFormat="false" ht="15" hidden="false" customHeight="false" outlineLevel="0" collapsed="false">
      <c r="A504" s="20"/>
      <c r="B504" s="35" t="str">
        <f aca="false">IF($A504="","",IFERROR(INDEX(مخرج_البند,MATCH($A504,قائمة_المخرجات,0)),""))</f>
        <v/>
      </c>
      <c r="C504" s="30" t="str">
        <f aca="false">IF($A504="","",IFERROR(INDEX(مخرج_الوصف,MATCH($A504,قائمة_المخرجات,0)),""))</f>
        <v/>
      </c>
      <c r="D504" s="20"/>
      <c r="E504" s="31"/>
      <c r="F504" s="22"/>
      <c r="G504" s="36" t="str">
        <f aca="false">IF(OR($A504="",$D504&lt;&gt;"تسليم",NOT(ISNUMBER($E504))),"",COUNTIFS($A$5:$A$1504,$A504,$D$5:$D$1504,"تسليم",$E$5:$E$1504,"&lt;"&amp;$E504)+1)</f>
        <v/>
      </c>
      <c r="H504" s="33" t="str">
        <f aca="false">IF($G504="","",_xlfn.MINIFS($E$5:$E$1504,$A$5:$A$1504,$A504,$D$5:$D$1504,"&lt;&gt;تسليم",$E$5:$E$1504,"&gt;="&amp;$E504))</f>
        <v/>
      </c>
      <c r="I504" s="33" t="str">
        <f aca="false">IF($G504="","",_xlfn.MINIFS($E$5:$E$1504,$A$5:$A$1504,$A504,$D$5:$D$1504,"تسليم",$E$5:$E$1504,"&gt;"&amp;$E504))</f>
        <v/>
      </c>
      <c r="J504" s="33" t="str">
        <f aca="false">IF($G504="","",IF(H504&gt;0,IF(I504&gt;0,MIN(H504,I504),H504),IF(I504&gt;0,I504,تاريخ_الاحتساب)))</f>
        <v/>
      </c>
      <c r="K504" s="34" t="str">
        <f aca="false">IF($G504="","",IF(AND(H504=0,I504=0),"جارية","مغلقة"))</f>
        <v/>
      </c>
      <c r="L504" s="26" t="str">
        <f aca="false">IF($G504="","",MAX(0,NETWORKDAYS.INTL($E504,J504,رمز_العطلة,أيام_الأجازات)-1))</f>
        <v/>
      </c>
      <c r="M504" s="26" t="str">
        <f aca="false">IF($G504="","",MAX(0,L504-مهلة_المراجعة))</f>
        <v/>
      </c>
      <c r="N504" s="30" t="str">
        <f aca="false">IF($A504="",IF(OR($D504&lt;&gt;"",$E504&lt;&gt;""),"رقم المخرج ناقص",""),IF(ISNA(MATCH($A504,قائمة_المخرجات,0)),"رقم مخرج غير موجود",IF($D504="","نوع الحركة ناقص",IF(NOT(ISNUMBER($E504)),"التاريخ ناقص",IF($E504&gt;تاريخ_الاحتساب,"تاريخ بعد تاريخ الاحتساب",IF(AND($D504&lt;&gt;"تسليم",COUNTIFS($A$5:$A$1504,$A504,$D$5:$D$1504,"تسليم",$E$5:$E$1504,"&lt;="&amp;$E504)=0),"لا يوجد تسليم قبل الحركة دي",""))))))</f>
        <v/>
      </c>
    </row>
    <row r="505" customFormat="false" ht="15" hidden="false" customHeight="false" outlineLevel="0" collapsed="false">
      <c r="A505" s="20"/>
      <c r="B505" s="35" t="str">
        <f aca="false">IF($A505="","",IFERROR(INDEX(مخرج_البند,MATCH($A505,قائمة_المخرجات,0)),""))</f>
        <v/>
      </c>
      <c r="C505" s="30" t="str">
        <f aca="false">IF($A505="","",IFERROR(INDEX(مخرج_الوصف,MATCH($A505,قائمة_المخرجات,0)),""))</f>
        <v/>
      </c>
      <c r="D505" s="20"/>
      <c r="E505" s="31"/>
      <c r="F505" s="22"/>
      <c r="G505" s="36" t="str">
        <f aca="false">IF(OR($A505="",$D505&lt;&gt;"تسليم",NOT(ISNUMBER($E505))),"",COUNTIFS($A$5:$A$1504,$A505,$D$5:$D$1504,"تسليم",$E$5:$E$1504,"&lt;"&amp;$E505)+1)</f>
        <v/>
      </c>
      <c r="H505" s="33" t="str">
        <f aca="false">IF($G505="","",_xlfn.MINIFS($E$5:$E$1504,$A$5:$A$1504,$A505,$D$5:$D$1504,"&lt;&gt;تسليم",$E$5:$E$1504,"&gt;="&amp;$E505))</f>
        <v/>
      </c>
      <c r="I505" s="33" t="str">
        <f aca="false">IF($G505="","",_xlfn.MINIFS($E$5:$E$1504,$A$5:$A$1504,$A505,$D$5:$D$1504,"تسليم",$E$5:$E$1504,"&gt;"&amp;$E505))</f>
        <v/>
      </c>
      <c r="J505" s="33" t="str">
        <f aca="false">IF($G505="","",IF(H505&gt;0,IF(I505&gt;0,MIN(H505,I505),H505),IF(I505&gt;0,I505,تاريخ_الاحتساب)))</f>
        <v/>
      </c>
      <c r="K505" s="34" t="str">
        <f aca="false">IF($G505="","",IF(AND(H505=0,I505=0),"جارية","مغلقة"))</f>
        <v/>
      </c>
      <c r="L505" s="26" t="str">
        <f aca="false">IF($G505="","",MAX(0,NETWORKDAYS.INTL($E505,J505,رمز_العطلة,أيام_الأجازات)-1))</f>
        <v/>
      </c>
      <c r="M505" s="26" t="str">
        <f aca="false">IF($G505="","",MAX(0,L505-مهلة_المراجعة))</f>
        <v/>
      </c>
      <c r="N505" s="30" t="str">
        <f aca="false">IF($A505="",IF(OR($D505&lt;&gt;"",$E505&lt;&gt;""),"رقم المخرج ناقص",""),IF(ISNA(MATCH($A505,قائمة_المخرجات,0)),"رقم مخرج غير موجود",IF($D505="","نوع الحركة ناقص",IF(NOT(ISNUMBER($E505)),"التاريخ ناقص",IF($E505&gt;تاريخ_الاحتساب,"تاريخ بعد تاريخ الاحتساب",IF(AND($D505&lt;&gt;"تسليم",COUNTIFS($A$5:$A$1504,$A505,$D$5:$D$1504,"تسليم",$E$5:$E$1504,"&lt;="&amp;$E505)=0),"لا يوجد تسليم قبل الحركة دي",""))))))</f>
        <v/>
      </c>
    </row>
    <row r="506" customFormat="false" ht="15" hidden="false" customHeight="false" outlineLevel="0" collapsed="false">
      <c r="A506" s="20"/>
      <c r="B506" s="35" t="str">
        <f aca="false">IF($A506="","",IFERROR(INDEX(مخرج_البند,MATCH($A506,قائمة_المخرجات,0)),""))</f>
        <v/>
      </c>
      <c r="C506" s="30" t="str">
        <f aca="false">IF($A506="","",IFERROR(INDEX(مخرج_الوصف,MATCH($A506,قائمة_المخرجات,0)),""))</f>
        <v/>
      </c>
      <c r="D506" s="20"/>
      <c r="E506" s="31"/>
      <c r="F506" s="22"/>
      <c r="G506" s="36" t="str">
        <f aca="false">IF(OR($A506="",$D506&lt;&gt;"تسليم",NOT(ISNUMBER($E506))),"",COUNTIFS($A$5:$A$1504,$A506,$D$5:$D$1504,"تسليم",$E$5:$E$1504,"&lt;"&amp;$E506)+1)</f>
        <v/>
      </c>
      <c r="H506" s="33" t="str">
        <f aca="false">IF($G506="","",_xlfn.MINIFS($E$5:$E$1504,$A$5:$A$1504,$A506,$D$5:$D$1504,"&lt;&gt;تسليم",$E$5:$E$1504,"&gt;="&amp;$E506))</f>
        <v/>
      </c>
      <c r="I506" s="33" t="str">
        <f aca="false">IF($G506="","",_xlfn.MINIFS($E$5:$E$1504,$A$5:$A$1504,$A506,$D$5:$D$1504,"تسليم",$E$5:$E$1504,"&gt;"&amp;$E506))</f>
        <v/>
      </c>
      <c r="J506" s="33" t="str">
        <f aca="false">IF($G506="","",IF(H506&gt;0,IF(I506&gt;0,MIN(H506,I506),H506),IF(I506&gt;0,I506,تاريخ_الاحتساب)))</f>
        <v/>
      </c>
      <c r="K506" s="34" t="str">
        <f aca="false">IF($G506="","",IF(AND(H506=0,I506=0),"جارية","مغلقة"))</f>
        <v/>
      </c>
      <c r="L506" s="26" t="str">
        <f aca="false">IF($G506="","",MAX(0,NETWORKDAYS.INTL($E506,J506,رمز_العطلة,أيام_الأجازات)-1))</f>
        <v/>
      </c>
      <c r="M506" s="26" t="str">
        <f aca="false">IF($G506="","",MAX(0,L506-مهلة_المراجعة))</f>
        <v/>
      </c>
      <c r="N506" s="30" t="str">
        <f aca="false">IF($A506="",IF(OR($D506&lt;&gt;"",$E506&lt;&gt;""),"رقم المخرج ناقص",""),IF(ISNA(MATCH($A506,قائمة_المخرجات,0)),"رقم مخرج غير موجود",IF($D506="","نوع الحركة ناقص",IF(NOT(ISNUMBER($E506)),"التاريخ ناقص",IF($E506&gt;تاريخ_الاحتساب,"تاريخ بعد تاريخ الاحتساب",IF(AND($D506&lt;&gt;"تسليم",COUNTIFS($A$5:$A$1504,$A506,$D$5:$D$1504,"تسليم",$E$5:$E$1504,"&lt;="&amp;$E506)=0),"لا يوجد تسليم قبل الحركة دي",""))))))</f>
        <v/>
      </c>
    </row>
    <row r="507" customFormat="false" ht="15" hidden="false" customHeight="false" outlineLevel="0" collapsed="false">
      <c r="A507" s="20"/>
      <c r="B507" s="35" t="str">
        <f aca="false">IF($A507="","",IFERROR(INDEX(مخرج_البند,MATCH($A507,قائمة_المخرجات,0)),""))</f>
        <v/>
      </c>
      <c r="C507" s="30" t="str">
        <f aca="false">IF($A507="","",IFERROR(INDEX(مخرج_الوصف,MATCH($A507,قائمة_المخرجات,0)),""))</f>
        <v/>
      </c>
      <c r="D507" s="20"/>
      <c r="E507" s="31"/>
      <c r="F507" s="22"/>
      <c r="G507" s="36" t="str">
        <f aca="false">IF(OR($A507="",$D507&lt;&gt;"تسليم",NOT(ISNUMBER($E507))),"",COUNTIFS($A$5:$A$1504,$A507,$D$5:$D$1504,"تسليم",$E$5:$E$1504,"&lt;"&amp;$E507)+1)</f>
        <v/>
      </c>
      <c r="H507" s="33" t="str">
        <f aca="false">IF($G507="","",_xlfn.MINIFS($E$5:$E$1504,$A$5:$A$1504,$A507,$D$5:$D$1504,"&lt;&gt;تسليم",$E$5:$E$1504,"&gt;="&amp;$E507))</f>
        <v/>
      </c>
      <c r="I507" s="33" t="str">
        <f aca="false">IF($G507="","",_xlfn.MINIFS($E$5:$E$1504,$A$5:$A$1504,$A507,$D$5:$D$1504,"تسليم",$E$5:$E$1504,"&gt;"&amp;$E507))</f>
        <v/>
      </c>
      <c r="J507" s="33" t="str">
        <f aca="false">IF($G507="","",IF(H507&gt;0,IF(I507&gt;0,MIN(H507,I507),H507),IF(I507&gt;0,I507,تاريخ_الاحتساب)))</f>
        <v/>
      </c>
      <c r="K507" s="34" t="str">
        <f aca="false">IF($G507="","",IF(AND(H507=0,I507=0),"جارية","مغلقة"))</f>
        <v/>
      </c>
      <c r="L507" s="26" t="str">
        <f aca="false">IF($G507="","",MAX(0,NETWORKDAYS.INTL($E507,J507,رمز_العطلة,أيام_الأجازات)-1))</f>
        <v/>
      </c>
      <c r="M507" s="26" t="str">
        <f aca="false">IF($G507="","",MAX(0,L507-مهلة_المراجعة))</f>
        <v/>
      </c>
      <c r="N507" s="30" t="str">
        <f aca="false">IF($A507="",IF(OR($D507&lt;&gt;"",$E507&lt;&gt;""),"رقم المخرج ناقص",""),IF(ISNA(MATCH($A507,قائمة_المخرجات,0)),"رقم مخرج غير موجود",IF($D507="","نوع الحركة ناقص",IF(NOT(ISNUMBER($E507)),"التاريخ ناقص",IF($E507&gt;تاريخ_الاحتساب,"تاريخ بعد تاريخ الاحتساب",IF(AND($D507&lt;&gt;"تسليم",COUNTIFS($A$5:$A$1504,$A507,$D$5:$D$1504,"تسليم",$E$5:$E$1504,"&lt;="&amp;$E507)=0),"لا يوجد تسليم قبل الحركة دي",""))))))</f>
        <v/>
      </c>
    </row>
    <row r="508" customFormat="false" ht="15" hidden="false" customHeight="false" outlineLevel="0" collapsed="false">
      <c r="A508" s="20"/>
      <c r="B508" s="35" t="str">
        <f aca="false">IF($A508="","",IFERROR(INDEX(مخرج_البند,MATCH($A508,قائمة_المخرجات,0)),""))</f>
        <v/>
      </c>
      <c r="C508" s="30" t="str">
        <f aca="false">IF($A508="","",IFERROR(INDEX(مخرج_الوصف,MATCH($A508,قائمة_المخرجات,0)),""))</f>
        <v/>
      </c>
      <c r="D508" s="20"/>
      <c r="E508" s="31"/>
      <c r="F508" s="22"/>
      <c r="G508" s="36" t="str">
        <f aca="false">IF(OR($A508="",$D508&lt;&gt;"تسليم",NOT(ISNUMBER($E508))),"",COUNTIFS($A$5:$A$1504,$A508,$D$5:$D$1504,"تسليم",$E$5:$E$1504,"&lt;"&amp;$E508)+1)</f>
        <v/>
      </c>
      <c r="H508" s="33" t="str">
        <f aca="false">IF($G508="","",_xlfn.MINIFS($E$5:$E$1504,$A$5:$A$1504,$A508,$D$5:$D$1504,"&lt;&gt;تسليم",$E$5:$E$1504,"&gt;="&amp;$E508))</f>
        <v/>
      </c>
      <c r="I508" s="33" t="str">
        <f aca="false">IF($G508="","",_xlfn.MINIFS($E$5:$E$1504,$A$5:$A$1504,$A508,$D$5:$D$1504,"تسليم",$E$5:$E$1504,"&gt;"&amp;$E508))</f>
        <v/>
      </c>
      <c r="J508" s="33" t="str">
        <f aca="false">IF($G508="","",IF(H508&gt;0,IF(I508&gt;0,MIN(H508,I508),H508),IF(I508&gt;0,I508,تاريخ_الاحتساب)))</f>
        <v/>
      </c>
      <c r="K508" s="34" t="str">
        <f aca="false">IF($G508="","",IF(AND(H508=0,I508=0),"جارية","مغلقة"))</f>
        <v/>
      </c>
      <c r="L508" s="26" t="str">
        <f aca="false">IF($G508="","",MAX(0,NETWORKDAYS.INTL($E508,J508,رمز_العطلة,أيام_الأجازات)-1))</f>
        <v/>
      </c>
      <c r="M508" s="26" t="str">
        <f aca="false">IF($G508="","",MAX(0,L508-مهلة_المراجعة))</f>
        <v/>
      </c>
      <c r="N508" s="30" t="str">
        <f aca="false">IF($A508="",IF(OR($D508&lt;&gt;"",$E508&lt;&gt;""),"رقم المخرج ناقص",""),IF(ISNA(MATCH($A508,قائمة_المخرجات,0)),"رقم مخرج غير موجود",IF($D508="","نوع الحركة ناقص",IF(NOT(ISNUMBER($E508)),"التاريخ ناقص",IF($E508&gt;تاريخ_الاحتساب,"تاريخ بعد تاريخ الاحتساب",IF(AND($D508&lt;&gt;"تسليم",COUNTIFS($A$5:$A$1504,$A508,$D$5:$D$1504,"تسليم",$E$5:$E$1504,"&lt;="&amp;$E508)=0),"لا يوجد تسليم قبل الحركة دي",""))))))</f>
        <v/>
      </c>
    </row>
    <row r="509" customFormat="false" ht="15" hidden="false" customHeight="false" outlineLevel="0" collapsed="false">
      <c r="A509" s="20"/>
      <c r="B509" s="35" t="str">
        <f aca="false">IF($A509="","",IFERROR(INDEX(مخرج_البند,MATCH($A509,قائمة_المخرجات,0)),""))</f>
        <v/>
      </c>
      <c r="C509" s="30" t="str">
        <f aca="false">IF($A509="","",IFERROR(INDEX(مخرج_الوصف,MATCH($A509,قائمة_المخرجات,0)),""))</f>
        <v/>
      </c>
      <c r="D509" s="20"/>
      <c r="E509" s="31"/>
      <c r="F509" s="22"/>
      <c r="G509" s="36" t="str">
        <f aca="false">IF(OR($A509="",$D509&lt;&gt;"تسليم",NOT(ISNUMBER($E509))),"",COUNTIFS($A$5:$A$1504,$A509,$D$5:$D$1504,"تسليم",$E$5:$E$1504,"&lt;"&amp;$E509)+1)</f>
        <v/>
      </c>
      <c r="H509" s="33" t="str">
        <f aca="false">IF($G509="","",_xlfn.MINIFS($E$5:$E$1504,$A$5:$A$1504,$A509,$D$5:$D$1504,"&lt;&gt;تسليم",$E$5:$E$1504,"&gt;="&amp;$E509))</f>
        <v/>
      </c>
      <c r="I509" s="33" t="str">
        <f aca="false">IF($G509="","",_xlfn.MINIFS($E$5:$E$1504,$A$5:$A$1504,$A509,$D$5:$D$1504,"تسليم",$E$5:$E$1504,"&gt;"&amp;$E509))</f>
        <v/>
      </c>
      <c r="J509" s="33" t="str">
        <f aca="false">IF($G509="","",IF(H509&gt;0,IF(I509&gt;0,MIN(H509,I509),H509),IF(I509&gt;0,I509,تاريخ_الاحتساب)))</f>
        <v/>
      </c>
      <c r="K509" s="34" t="str">
        <f aca="false">IF($G509="","",IF(AND(H509=0,I509=0),"جارية","مغلقة"))</f>
        <v/>
      </c>
      <c r="L509" s="26" t="str">
        <f aca="false">IF($G509="","",MAX(0,NETWORKDAYS.INTL($E509,J509,رمز_العطلة,أيام_الأجازات)-1))</f>
        <v/>
      </c>
      <c r="M509" s="26" t="str">
        <f aca="false">IF($G509="","",MAX(0,L509-مهلة_المراجعة))</f>
        <v/>
      </c>
      <c r="N509" s="30" t="str">
        <f aca="false">IF($A509="",IF(OR($D509&lt;&gt;"",$E509&lt;&gt;""),"رقم المخرج ناقص",""),IF(ISNA(MATCH($A509,قائمة_المخرجات,0)),"رقم مخرج غير موجود",IF($D509="","نوع الحركة ناقص",IF(NOT(ISNUMBER($E509)),"التاريخ ناقص",IF($E509&gt;تاريخ_الاحتساب,"تاريخ بعد تاريخ الاحتساب",IF(AND($D509&lt;&gt;"تسليم",COUNTIFS($A$5:$A$1504,$A509,$D$5:$D$1504,"تسليم",$E$5:$E$1504,"&lt;="&amp;$E509)=0),"لا يوجد تسليم قبل الحركة دي",""))))))</f>
        <v/>
      </c>
    </row>
    <row r="510" customFormat="false" ht="15" hidden="false" customHeight="false" outlineLevel="0" collapsed="false">
      <c r="A510" s="20"/>
      <c r="B510" s="35" t="str">
        <f aca="false">IF($A510="","",IFERROR(INDEX(مخرج_البند,MATCH($A510,قائمة_المخرجات,0)),""))</f>
        <v/>
      </c>
      <c r="C510" s="30" t="str">
        <f aca="false">IF($A510="","",IFERROR(INDEX(مخرج_الوصف,MATCH($A510,قائمة_المخرجات,0)),""))</f>
        <v/>
      </c>
      <c r="D510" s="20"/>
      <c r="E510" s="31"/>
      <c r="F510" s="22"/>
      <c r="G510" s="36" t="str">
        <f aca="false">IF(OR($A510="",$D510&lt;&gt;"تسليم",NOT(ISNUMBER($E510))),"",COUNTIFS($A$5:$A$1504,$A510,$D$5:$D$1504,"تسليم",$E$5:$E$1504,"&lt;"&amp;$E510)+1)</f>
        <v/>
      </c>
      <c r="H510" s="33" t="str">
        <f aca="false">IF($G510="","",_xlfn.MINIFS($E$5:$E$1504,$A$5:$A$1504,$A510,$D$5:$D$1504,"&lt;&gt;تسليم",$E$5:$E$1504,"&gt;="&amp;$E510))</f>
        <v/>
      </c>
      <c r="I510" s="33" t="str">
        <f aca="false">IF($G510="","",_xlfn.MINIFS($E$5:$E$1504,$A$5:$A$1504,$A510,$D$5:$D$1504,"تسليم",$E$5:$E$1504,"&gt;"&amp;$E510))</f>
        <v/>
      </c>
      <c r="J510" s="33" t="str">
        <f aca="false">IF($G510="","",IF(H510&gt;0,IF(I510&gt;0,MIN(H510,I510),H510),IF(I510&gt;0,I510,تاريخ_الاحتساب)))</f>
        <v/>
      </c>
      <c r="K510" s="34" t="str">
        <f aca="false">IF($G510="","",IF(AND(H510=0,I510=0),"جارية","مغلقة"))</f>
        <v/>
      </c>
      <c r="L510" s="26" t="str">
        <f aca="false">IF($G510="","",MAX(0,NETWORKDAYS.INTL($E510,J510,رمز_العطلة,أيام_الأجازات)-1))</f>
        <v/>
      </c>
      <c r="M510" s="26" t="str">
        <f aca="false">IF($G510="","",MAX(0,L510-مهلة_المراجعة))</f>
        <v/>
      </c>
      <c r="N510" s="30" t="str">
        <f aca="false">IF($A510="",IF(OR($D510&lt;&gt;"",$E510&lt;&gt;""),"رقم المخرج ناقص",""),IF(ISNA(MATCH($A510,قائمة_المخرجات,0)),"رقم مخرج غير موجود",IF($D510="","نوع الحركة ناقص",IF(NOT(ISNUMBER($E510)),"التاريخ ناقص",IF($E510&gt;تاريخ_الاحتساب,"تاريخ بعد تاريخ الاحتساب",IF(AND($D510&lt;&gt;"تسليم",COUNTIFS($A$5:$A$1504,$A510,$D$5:$D$1504,"تسليم",$E$5:$E$1504,"&lt;="&amp;$E510)=0),"لا يوجد تسليم قبل الحركة دي",""))))))</f>
        <v/>
      </c>
    </row>
    <row r="511" customFormat="false" ht="15" hidden="false" customHeight="false" outlineLevel="0" collapsed="false">
      <c r="A511" s="20"/>
      <c r="B511" s="35" t="str">
        <f aca="false">IF($A511="","",IFERROR(INDEX(مخرج_البند,MATCH($A511,قائمة_المخرجات,0)),""))</f>
        <v/>
      </c>
      <c r="C511" s="30" t="str">
        <f aca="false">IF($A511="","",IFERROR(INDEX(مخرج_الوصف,MATCH($A511,قائمة_المخرجات,0)),""))</f>
        <v/>
      </c>
      <c r="D511" s="20"/>
      <c r="E511" s="31"/>
      <c r="F511" s="22"/>
      <c r="G511" s="36" t="str">
        <f aca="false">IF(OR($A511="",$D511&lt;&gt;"تسليم",NOT(ISNUMBER($E511))),"",COUNTIFS($A$5:$A$1504,$A511,$D$5:$D$1504,"تسليم",$E$5:$E$1504,"&lt;"&amp;$E511)+1)</f>
        <v/>
      </c>
      <c r="H511" s="33" t="str">
        <f aca="false">IF($G511="","",_xlfn.MINIFS($E$5:$E$1504,$A$5:$A$1504,$A511,$D$5:$D$1504,"&lt;&gt;تسليم",$E$5:$E$1504,"&gt;="&amp;$E511))</f>
        <v/>
      </c>
      <c r="I511" s="33" t="str">
        <f aca="false">IF($G511="","",_xlfn.MINIFS($E$5:$E$1504,$A$5:$A$1504,$A511,$D$5:$D$1504,"تسليم",$E$5:$E$1504,"&gt;"&amp;$E511))</f>
        <v/>
      </c>
      <c r="J511" s="33" t="str">
        <f aca="false">IF($G511="","",IF(H511&gt;0,IF(I511&gt;0,MIN(H511,I511),H511),IF(I511&gt;0,I511,تاريخ_الاحتساب)))</f>
        <v/>
      </c>
      <c r="K511" s="34" t="str">
        <f aca="false">IF($G511="","",IF(AND(H511=0,I511=0),"جارية","مغلقة"))</f>
        <v/>
      </c>
      <c r="L511" s="26" t="str">
        <f aca="false">IF($G511="","",MAX(0,NETWORKDAYS.INTL($E511,J511,رمز_العطلة,أيام_الأجازات)-1))</f>
        <v/>
      </c>
      <c r="M511" s="26" t="str">
        <f aca="false">IF($G511="","",MAX(0,L511-مهلة_المراجعة))</f>
        <v/>
      </c>
      <c r="N511" s="30" t="str">
        <f aca="false">IF($A511="",IF(OR($D511&lt;&gt;"",$E511&lt;&gt;""),"رقم المخرج ناقص",""),IF(ISNA(MATCH($A511,قائمة_المخرجات,0)),"رقم مخرج غير موجود",IF($D511="","نوع الحركة ناقص",IF(NOT(ISNUMBER($E511)),"التاريخ ناقص",IF($E511&gt;تاريخ_الاحتساب,"تاريخ بعد تاريخ الاحتساب",IF(AND($D511&lt;&gt;"تسليم",COUNTIFS($A$5:$A$1504,$A511,$D$5:$D$1504,"تسليم",$E$5:$E$1504,"&lt;="&amp;$E511)=0),"لا يوجد تسليم قبل الحركة دي",""))))))</f>
        <v/>
      </c>
    </row>
    <row r="512" customFormat="false" ht="15" hidden="false" customHeight="false" outlineLevel="0" collapsed="false">
      <c r="A512" s="20"/>
      <c r="B512" s="35" t="str">
        <f aca="false">IF($A512="","",IFERROR(INDEX(مخرج_البند,MATCH($A512,قائمة_المخرجات,0)),""))</f>
        <v/>
      </c>
      <c r="C512" s="30" t="str">
        <f aca="false">IF($A512="","",IFERROR(INDEX(مخرج_الوصف,MATCH($A512,قائمة_المخرجات,0)),""))</f>
        <v/>
      </c>
      <c r="D512" s="20"/>
      <c r="E512" s="31"/>
      <c r="F512" s="22"/>
      <c r="G512" s="36" t="str">
        <f aca="false">IF(OR($A512="",$D512&lt;&gt;"تسليم",NOT(ISNUMBER($E512))),"",COUNTIFS($A$5:$A$1504,$A512,$D$5:$D$1504,"تسليم",$E$5:$E$1504,"&lt;"&amp;$E512)+1)</f>
        <v/>
      </c>
      <c r="H512" s="33" t="str">
        <f aca="false">IF($G512="","",_xlfn.MINIFS($E$5:$E$1504,$A$5:$A$1504,$A512,$D$5:$D$1504,"&lt;&gt;تسليم",$E$5:$E$1504,"&gt;="&amp;$E512))</f>
        <v/>
      </c>
      <c r="I512" s="33" t="str">
        <f aca="false">IF($G512="","",_xlfn.MINIFS($E$5:$E$1504,$A$5:$A$1504,$A512,$D$5:$D$1504,"تسليم",$E$5:$E$1504,"&gt;"&amp;$E512))</f>
        <v/>
      </c>
      <c r="J512" s="33" t="str">
        <f aca="false">IF($G512="","",IF(H512&gt;0,IF(I512&gt;0,MIN(H512,I512),H512),IF(I512&gt;0,I512,تاريخ_الاحتساب)))</f>
        <v/>
      </c>
      <c r="K512" s="34" t="str">
        <f aca="false">IF($G512="","",IF(AND(H512=0,I512=0),"جارية","مغلقة"))</f>
        <v/>
      </c>
      <c r="L512" s="26" t="str">
        <f aca="false">IF($G512="","",MAX(0,NETWORKDAYS.INTL($E512,J512,رمز_العطلة,أيام_الأجازات)-1))</f>
        <v/>
      </c>
      <c r="M512" s="26" t="str">
        <f aca="false">IF($G512="","",MAX(0,L512-مهلة_المراجعة))</f>
        <v/>
      </c>
      <c r="N512" s="30" t="str">
        <f aca="false">IF($A512="",IF(OR($D512&lt;&gt;"",$E512&lt;&gt;""),"رقم المخرج ناقص",""),IF(ISNA(MATCH($A512,قائمة_المخرجات,0)),"رقم مخرج غير موجود",IF($D512="","نوع الحركة ناقص",IF(NOT(ISNUMBER($E512)),"التاريخ ناقص",IF($E512&gt;تاريخ_الاحتساب,"تاريخ بعد تاريخ الاحتساب",IF(AND($D512&lt;&gt;"تسليم",COUNTIFS($A$5:$A$1504,$A512,$D$5:$D$1504,"تسليم",$E$5:$E$1504,"&lt;="&amp;$E512)=0),"لا يوجد تسليم قبل الحركة دي",""))))))</f>
        <v/>
      </c>
    </row>
    <row r="513" customFormat="false" ht="15" hidden="false" customHeight="false" outlineLevel="0" collapsed="false">
      <c r="A513" s="20"/>
      <c r="B513" s="35" t="str">
        <f aca="false">IF($A513="","",IFERROR(INDEX(مخرج_البند,MATCH($A513,قائمة_المخرجات,0)),""))</f>
        <v/>
      </c>
      <c r="C513" s="30" t="str">
        <f aca="false">IF($A513="","",IFERROR(INDEX(مخرج_الوصف,MATCH($A513,قائمة_المخرجات,0)),""))</f>
        <v/>
      </c>
      <c r="D513" s="20"/>
      <c r="E513" s="31"/>
      <c r="F513" s="22"/>
      <c r="G513" s="36" t="str">
        <f aca="false">IF(OR($A513="",$D513&lt;&gt;"تسليم",NOT(ISNUMBER($E513))),"",COUNTIFS($A$5:$A$1504,$A513,$D$5:$D$1504,"تسليم",$E$5:$E$1504,"&lt;"&amp;$E513)+1)</f>
        <v/>
      </c>
      <c r="H513" s="33" t="str">
        <f aca="false">IF($G513="","",_xlfn.MINIFS($E$5:$E$1504,$A$5:$A$1504,$A513,$D$5:$D$1504,"&lt;&gt;تسليم",$E$5:$E$1504,"&gt;="&amp;$E513))</f>
        <v/>
      </c>
      <c r="I513" s="33" t="str">
        <f aca="false">IF($G513="","",_xlfn.MINIFS($E$5:$E$1504,$A$5:$A$1504,$A513,$D$5:$D$1504,"تسليم",$E$5:$E$1504,"&gt;"&amp;$E513))</f>
        <v/>
      </c>
      <c r="J513" s="33" t="str">
        <f aca="false">IF($G513="","",IF(H513&gt;0,IF(I513&gt;0,MIN(H513,I513),H513),IF(I513&gt;0,I513,تاريخ_الاحتساب)))</f>
        <v/>
      </c>
      <c r="K513" s="34" t="str">
        <f aca="false">IF($G513="","",IF(AND(H513=0,I513=0),"جارية","مغلقة"))</f>
        <v/>
      </c>
      <c r="L513" s="26" t="str">
        <f aca="false">IF($G513="","",MAX(0,NETWORKDAYS.INTL($E513,J513,رمز_العطلة,أيام_الأجازات)-1))</f>
        <v/>
      </c>
      <c r="M513" s="26" t="str">
        <f aca="false">IF($G513="","",MAX(0,L513-مهلة_المراجعة))</f>
        <v/>
      </c>
      <c r="N513" s="30" t="str">
        <f aca="false">IF($A513="",IF(OR($D513&lt;&gt;"",$E513&lt;&gt;""),"رقم المخرج ناقص",""),IF(ISNA(MATCH($A513,قائمة_المخرجات,0)),"رقم مخرج غير موجود",IF($D513="","نوع الحركة ناقص",IF(NOT(ISNUMBER($E513)),"التاريخ ناقص",IF($E513&gt;تاريخ_الاحتساب,"تاريخ بعد تاريخ الاحتساب",IF(AND($D513&lt;&gt;"تسليم",COUNTIFS($A$5:$A$1504,$A513,$D$5:$D$1504,"تسليم",$E$5:$E$1504,"&lt;="&amp;$E513)=0),"لا يوجد تسليم قبل الحركة دي",""))))))</f>
        <v/>
      </c>
    </row>
    <row r="514" customFormat="false" ht="15" hidden="false" customHeight="false" outlineLevel="0" collapsed="false">
      <c r="A514" s="20"/>
      <c r="B514" s="35" t="str">
        <f aca="false">IF($A514="","",IFERROR(INDEX(مخرج_البند,MATCH($A514,قائمة_المخرجات,0)),""))</f>
        <v/>
      </c>
      <c r="C514" s="30" t="str">
        <f aca="false">IF($A514="","",IFERROR(INDEX(مخرج_الوصف,MATCH($A514,قائمة_المخرجات,0)),""))</f>
        <v/>
      </c>
      <c r="D514" s="20"/>
      <c r="E514" s="31"/>
      <c r="F514" s="22"/>
      <c r="G514" s="36" t="str">
        <f aca="false">IF(OR($A514="",$D514&lt;&gt;"تسليم",NOT(ISNUMBER($E514))),"",COUNTIFS($A$5:$A$1504,$A514,$D$5:$D$1504,"تسليم",$E$5:$E$1504,"&lt;"&amp;$E514)+1)</f>
        <v/>
      </c>
      <c r="H514" s="33" t="str">
        <f aca="false">IF($G514="","",_xlfn.MINIFS($E$5:$E$1504,$A$5:$A$1504,$A514,$D$5:$D$1504,"&lt;&gt;تسليم",$E$5:$E$1504,"&gt;="&amp;$E514))</f>
        <v/>
      </c>
      <c r="I514" s="33" t="str">
        <f aca="false">IF($G514="","",_xlfn.MINIFS($E$5:$E$1504,$A$5:$A$1504,$A514,$D$5:$D$1504,"تسليم",$E$5:$E$1504,"&gt;"&amp;$E514))</f>
        <v/>
      </c>
      <c r="J514" s="33" t="str">
        <f aca="false">IF($G514="","",IF(H514&gt;0,IF(I514&gt;0,MIN(H514,I514),H514),IF(I514&gt;0,I514,تاريخ_الاحتساب)))</f>
        <v/>
      </c>
      <c r="K514" s="34" t="str">
        <f aca="false">IF($G514="","",IF(AND(H514=0,I514=0),"جارية","مغلقة"))</f>
        <v/>
      </c>
      <c r="L514" s="26" t="str">
        <f aca="false">IF($G514="","",MAX(0,NETWORKDAYS.INTL($E514,J514,رمز_العطلة,أيام_الأجازات)-1))</f>
        <v/>
      </c>
      <c r="M514" s="26" t="str">
        <f aca="false">IF($G514="","",MAX(0,L514-مهلة_المراجعة))</f>
        <v/>
      </c>
      <c r="N514" s="30" t="str">
        <f aca="false">IF($A514="",IF(OR($D514&lt;&gt;"",$E514&lt;&gt;""),"رقم المخرج ناقص",""),IF(ISNA(MATCH($A514,قائمة_المخرجات,0)),"رقم مخرج غير موجود",IF($D514="","نوع الحركة ناقص",IF(NOT(ISNUMBER($E514)),"التاريخ ناقص",IF($E514&gt;تاريخ_الاحتساب,"تاريخ بعد تاريخ الاحتساب",IF(AND($D514&lt;&gt;"تسليم",COUNTIFS($A$5:$A$1504,$A514,$D$5:$D$1504,"تسليم",$E$5:$E$1504,"&lt;="&amp;$E514)=0),"لا يوجد تسليم قبل الحركة دي",""))))))</f>
        <v/>
      </c>
    </row>
    <row r="515" customFormat="false" ht="15" hidden="false" customHeight="false" outlineLevel="0" collapsed="false">
      <c r="A515" s="20"/>
      <c r="B515" s="35" t="str">
        <f aca="false">IF($A515="","",IFERROR(INDEX(مخرج_البند,MATCH($A515,قائمة_المخرجات,0)),""))</f>
        <v/>
      </c>
      <c r="C515" s="30" t="str">
        <f aca="false">IF($A515="","",IFERROR(INDEX(مخرج_الوصف,MATCH($A515,قائمة_المخرجات,0)),""))</f>
        <v/>
      </c>
      <c r="D515" s="20"/>
      <c r="E515" s="31"/>
      <c r="F515" s="22"/>
      <c r="G515" s="36" t="str">
        <f aca="false">IF(OR($A515="",$D515&lt;&gt;"تسليم",NOT(ISNUMBER($E515))),"",COUNTIFS($A$5:$A$1504,$A515,$D$5:$D$1504,"تسليم",$E$5:$E$1504,"&lt;"&amp;$E515)+1)</f>
        <v/>
      </c>
      <c r="H515" s="33" t="str">
        <f aca="false">IF($G515="","",_xlfn.MINIFS($E$5:$E$1504,$A$5:$A$1504,$A515,$D$5:$D$1504,"&lt;&gt;تسليم",$E$5:$E$1504,"&gt;="&amp;$E515))</f>
        <v/>
      </c>
      <c r="I515" s="33" t="str">
        <f aca="false">IF($G515="","",_xlfn.MINIFS($E$5:$E$1504,$A$5:$A$1504,$A515,$D$5:$D$1504,"تسليم",$E$5:$E$1504,"&gt;"&amp;$E515))</f>
        <v/>
      </c>
      <c r="J515" s="33" t="str">
        <f aca="false">IF($G515="","",IF(H515&gt;0,IF(I515&gt;0,MIN(H515,I515),H515),IF(I515&gt;0,I515,تاريخ_الاحتساب)))</f>
        <v/>
      </c>
      <c r="K515" s="34" t="str">
        <f aca="false">IF($G515="","",IF(AND(H515=0,I515=0),"جارية","مغلقة"))</f>
        <v/>
      </c>
      <c r="L515" s="26" t="str">
        <f aca="false">IF($G515="","",MAX(0,NETWORKDAYS.INTL($E515,J515,رمز_العطلة,أيام_الأجازات)-1))</f>
        <v/>
      </c>
      <c r="M515" s="26" t="str">
        <f aca="false">IF($G515="","",MAX(0,L515-مهلة_المراجعة))</f>
        <v/>
      </c>
      <c r="N515" s="30" t="str">
        <f aca="false">IF($A515="",IF(OR($D515&lt;&gt;"",$E515&lt;&gt;""),"رقم المخرج ناقص",""),IF(ISNA(MATCH($A515,قائمة_المخرجات,0)),"رقم مخرج غير موجود",IF($D515="","نوع الحركة ناقص",IF(NOT(ISNUMBER($E515)),"التاريخ ناقص",IF($E515&gt;تاريخ_الاحتساب,"تاريخ بعد تاريخ الاحتساب",IF(AND($D515&lt;&gt;"تسليم",COUNTIFS($A$5:$A$1504,$A515,$D$5:$D$1504,"تسليم",$E$5:$E$1504,"&lt;="&amp;$E515)=0),"لا يوجد تسليم قبل الحركة دي",""))))))</f>
        <v/>
      </c>
    </row>
    <row r="516" customFormat="false" ht="15" hidden="false" customHeight="false" outlineLevel="0" collapsed="false">
      <c r="A516" s="20"/>
      <c r="B516" s="35" t="str">
        <f aca="false">IF($A516="","",IFERROR(INDEX(مخرج_البند,MATCH($A516,قائمة_المخرجات,0)),""))</f>
        <v/>
      </c>
      <c r="C516" s="30" t="str">
        <f aca="false">IF($A516="","",IFERROR(INDEX(مخرج_الوصف,MATCH($A516,قائمة_المخرجات,0)),""))</f>
        <v/>
      </c>
      <c r="D516" s="20"/>
      <c r="E516" s="31"/>
      <c r="F516" s="22"/>
      <c r="G516" s="36" t="str">
        <f aca="false">IF(OR($A516="",$D516&lt;&gt;"تسليم",NOT(ISNUMBER($E516))),"",COUNTIFS($A$5:$A$1504,$A516,$D$5:$D$1504,"تسليم",$E$5:$E$1504,"&lt;"&amp;$E516)+1)</f>
        <v/>
      </c>
      <c r="H516" s="33" t="str">
        <f aca="false">IF($G516="","",_xlfn.MINIFS($E$5:$E$1504,$A$5:$A$1504,$A516,$D$5:$D$1504,"&lt;&gt;تسليم",$E$5:$E$1504,"&gt;="&amp;$E516))</f>
        <v/>
      </c>
      <c r="I516" s="33" t="str">
        <f aca="false">IF($G516="","",_xlfn.MINIFS($E$5:$E$1504,$A$5:$A$1504,$A516,$D$5:$D$1504,"تسليم",$E$5:$E$1504,"&gt;"&amp;$E516))</f>
        <v/>
      </c>
      <c r="J516" s="33" t="str">
        <f aca="false">IF($G516="","",IF(H516&gt;0,IF(I516&gt;0,MIN(H516,I516),H516),IF(I516&gt;0,I516,تاريخ_الاحتساب)))</f>
        <v/>
      </c>
      <c r="K516" s="34" t="str">
        <f aca="false">IF($G516="","",IF(AND(H516=0,I516=0),"جارية","مغلقة"))</f>
        <v/>
      </c>
      <c r="L516" s="26" t="str">
        <f aca="false">IF($G516="","",MAX(0,NETWORKDAYS.INTL($E516,J516,رمز_العطلة,أيام_الأجازات)-1))</f>
        <v/>
      </c>
      <c r="M516" s="26" t="str">
        <f aca="false">IF($G516="","",MAX(0,L516-مهلة_المراجعة))</f>
        <v/>
      </c>
      <c r="N516" s="30" t="str">
        <f aca="false">IF($A516="",IF(OR($D516&lt;&gt;"",$E516&lt;&gt;""),"رقم المخرج ناقص",""),IF(ISNA(MATCH($A516,قائمة_المخرجات,0)),"رقم مخرج غير موجود",IF($D516="","نوع الحركة ناقص",IF(NOT(ISNUMBER($E516)),"التاريخ ناقص",IF($E516&gt;تاريخ_الاحتساب,"تاريخ بعد تاريخ الاحتساب",IF(AND($D516&lt;&gt;"تسليم",COUNTIFS($A$5:$A$1504,$A516,$D$5:$D$1504,"تسليم",$E$5:$E$1504,"&lt;="&amp;$E516)=0),"لا يوجد تسليم قبل الحركة دي",""))))))</f>
        <v/>
      </c>
    </row>
    <row r="517" customFormat="false" ht="15" hidden="false" customHeight="false" outlineLevel="0" collapsed="false">
      <c r="A517" s="20"/>
      <c r="B517" s="35" t="str">
        <f aca="false">IF($A517="","",IFERROR(INDEX(مخرج_البند,MATCH($A517,قائمة_المخرجات,0)),""))</f>
        <v/>
      </c>
      <c r="C517" s="30" t="str">
        <f aca="false">IF($A517="","",IFERROR(INDEX(مخرج_الوصف,MATCH($A517,قائمة_المخرجات,0)),""))</f>
        <v/>
      </c>
      <c r="D517" s="20"/>
      <c r="E517" s="31"/>
      <c r="F517" s="22"/>
      <c r="G517" s="36" t="str">
        <f aca="false">IF(OR($A517="",$D517&lt;&gt;"تسليم",NOT(ISNUMBER($E517))),"",COUNTIFS($A$5:$A$1504,$A517,$D$5:$D$1504,"تسليم",$E$5:$E$1504,"&lt;"&amp;$E517)+1)</f>
        <v/>
      </c>
      <c r="H517" s="33" t="str">
        <f aca="false">IF($G517="","",_xlfn.MINIFS($E$5:$E$1504,$A$5:$A$1504,$A517,$D$5:$D$1504,"&lt;&gt;تسليم",$E$5:$E$1504,"&gt;="&amp;$E517))</f>
        <v/>
      </c>
      <c r="I517" s="33" t="str">
        <f aca="false">IF($G517="","",_xlfn.MINIFS($E$5:$E$1504,$A$5:$A$1504,$A517,$D$5:$D$1504,"تسليم",$E$5:$E$1504,"&gt;"&amp;$E517))</f>
        <v/>
      </c>
      <c r="J517" s="33" t="str">
        <f aca="false">IF($G517="","",IF(H517&gt;0,IF(I517&gt;0,MIN(H517,I517),H517),IF(I517&gt;0,I517,تاريخ_الاحتساب)))</f>
        <v/>
      </c>
      <c r="K517" s="34" t="str">
        <f aca="false">IF($G517="","",IF(AND(H517=0,I517=0),"جارية","مغلقة"))</f>
        <v/>
      </c>
      <c r="L517" s="26" t="str">
        <f aca="false">IF($G517="","",MAX(0,NETWORKDAYS.INTL($E517,J517,رمز_العطلة,أيام_الأجازات)-1))</f>
        <v/>
      </c>
      <c r="M517" s="26" t="str">
        <f aca="false">IF($G517="","",MAX(0,L517-مهلة_المراجعة))</f>
        <v/>
      </c>
      <c r="N517" s="30" t="str">
        <f aca="false">IF($A517="",IF(OR($D517&lt;&gt;"",$E517&lt;&gt;""),"رقم المخرج ناقص",""),IF(ISNA(MATCH($A517,قائمة_المخرجات,0)),"رقم مخرج غير موجود",IF($D517="","نوع الحركة ناقص",IF(NOT(ISNUMBER($E517)),"التاريخ ناقص",IF($E517&gt;تاريخ_الاحتساب,"تاريخ بعد تاريخ الاحتساب",IF(AND($D517&lt;&gt;"تسليم",COUNTIFS($A$5:$A$1504,$A517,$D$5:$D$1504,"تسليم",$E$5:$E$1504,"&lt;="&amp;$E517)=0),"لا يوجد تسليم قبل الحركة دي",""))))))</f>
        <v/>
      </c>
    </row>
    <row r="518" customFormat="false" ht="15" hidden="false" customHeight="false" outlineLevel="0" collapsed="false">
      <c r="A518" s="20"/>
      <c r="B518" s="35" t="str">
        <f aca="false">IF($A518="","",IFERROR(INDEX(مخرج_البند,MATCH($A518,قائمة_المخرجات,0)),""))</f>
        <v/>
      </c>
      <c r="C518" s="30" t="str">
        <f aca="false">IF($A518="","",IFERROR(INDEX(مخرج_الوصف,MATCH($A518,قائمة_المخرجات,0)),""))</f>
        <v/>
      </c>
      <c r="D518" s="20"/>
      <c r="E518" s="31"/>
      <c r="F518" s="22"/>
      <c r="G518" s="36" t="str">
        <f aca="false">IF(OR($A518="",$D518&lt;&gt;"تسليم",NOT(ISNUMBER($E518))),"",COUNTIFS($A$5:$A$1504,$A518,$D$5:$D$1504,"تسليم",$E$5:$E$1504,"&lt;"&amp;$E518)+1)</f>
        <v/>
      </c>
      <c r="H518" s="33" t="str">
        <f aca="false">IF($G518="","",_xlfn.MINIFS($E$5:$E$1504,$A$5:$A$1504,$A518,$D$5:$D$1504,"&lt;&gt;تسليم",$E$5:$E$1504,"&gt;="&amp;$E518))</f>
        <v/>
      </c>
      <c r="I518" s="33" t="str">
        <f aca="false">IF($G518="","",_xlfn.MINIFS($E$5:$E$1504,$A$5:$A$1504,$A518,$D$5:$D$1504,"تسليم",$E$5:$E$1504,"&gt;"&amp;$E518))</f>
        <v/>
      </c>
      <c r="J518" s="33" t="str">
        <f aca="false">IF($G518="","",IF(H518&gt;0,IF(I518&gt;0,MIN(H518,I518),H518),IF(I518&gt;0,I518,تاريخ_الاحتساب)))</f>
        <v/>
      </c>
      <c r="K518" s="34" t="str">
        <f aca="false">IF($G518="","",IF(AND(H518=0,I518=0),"جارية","مغلقة"))</f>
        <v/>
      </c>
      <c r="L518" s="26" t="str">
        <f aca="false">IF($G518="","",MAX(0,NETWORKDAYS.INTL($E518,J518,رمز_العطلة,أيام_الأجازات)-1))</f>
        <v/>
      </c>
      <c r="M518" s="26" t="str">
        <f aca="false">IF($G518="","",MAX(0,L518-مهلة_المراجعة))</f>
        <v/>
      </c>
      <c r="N518" s="30" t="str">
        <f aca="false">IF($A518="",IF(OR($D518&lt;&gt;"",$E518&lt;&gt;""),"رقم المخرج ناقص",""),IF(ISNA(MATCH($A518,قائمة_المخرجات,0)),"رقم مخرج غير موجود",IF($D518="","نوع الحركة ناقص",IF(NOT(ISNUMBER($E518)),"التاريخ ناقص",IF($E518&gt;تاريخ_الاحتساب,"تاريخ بعد تاريخ الاحتساب",IF(AND($D518&lt;&gt;"تسليم",COUNTIFS($A$5:$A$1504,$A518,$D$5:$D$1504,"تسليم",$E$5:$E$1504,"&lt;="&amp;$E518)=0),"لا يوجد تسليم قبل الحركة دي",""))))))</f>
        <v/>
      </c>
    </row>
    <row r="519" customFormat="false" ht="15" hidden="false" customHeight="false" outlineLevel="0" collapsed="false">
      <c r="A519" s="20"/>
      <c r="B519" s="35" t="str">
        <f aca="false">IF($A519="","",IFERROR(INDEX(مخرج_البند,MATCH($A519,قائمة_المخرجات,0)),""))</f>
        <v/>
      </c>
      <c r="C519" s="30" t="str">
        <f aca="false">IF($A519="","",IFERROR(INDEX(مخرج_الوصف,MATCH($A519,قائمة_المخرجات,0)),""))</f>
        <v/>
      </c>
      <c r="D519" s="20"/>
      <c r="E519" s="31"/>
      <c r="F519" s="22"/>
      <c r="G519" s="36" t="str">
        <f aca="false">IF(OR($A519="",$D519&lt;&gt;"تسليم",NOT(ISNUMBER($E519))),"",COUNTIFS($A$5:$A$1504,$A519,$D$5:$D$1504,"تسليم",$E$5:$E$1504,"&lt;"&amp;$E519)+1)</f>
        <v/>
      </c>
      <c r="H519" s="33" t="str">
        <f aca="false">IF($G519="","",_xlfn.MINIFS($E$5:$E$1504,$A$5:$A$1504,$A519,$D$5:$D$1504,"&lt;&gt;تسليم",$E$5:$E$1504,"&gt;="&amp;$E519))</f>
        <v/>
      </c>
      <c r="I519" s="33" t="str">
        <f aca="false">IF($G519="","",_xlfn.MINIFS($E$5:$E$1504,$A$5:$A$1504,$A519,$D$5:$D$1504,"تسليم",$E$5:$E$1504,"&gt;"&amp;$E519))</f>
        <v/>
      </c>
      <c r="J519" s="33" t="str">
        <f aca="false">IF($G519="","",IF(H519&gt;0,IF(I519&gt;0,MIN(H519,I519),H519),IF(I519&gt;0,I519,تاريخ_الاحتساب)))</f>
        <v/>
      </c>
      <c r="K519" s="34" t="str">
        <f aca="false">IF($G519="","",IF(AND(H519=0,I519=0),"جارية","مغلقة"))</f>
        <v/>
      </c>
      <c r="L519" s="26" t="str">
        <f aca="false">IF($G519="","",MAX(0,NETWORKDAYS.INTL($E519,J519,رمز_العطلة,أيام_الأجازات)-1))</f>
        <v/>
      </c>
      <c r="M519" s="26" t="str">
        <f aca="false">IF($G519="","",MAX(0,L519-مهلة_المراجعة))</f>
        <v/>
      </c>
      <c r="N519" s="30" t="str">
        <f aca="false">IF($A519="",IF(OR($D519&lt;&gt;"",$E519&lt;&gt;""),"رقم المخرج ناقص",""),IF(ISNA(MATCH($A519,قائمة_المخرجات,0)),"رقم مخرج غير موجود",IF($D519="","نوع الحركة ناقص",IF(NOT(ISNUMBER($E519)),"التاريخ ناقص",IF($E519&gt;تاريخ_الاحتساب,"تاريخ بعد تاريخ الاحتساب",IF(AND($D519&lt;&gt;"تسليم",COUNTIFS($A$5:$A$1504,$A519,$D$5:$D$1504,"تسليم",$E$5:$E$1504,"&lt;="&amp;$E519)=0),"لا يوجد تسليم قبل الحركة دي",""))))))</f>
        <v/>
      </c>
    </row>
    <row r="520" customFormat="false" ht="15" hidden="false" customHeight="false" outlineLevel="0" collapsed="false">
      <c r="A520" s="20"/>
      <c r="B520" s="35" t="str">
        <f aca="false">IF($A520="","",IFERROR(INDEX(مخرج_البند,MATCH($A520,قائمة_المخرجات,0)),""))</f>
        <v/>
      </c>
      <c r="C520" s="30" t="str">
        <f aca="false">IF($A520="","",IFERROR(INDEX(مخرج_الوصف,MATCH($A520,قائمة_المخرجات,0)),""))</f>
        <v/>
      </c>
      <c r="D520" s="20"/>
      <c r="E520" s="31"/>
      <c r="F520" s="22"/>
      <c r="G520" s="36" t="str">
        <f aca="false">IF(OR($A520="",$D520&lt;&gt;"تسليم",NOT(ISNUMBER($E520))),"",COUNTIFS($A$5:$A$1504,$A520,$D$5:$D$1504,"تسليم",$E$5:$E$1504,"&lt;"&amp;$E520)+1)</f>
        <v/>
      </c>
      <c r="H520" s="33" t="str">
        <f aca="false">IF($G520="","",_xlfn.MINIFS($E$5:$E$1504,$A$5:$A$1504,$A520,$D$5:$D$1504,"&lt;&gt;تسليم",$E$5:$E$1504,"&gt;="&amp;$E520))</f>
        <v/>
      </c>
      <c r="I520" s="33" t="str">
        <f aca="false">IF($G520="","",_xlfn.MINIFS($E$5:$E$1504,$A$5:$A$1504,$A520,$D$5:$D$1504,"تسليم",$E$5:$E$1504,"&gt;"&amp;$E520))</f>
        <v/>
      </c>
      <c r="J520" s="33" t="str">
        <f aca="false">IF($G520="","",IF(H520&gt;0,IF(I520&gt;0,MIN(H520,I520),H520),IF(I520&gt;0,I520,تاريخ_الاحتساب)))</f>
        <v/>
      </c>
      <c r="K520" s="34" t="str">
        <f aca="false">IF($G520="","",IF(AND(H520=0,I520=0),"جارية","مغلقة"))</f>
        <v/>
      </c>
      <c r="L520" s="26" t="str">
        <f aca="false">IF($G520="","",MAX(0,NETWORKDAYS.INTL($E520,J520,رمز_العطلة,أيام_الأجازات)-1))</f>
        <v/>
      </c>
      <c r="M520" s="26" t="str">
        <f aca="false">IF($G520="","",MAX(0,L520-مهلة_المراجعة))</f>
        <v/>
      </c>
      <c r="N520" s="30" t="str">
        <f aca="false">IF($A520="",IF(OR($D520&lt;&gt;"",$E520&lt;&gt;""),"رقم المخرج ناقص",""),IF(ISNA(MATCH($A520,قائمة_المخرجات,0)),"رقم مخرج غير موجود",IF($D520="","نوع الحركة ناقص",IF(NOT(ISNUMBER($E520)),"التاريخ ناقص",IF($E520&gt;تاريخ_الاحتساب,"تاريخ بعد تاريخ الاحتساب",IF(AND($D520&lt;&gt;"تسليم",COUNTIFS($A$5:$A$1504,$A520,$D$5:$D$1504,"تسليم",$E$5:$E$1504,"&lt;="&amp;$E520)=0),"لا يوجد تسليم قبل الحركة دي",""))))))</f>
        <v/>
      </c>
    </row>
    <row r="521" customFormat="false" ht="15" hidden="false" customHeight="false" outlineLevel="0" collapsed="false">
      <c r="A521" s="20"/>
      <c r="B521" s="35" t="str">
        <f aca="false">IF($A521="","",IFERROR(INDEX(مخرج_البند,MATCH($A521,قائمة_المخرجات,0)),""))</f>
        <v/>
      </c>
      <c r="C521" s="30" t="str">
        <f aca="false">IF($A521="","",IFERROR(INDEX(مخرج_الوصف,MATCH($A521,قائمة_المخرجات,0)),""))</f>
        <v/>
      </c>
      <c r="D521" s="20"/>
      <c r="E521" s="31"/>
      <c r="F521" s="22"/>
      <c r="G521" s="36" t="str">
        <f aca="false">IF(OR($A521="",$D521&lt;&gt;"تسليم",NOT(ISNUMBER($E521))),"",COUNTIFS($A$5:$A$1504,$A521,$D$5:$D$1504,"تسليم",$E$5:$E$1504,"&lt;"&amp;$E521)+1)</f>
        <v/>
      </c>
      <c r="H521" s="33" t="str">
        <f aca="false">IF($G521="","",_xlfn.MINIFS($E$5:$E$1504,$A$5:$A$1504,$A521,$D$5:$D$1504,"&lt;&gt;تسليم",$E$5:$E$1504,"&gt;="&amp;$E521))</f>
        <v/>
      </c>
      <c r="I521" s="33" t="str">
        <f aca="false">IF($G521="","",_xlfn.MINIFS($E$5:$E$1504,$A$5:$A$1504,$A521,$D$5:$D$1504,"تسليم",$E$5:$E$1504,"&gt;"&amp;$E521))</f>
        <v/>
      </c>
      <c r="J521" s="33" t="str">
        <f aca="false">IF($G521="","",IF(H521&gt;0,IF(I521&gt;0,MIN(H521,I521),H521),IF(I521&gt;0,I521,تاريخ_الاحتساب)))</f>
        <v/>
      </c>
      <c r="K521" s="34" t="str">
        <f aca="false">IF($G521="","",IF(AND(H521=0,I521=0),"جارية","مغلقة"))</f>
        <v/>
      </c>
      <c r="L521" s="26" t="str">
        <f aca="false">IF($G521="","",MAX(0,NETWORKDAYS.INTL($E521,J521,رمز_العطلة,أيام_الأجازات)-1))</f>
        <v/>
      </c>
      <c r="M521" s="26" t="str">
        <f aca="false">IF($G521="","",MAX(0,L521-مهلة_المراجعة))</f>
        <v/>
      </c>
      <c r="N521" s="30" t="str">
        <f aca="false">IF($A521="",IF(OR($D521&lt;&gt;"",$E521&lt;&gt;""),"رقم المخرج ناقص",""),IF(ISNA(MATCH($A521,قائمة_المخرجات,0)),"رقم مخرج غير موجود",IF($D521="","نوع الحركة ناقص",IF(NOT(ISNUMBER($E521)),"التاريخ ناقص",IF($E521&gt;تاريخ_الاحتساب,"تاريخ بعد تاريخ الاحتساب",IF(AND($D521&lt;&gt;"تسليم",COUNTIFS($A$5:$A$1504,$A521,$D$5:$D$1504,"تسليم",$E$5:$E$1504,"&lt;="&amp;$E521)=0),"لا يوجد تسليم قبل الحركة دي",""))))))</f>
        <v/>
      </c>
    </row>
    <row r="522" customFormat="false" ht="15" hidden="false" customHeight="false" outlineLevel="0" collapsed="false">
      <c r="A522" s="20"/>
      <c r="B522" s="35" t="str">
        <f aca="false">IF($A522="","",IFERROR(INDEX(مخرج_البند,MATCH($A522,قائمة_المخرجات,0)),""))</f>
        <v/>
      </c>
      <c r="C522" s="30" t="str">
        <f aca="false">IF($A522="","",IFERROR(INDEX(مخرج_الوصف,MATCH($A522,قائمة_المخرجات,0)),""))</f>
        <v/>
      </c>
      <c r="D522" s="20"/>
      <c r="E522" s="31"/>
      <c r="F522" s="22"/>
      <c r="G522" s="36" t="str">
        <f aca="false">IF(OR($A522="",$D522&lt;&gt;"تسليم",NOT(ISNUMBER($E522))),"",COUNTIFS($A$5:$A$1504,$A522,$D$5:$D$1504,"تسليم",$E$5:$E$1504,"&lt;"&amp;$E522)+1)</f>
        <v/>
      </c>
      <c r="H522" s="33" t="str">
        <f aca="false">IF($G522="","",_xlfn.MINIFS($E$5:$E$1504,$A$5:$A$1504,$A522,$D$5:$D$1504,"&lt;&gt;تسليم",$E$5:$E$1504,"&gt;="&amp;$E522))</f>
        <v/>
      </c>
      <c r="I522" s="33" t="str">
        <f aca="false">IF($G522="","",_xlfn.MINIFS($E$5:$E$1504,$A$5:$A$1504,$A522,$D$5:$D$1504,"تسليم",$E$5:$E$1504,"&gt;"&amp;$E522))</f>
        <v/>
      </c>
      <c r="J522" s="33" t="str">
        <f aca="false">IF($G522="","",IF(H522&gt;0,IF(I522&gt;0,MIN(H522,I522),H522),IF(I522&gt;0,I522,تاريخ_الاحتساب)))</f>
        <v/>
      </c>
      <c r="K522" s="34" t="str">
        <f aca="false">IF($G522="","",IF(AND(H522=0,I522=0),"جارية","مغلقة"))</f>
        <v/>
      </c>
      <c r="L522" s="26" t="str">
        <f aca="false">IF($G522="","",MAX(0,NETWORKDAYS.INTL($E522,J522,رمز_العطلة,أيام_الأجازات)-1))</f>
        <v/>
      </c>
      <c r="M522" s="26" t="str">
        <f aca="false">IF($G522="","",MAX(0,L522-مهلة_المراجعة))</f>
        <v/>
      </c>
      <c r="N522" s="30" t="str">
        <f aca="false">IF($A522="",IF(OR($D522&lt;&gt;"",$E522&lt;&gt;""),"رقم المخرج ناقص",""),IF(ISNA(MATCH($A522,قائمة_المخرجات,0)),"رقم مخرج غير موجود",IF($D522="","نوع الحركة ناقص",IF(NOT(ISNUMBER($E522)),"التاريخ ناقص",IF($E522&gt;تاريخ_الاحتساب,"تاريخ بعد تاريخ الاحتساب",IF(AND($D522&lt;&gt;"تسليم",COUNTIFS($A$5:$A$1504,$A522,$D$5:$D$1504,"تسليم",$E$5:$E$1504,"&lt;="&amp;$E522)=0),"لا يوجد تسليم قبل الحركة دي",""))))))</f>
        <v/>
      </c>
    </row>
    <row r="523" customFormat="false" ht="15" hidden="false" customHeight="false" outlineLevel="0" collapsed="false">
      <c r="A523" s="20"/>
      <c r="B523" s="35" t="str">
        <f aca="false">IF($A523="","",IFERROR(INDEX(مخرج_البند,MATCH($A523,قائمة_المخرجات,0)),""))</f>
        <v/>
      </c>
      <c r="C523" s="30" t="str">
        <f aca="false">IF($A523="","",IFERROR(INDEX(مخرج_الوصف,MATCH($A523,قائمة_المخرجات,0)),""))</f>
        <v/>
      </c>
      <c r="D523" s="20"/>
      <c r="E523" s="31"/>
      <c r="F523" s="22"/>
      <c r="G523" s="36" t="str">
        <f aca="false">IF(OR($A523="",$D523&lt;&gt;"تسليم",NOT(ISNUMBER($E523))),"",COUNTIFS($A$5:$A$1504,$A523,$D$5:$D$1504,"تسليم",$E$5:$E$1504,"&lt;"&amp;$E523)+1)</f>
        <v/>
      </c>
      <c r="H523" s="33" t="str">
        <f aca="false">IF($G523="","",_xlfn.MINIFS($E$5:$E$1504,$A$5:$A$1504,$A523,$D$5:$D$1504,"&lt;&gt;تسليم",$E$5:$E$1504,"&gt;="&amp;$E523))</f>
        <v/>
      </c>
      <c r="I523" s="33" t="str">
        <f aca="false">IF($G523="","",_xlfn.MINIFS($E$5:$E$1504,$A$5:$A$1504,$A523,$D$5:$D$1504,"تسليم",$E$5:$E$1504,"&gt;"&amp;$E523))</f>
        <v/>
      </c>
      <c r="J523" s="33" t="str">
        <f aca="false">IF($G523="","",IF(H523&gt;0,IF(I523&gt;0,MIN(H523,I523),H523),IF(I523&gt;0,I523,تاريخ_الاحتساب)))</f>
        <v/>
      </c>
      <c r="K523" s="34" t="str">
        <f aca="false">IF($G523="","",IF(AND(H523=0,I523=0),"جارية","مغلقة"))</f>
        <v/>
      </c>
      <c r="L523" s="26" t="str">
        <f aca="false">IF($G523="","",MAX(0,NETWORKDAYS.INTL($E523,J523,رمز_العطلة,أيام_الأجازات)-1))</f>
        <v/>
      </c>
      <c r="M523" s="26" t="str">
        <f aca="false">IF($G523="","",MAX(0,L523-مهلة_المراجعة))</f>
        <v/>
      </c>
      <c r="N523" s="30" t="str">
        <f aca="false">IF($A523="",IF(OR($D523&lt;&gt;"",$E523&lt;&gt;""),"رقم المخرج ناقص",""),IF(ISNA(MATCH($A523,قائمة_المخرجات,0)),"رقم مخرج غير موجود",IF($D523="","نوع الحركة ناقص",IF(NOT(ISNUMBER($E523)),"التاريخ ناقص",IF($E523&gt;تاريخ_الاحتساب,"تاريخ بعد تاريخ الاحتساب",IF(AND($D523&lt;&gt;"تسليم",COUNTIFS($A$5:$A$1504,$A523,$D$5:$D$1504,"تسليم",$E$5:$E$1504,"&lt;="&amp;$E523)=0),"لا يوجد تسليم قبل الحركة دي",""))))))</f>
        <v/>
      </c>
    </row>
    <row r="524" customFormat="false" ht="15" hidden="false" customHeight="false" outlineLevel="0" collapsed="false">
      <c r="A524" s="20"/>
      <c r="B524" s="35" t="str">
        <f aca="false">IF($A524="","",IFERROR(INDEX(مخرج_البند,MATCH($A524,قائمة_المخرجات,0)),""))</f>
        <v/>
      </c>
      <c r="C524" s="30" t="str">
        <f aca="false">IF($A524="","",IFERROR(INDEX(مخرج_الوصف,MATCH($A524,قائمة_المخرجات,0)),""))</f>
        <v/>
      </c>
      <c r="D524" s="20"/>
      <c r="E524" s="31"/>
      <c r="F524" s="22"/>
      <c r="G524" s="36" t="str">
        <f aca="false">IF(OR($A524="",$D524&lt;&gt;"تسليم",NOT(ISNUMBER($E524))),"",COUNTIFS($A$5:$A$1504,$A524,$D$5:$D$1504,"تسليم",$E$5:$E$1504,"&lt;"&amp;$E524)+1)</f>
        <v/>
      </c>
      <c r="H524" s="33" t="str">
        <f aca="false">IF($G524="","",_xlfn.MINIFS($E$5:$E$1504,$A$5:$A$1504,$A524,$D$5:$D$1504,"&lt;&gt;تسليم",$E$5:$E$1504,"&gt;="&amp;$E524))</f>
        <v/>
      </c>
      <c r="I524" s="33" t="str">
        <f aca="false">IF($G524="","",_xlfn.MINIFS($E$5:$E$1504,$A$5:$A$1504,$A524,$D$5:$D$1504,"تسليم",$E$5:$E$1504,"&gt;"&amp;$E524))</f>
        <v/>
      </c>
      <c r="J524" s="33" t="str">
        <f aca="false">IF($G524="","",IF(H524&gt;0,IF(I524&gt;0,MIN(H524,I524),H524),IF(I524&gt;0,I524,تاريخ_الاحتساب)))</f>
        <v/>
      </c>
      <c r="K524" s="34" t="str">
        <f aca="false">IF($G524="","",IF(AND(H524=0,I524=0),"جارية","مغلقة"))</f>
        <v/>
      </c>
      <c r="L524" s="26" t="str">
        <f aca="false">IF($G524="","",MAX(0,NETWORKDAYS.INTL($E524,J524,رمز_العطلة,أيام_الأجازات)-1))</f>
        <v/>
      </c>
      <c r="M524" s="26" t="str">
        <f aca="false">IF($G524="","",MAX(0,L524-مهلة_المراجعة))</f>
        <v/>
      </c>
      <c r="N524" s="30" t="str">
        <f aca="false">IF($A524="",IF(OR($D524&lt;&gt;"",$E524&lt;&gt;""),"رقم المخرج ناقص",""),IF(ISNA(MATCH($A524,قائمة_المخرجات,0)),"رقم مخرج غير موجود",IF($D524="","نوع الحركة ناقص",IF(NOT(ISNUMBER($E524)),"التاريخ ناقص",IF($E524&gt;تاريخ_الاحتساب,"تاريخ بعد تاريخ الاحتساب",IF(AND($D524&lt;&gt;"تسليم",COUNTIFS($A$5:$A$1504,$A524,$D$5:$D$1504,"تسليم",$E$5:$E$1504,"&lt;="&amp;$E524)=0),"لا يوجد تسليم قبل الحركة دي",""))))))</f>
        <v/>
      </c>
    </row>
    <row r="525" customFormat="false" ht="15" hidden="false" customHeight="false" outlineLevel="0" collapsed="false">
      <c r="A525" s="20"/>
      <c r="B525" s="35" t="str">
        <f aca="false">IF($A525="","",IFERROR(INDEX(مخرج_البند,MATCH($A525,قائمة_المخرجات,0)),""))</f>
        <v/>
      </c>
      <c r="C525" s="30" t="str">
        <f aca="false">IF($A525="","",IFERROR(INDEX(مخرج_الوصف,MATCH($A525,قائمة_المخرجات,0)),""))</f>
        <v/>
      </c>
      <c r="D525" s="20"/>
      <c r="E525" s="31"/>
      <c r="F525" s="22"/>
      <c r="G525" s="36" t="str">
        <f aca="false">IF(OR($A525="",$D525&lt;&gt;"تسليم",NOT(ISNUMBER($E525))),"",COUNTIFS($A$5:$A$1504,$A525,$D$5:$D$1504,"تسليم",$E$5:$E$1504,"&lt;"&amp;$E525)+1)</f>
        <v/>
      </c>
      <c r="H525" s="33" t="str">
        <f aca="false">IF($G525="","",_xlfn.MINIFS($E$5:$E$1504,$A$5:$A$1504,$A525,$D$5:$D$1504,"&lt;&gt;تسليم",$E$5:$E$1504,"&gt;="&amp;$E525))</f>
        <v/>
      </c>
      <c r="I525" s="33" t="str">
        <f aca="false">IF($G525="","",_xlfn.MINIFS($E$5:$E$1504,$A$5:$A$1504,$A525,$D$5:$D$1504,"تسليم",$E$5:$E$1504,"&gt;"&amp;$E525))</f>
        <v/>
      </c>
      <c r="J525" s="33" t="str">
        <f aca="false">IF($G525="","",IF(H525&gt;0,IF(I525&gt;0,MIN(H525,I525),H525),IF(I525&gt;0,I525,تاريخ_الاحتساب)))</f>
        <v/>
      </c>
      <c r="K525" s="34" t="str">
        <f aca="false">IF($G525="","",IF(AND(H525=0,I525=0),"جارية","مغلقة"))</f>
        <v/>
      </c>
      <c r="L525" s="26" t="str">
        <f aca="false">IF($G525="","",MAX(0,NETWORKDAYS.INTL($E525,J525,رمز_العطلة,أيام_الأجازات)-1))</f>
        <v/>
      </c>
      <c r="M525" s="26" t="str">
        <f aca="false">IF($G525="","",MAX(0,L525-مهلة_المراجعة))</f>
        <v/>
      </c>
      <c r="N525" s="30" t="str">
        <f aca="false">IF($A525="",IF(OR($D525&lt;&gt;"",$E525&lt;&gt;""),"رقم المخرج ناقص",""),IF(ISNA(MATCH($A525,قائمة_المخرجات,0)),"رقم مخرج غير موجود",IF($D525="","نوع الحركة ناقص",IF(NOT(ISNUMBER($E525)),"التاريخ ناقص",IF($E525&gt;تاريخ_الاحتساب,"تاريخ بعد تاريخ الاحتساب",IF(AND($D525&lt;&gt;"تسليم",COUNTIFS($A$5:$A$1504,$A525,$D$5:$D$1504,"تسليم",$E$5:$E$1504,"&lt;="&amp;$E525)=0),"لا يوجد تسليم قبل الحركة دي",""))))))</f>
        <v/>
      </c>
    </row>
    <row r="526" customFormat="false" ht="15" hidden="false" customHeight="false" outlineLevel="0" collapsed="false">
      <c r="A526" s="20"/>
      <c r="B526" s="35" t="str">
        <f aca="false">IF($A526="","",IFERROR(INDEX(مخرج_البند,MATCH($A526,قائمة_المخرجات,0)),""))</f>
        <v/>
      </c>
      <c r="C526" s="30" t="str">
        <f aca="false">IF($A526="","",IFERROR(INDEX(مخرج_الوصف,MATCH($A526,قائمة_المخرجات,0)),""))</f>
        <v/>
      </c>
      <c r="D526" s="20"/>
      <c r="E526" s="31"/>
      <c r="F526" s="22"/>
      <c r="G526" s="36" t="str">
        <f aca="false">IF(OR($A526="",$D526&lt;&gt;"تسليم",NOT(ISNUMBER($E526))),"",COUNTIFS($A$5:$A$1504,$A526,$D$5:$D$1504,"تسليم",$E$5:$E$1504,"&lt;"&amp;$E526)+1)</f>
        <v/>
      </c>
      <c r="H526" s="33" t="str">
        <f aca="false">IF($G526="","",_xlfn.MINIFS($E$5:$E$1504,$A$5:$A$1504,$A526,$D$5:$D$1504,"&lt;&gt;تسليم",$E$5:$E$1504,"&gt;="&amp;$E526))</f>
        <v/>
      </c>
      <c r="I526" s="33" t="str">
        <f aca="false">IF($G526="","",_xlfn.MINIFS($E$5:$E$1504,$A$5:$A$1504,$A526,$D$5:$D$1504,"تسليم",$E$5:$E$1504,"&gt;"&amp;$E526))</f>
        <v/>
      </c>
      <c r="J526" s="33" t="str">
        <f aca="false">IF($G526="","",IF(H526&gt;0,IF(I526&gt;0,MIN(H526,I526),H526),IF(I526&gt;0,I526,تاريخ_الاحتساب)))</f>
        <v/>
      </c>
      <c r="K526" s="34" t="str">
        <f aca="false">IF($G526="","",IF(AND(H526=0,I526=0),"جارية","مغلقة"))</f>
        <v/>
      </c>
      <c r="L526" s="26" t="str">
        <f aca="false">IF($G526="","",MAX(0,NETWORKDAYS.INTL($E526,J526,رمز_العطلة,أيام_الأجازات)-1))</f>
        <v/>
      </c>
      <c r="M526" s="26" t="str">
        <f aca="false">IF($G526="","",MAX(0,L526-مهلة_المراجعة))</f>
        <v/>
      </c>
      <c r="N526" s="30" t="str">
        <f aca="false">IF($A526="",IF(OR($D526&lt;&gt;"",$E526&lt;&gt;""),"رقم المخرج ناقص",""),IF(ISNA(MATCH($A526,قائمة_المخرجات,0)),"رقم مخرج غير موجود",IF($D526="","نوع الحركة ناقص",IF(NOT(ISNUMBER($E526)),"التاريخ ناقص",IF($E526&gt;تاريخ_الاحتساب,"تاريخ بعد تاريخ الاحتساب",IF(AND($D526&lt;&gt;"تسليم",COUNTIFS($A$5:$A$1504,$A526,$D$5:$D$1504,"تسليم",$E$5:$E$1504,"&lt;="&amp;$E526)=0),"لا يوجد تسليم قبل الحركة دي",""))))))</f>
        <v/>
      </c>
    </row>
    <row r="527" customFormat="false" ht="15" hidden="false" customHeight="false" outlineLevel="0" collapsed="false">
      <c r="A527" s="20"/>
      <c r="B527" s="35" t="str">
        <f aca="false">IF($A527="","",IFERROR(INDEX(مخرج_البند,MATCH($A527,قائمة_المخرجات,0)),""))</f>
        <v/>
      </c>
      <c r="C527" s="30" t="str">
        <f aca="false">IF($A527="","",IFERROR(INDEX(مخرج_الوصف,MATCH($A527,قائمة_المخرجات,0)),""))</f>
        <v/>
      </c>
      <c r="D527" s="20"/>
      <c r="E527" s="31"/>
      <c r="F527" s="22"/>
      <c r="G527" s="36" t="str">
        <f aca="false">IF(OR($A527="",$D527&lt;&gt;"تسليم",NOT(ISNUMBER($E527))),"",COUNTIFS($A$5:$A$1504,$A527,$D$5:$D$1504,"تسليم",$E$5:$E$1504,"&lt;"&amp;$E527)+1)</f>
        <v/>
      </c>
      <c r="H527" s="33" t="str">
        <f aca="false">IF($G527="","",_xlfn.MINIFS($E$5:$E$1504,$A$5:$A$1504,$A527,$D$5:$D$1504,"&lt;&gt;تسليم",$E$5:$E$1504,"&gt;="&amp;$E527))</f>
        <v/>
      </c>
      <c r="I527" s="33" t="str">
        <f aca="false">IF($G527="","",_xlfn.MINIFS($E$5:$E$1504,$A$5:$A$1504,$A527,$D$5:$D$1504,"تسليم",$E$5:$E$1504,"&gt;"&amp;$E527))</f>
        <v/>
      </c>
      <c r="J527" s="33" t="str">
        <f aca="false">IF($G527="","",IF(H527&gt;0,IF(I527&gt;0,MIN(H527,I527),H527),IF(I527&gt;0,I527,تاريخ_الاحتساب)))</f>
        <v/>
      </c>
      <c r="K527" s="34" t="str">
        <f aca="false">IF($G527="","",IF(AND(H527=0,I527=0),"جارية","مغلقة"))</f>
        <v/>
      </c>
      <c r="L527" s="26" t="str">
        <f aca="false">IF($G527="","",MAX(0,NETWORKDAYS.INTL($E527,J527,رمز_العطلة,أيام_الأجازات)-1))</f>
        <v/>
      </c>
      <c r="M527" s="26" t="str">
        <f aca="false">IF($G527="","",MAX(0,L527-مهلة_المراجعة))</f>
        <v/>
      </c>
      <c r="N527" s="30" t="str">
        <f aca="false">IF($A527="",IF(OR($D527&lt;&gt;"",$E527&lt;&gt;""),"رقم المخرج ناقص",""),IF(ISNA(MATCH($A527,قائمة_المخرجات,0)),"رقم مخرج غير موجود",IF($D527="","نوع الحركة ناقص",IF(NOT(ISNUMBER($E527)),"التاريخ ناقص",IF($E527&gt;تاريخ_الاحتساب,"تاريخ بعد تاريخ الاحتساب",IF(AND($D527&lt;&gt;"تسليم",COUNTIFS($A$5:$A$1504,$A527,$D$5:$D$1504,"تسليم",$E$5:$E$1504,"&lt;="&amp;$E527)=0),"لا يوجد تسليم قبل الحركة دي",""))))))</f>
        <v/>
      </c>
    </row>
    <row r="528" customFormat="false" ht="15" hidden="false" customHeight="false" outlineLevel="0" collapsed="false">
      <c r="A528" s="20"/>
      <c r="B528" s="35" t="str">
        <f aca="false">IF($A528="","",IFERROR(INDEX(مخرج_البند,MATCH($A528,قائمة_المخرجات,0)),""))</f>
        <v/>
      </c>
      <c r="C528" s="30" t="str">
        <f aca="false">IF($A528="","",IFERROR(INDEX(مخرج_الوصف,MATCH($A528,قائمة_المخرجات,0)),""))</f>
        <v/>
      </c>
      <c r="D528" s="20"/>
      <c r="E528" s="31"/>
      <c r="F528" s="22"/>
      <c r="G528" s="36" t="str">
        <f aca="false">IF(OR($A528="",$D528&lt;&gt;"تسليم",NOT(ISNUMBER($E528))),"",COUNTIFS($A$5:$A$1504,$A528,$D$5:$D$1504,"تسليم",$E$5:$E$1504,"&lt;"&amp;$E528)+1)</f>
        <v/>
      </c>
      <c r="H528" s="33" t="str">
        <f aca="false">IF($G528="","",_xlfn.MINIFS($E$5:$E$1504,$A$5:$A$1504,$A528,$D$5:$D$1504,"&lt;&gt;تسليم",$E$5:$E$1504,"&gt;="&amp;$E528))</f>
        <v/>
      </c>
      <c r="I528" s="33" t="str">
        <f aca="false">IF($G528="","",_xlfn.MINIFS($E$5:$E$1504,$A$5:$A$1504,$A528,$D$5:$D$1504,"تسليم",$E$5:$E$1504,"&gt;"&amp;$E528))</f>
        <v/>
      </c>
      <c r="J528" s="33" t="str">
        <f aca="false">IF($G528="","",IF(H528&gt;0,IF(I528&gt;0,MIN(H528,I528),H528),IF(I528&gt;0,I528,تاريخ_الاحتساب)))</f>
        <v/>
      </c>
      <c r="K528" s="34" t="str">
        <f aca="false">IF($G528="","",IF(AND(H528=0,I528=0),"جارية","مغلقة"))</f>
        <v/>
      </c>
      <c r="L528" s="26" t="str">
        <f aca="false">IF($G528="","",MAX(0,NETWORKDAYS.INTL($E528,J528,رمز_العطلة,أيام_الأجازات)-1))</f>
        <v/>
      </c>
      <c r="M528" s="26" t="str">
        <f aca="false">IF($G528="","",MAX(0,L528-مهلة_المراجعة))</f>
        <v/>
      </c>
      <c r="N528" s="30" t="str">
        <f aca="false">IF($A528="",IF(OR($D528&lt;&gt;"",$E528&lt;&gt;""),"رقم المخرج ناقص",""),IF(ISNA(MATCH($A528,قائمة_المخرجات,0)),"رقم مخرج غير موجود",IF($D528="","نوع الحركة ناقص",IF(NOT(ISNUMBER($E528)),"التاريخ ناقص",IF($E528&gt;تاريخ_الاحتساب,"تاريخ بعد تاريخ الاحتساب",IF(AND($D528&lt;&gt;"تسليم",COUNTIFS($A$5:$A$1504,$A528,$D$5:$D$1504,"تسليم",$E$5:$E$1504,"&lt;="&amp;$E528)=0),"لا يوجد تسليم قبل الحركة دي",""))))))</f>
        <v/>
      </c>
    </row>
    <row r="529" customFormat="false" ht="15" hidden="false" customHeight="false" outlineLevel="0" collapsed="false">
      <c r="A529" s="20"/>
      <c r="B529" s="35" t="str">
        <f aca="false">IF($A529="","",IFERROR(INDEX(مخرج_البند,MATCH($A529,قائمة_المخرجات,0)),""))</f>
        <v/>
      </c>
      <c r="C529" s="30" t="str">
        <f aca="false">IF($A529="","",IFERROR(INDEX(مخرج_الوصف,MATCH($A529,قائمة_المخرجات,0)),""))</f>
        <v/>
      </c>
      <c r="D529" s="20"/>
      <c r="E529" s="31"/>
      <c r="F529" s="22"/>
      <c r="G529" s="36" t="str">
        <f aca="false">IF(OR($A529="",$D529&lt;&gt;"تسليم",NOT(ISNUMBER($E529))),"",COUNTIFS($A$5:$A$1504,$A529,$D$5:$D$1504,"تسليم",$E$5:$E$1504,"&lt;"&amp;$E529)+1)</f>
        <v/>
      </c>
      <c r="H529" s="33" t="str">
        <f aca="false">IF($G529="","",_xlfn.MINIFS($E$5:$E$1504,$A$5:$A$1504,$A529,$D$5:$D$1504,"&lt;&gt;تسليم",$E$5:$E$1504,"&gt;="&amp;$E529))</f>
        <v/>
      </c>
      <c r="I529" s="33" t="str">
        <f aca="false">IF($G529="","",_xlfn.MINIFS($E$5:$E$1504,$A$5:$A$1504,$A529,$D$5:$D$1504,"تسليم",$E$5:$E$1504,"&gt;"&amp;$E529))</f>
        <v/>
      </c>
      <c r="J529" s="33" t="str">
        <f aca="false">IF($G529="","",IF(H529&gt;0,IF(I529&gt;0,MIN(H529,I529),H529),IF(I529&gt;0,I529,تاريخ_الاحتساب)))</f>
        <v/>
      </c>
      <c r="K529" s="34" t="str">
        <f aca="false">IF($G529="","",IF(AND(H529=0,I529=0),"جارية","مغلقة"))</f>
        <v/>
      </c>
      <c r="L529" s="26" t="str">
        <f aca="false">IF($G529="","",MAX(0,NETWORKDAYS.INTL($E529,J529,رمز_العطلة,أيام_الأجازات)-1))</f>
        <v/>
      </c>
      <c r="M529" s="26" t="str">
        <f aca="false">IF($G529="","",MAX(0,L529-مهلة_المراجعة))</f>
        <v/>
      </c>
      <c r="N529" s="30" t="str">
        <f aca="false">IF($A529="",IF(OR($D529&lt;&gt;"",$E529&lt;&gt;""),"رقم المخرج ناقص",""),IF(ISNA(MATCH($A529,قائمة_المخرجات,0)),"رقم مخرج غير موجود",IF($D529="","نوع الحركة ناقص",IF(NOT(ISNUMBER($E529)),"التاريخ ناقص",IF($E529&gt;تاريخ_الاحتساب,"تاريخ بعد تاريخ الاحتساب",IF(AND($D529&lt;&gt;"تسليم",COUNTIFS($A$5:$A$1504,$A529,$D$5:$D$1504,"تسليم",$E$5:$E$1504,"&lt;="&amp;$E529)=0),"لا يوجد تسليم قبل الحركة دي",""))))))</f>
        <v/>
      </c>
    </row>
    <row r="530" customFormat="false" ht="15" hidden="false" customHeight="false" outlineLevel="0" collapsed="false">
      <c r="A530" s="20"/>
      <c r="B530" s="35" t="str">
        <f aca="false">IF($A530="","",IFERROR(INDEX(مخرج_البند,MATCH($A530,قائمة_المخرجات,0)),""))</f>
        <v/>
      </c>
      <c r="C530" s="30" t="str">
        <f aca="false">IF($A530="","",IFERROR(INDEX(مخرج_الوصف,MATCH($A530,قائمة_المخرجات,0)),""))</f>
        <v/>
      </c>
      <c r="D530" s="20"/>
      <c r="E530" s="31"/>
      <c r="F530" s="22"/>
      <c r="G530" s="36" t="str">
        <f aca="false">IF(OR($A530="",$D530&lt;&gt;"تسليم",NOT(ISNUMBER($E530))),"",COUNTIFS($A$5:$A$1504,$A530,$D$5:$D$1504,"تسليم",$E$5:$E$1504,"&lt;"&amp;$E530)+1)</f>
        <v/>
      </c>
      <c r="H530" s="33" t="str">
        <f aca="false">IF($G530="","",_xlfn.MINIFS($E$5:$E$1504,$A$5:$A$1504,$A530,$D$5:$D$1504,"&lt;&gt;تسليم",$E$5:$E$1504,"&gt;="&amp;$E530))</f>
        <v/>
      </c>
      <c r="I530" s="33" t="str">
        <f aca="false">IF($G530="","",_xlfn.MINIFS($E$5:$E$1504,$A$5:$A$1504,$A530,$D$5:$D$1504,"تسليم",$E$5:$E$1504,"&gt;"&amp;$E530))</f>
        <v/>
      </c>
      <c r="J530" s="33" t="str">
        <f aca="false">IF($G530="","",IF(H530&gt;0,IF(I530&gt;0,MIN(H530,I530),H530),IF(I530&gt;0,I530,تاريخ_الاحتساب)))</f>
        <v/>
      </c>
      <c r="K530" s="34" t="str">
        <f aca="false">IF($G530="","",IF(AND(H530=0,I530=0),"جارية","مغلقة"))</f>
        <v/>
      </c>
      <c r="L530" s="26" t="str">
        <f aca="false">IF($G530="","",MAX(0,NETWORKDAYS.INTL($E530,J530,رمز_العطلة,أيام_الأجازات)-1))</f>
        <v/>
      </c>
      <c r="M530" s="26" t="str">
        <f aca="false">IF($G530="","",MAX(0,L530-مهلة_المراجعة))</f>
        <v/>
      </c>
      <c r="N530" s="30" t="str">
        <f aca="false">IF($A530="",IF(OR($D530&lt;&gt;"",$E530&lt;&gt;""),"رقم المخرج ناقص",""),IF(ISNA(MATCH($A530,قائمة_المخرجات,0)),"رقم مخرج غير موجود",IF($D530="","نوع الحركة ناقص",IF(NOT(ISNUMBER($E530)),"التاريخ ناقص",IF($E530&gt;تاريخ_الاحتساب,"تاريخ بعد تاريخ الاحتساب",IF(AND($D530&lt;&gt;"تسليم",COUNTIFS($A$5:$A$1504,$A530,$D$5:$D$1504,"تسليم",$E$5:$E$1504,"&lt;="&amp;$E530)=0),"لا يوجد تسليم قبل الحركة دي",""))))))</f>
        <v/>
      </c>
    </row>
    <row r="531" customFormat="false" ht="15" hidden="false" customHeight="false" outlineLevel="0" collapsed="false">
      <c r="A531" s="20"/>
      <c r="B531" s="35" t="str">
        <f aca="false">IF($A531="","",IFERROR(INDEX(مخرج_البند,MATCH($A531,قائمة_المخرجات,0)),""))</f>
        <v/>
      </c>
      <c r="C531" s="30" t="str">
        <f aca="false">IF($A531="","",IFERROR(INDEX(مخرج_الوصف,MATCH($A531,قائمة_المخرجات,0)),""))</f>
        <v/>
      </c>
      <c r="D531" s="20"/>
      <c r="E531" s="31"/>
      <c r="F531" s="22"/>
      <c r="G531" s="36" t="str">
        <f aca="false">IF(OR($A531="",$D531&lt;&gt;"تسليم",NOT(ISNUMBER($E531))),"",COUNTIFS($A$5:$A$1504,$A531,$D$5:$D$1504,"تسليم",$E$5:$E$1504,"&lt;"&amp;$E531)+1)</f>
        <v/>
      </c>
      <c r="H531" s="33" t="str">
        <f aca="false">IF($G531="","",_xlfn.MINIFS($E$5:$E$1504,$A$5:$A$1504,$A531,$D$5:$D$1504,"&lt;&gt;تسليم",$E$5:$E$1504,"&gt;="&amp;$E531))</f>
        <v/>
      </c>
      <c r="I531" s="33" t="str">
        <f aca="false">IF($G531="","",_xlfn.MINIFS($E$5:$E$1504,$A$5:$A$1504,$A531,$D$5:$D$1504,"تسليم",$E$5:$E$1504,"&gt;"&amp;$E531))</f>
        <v/>
      </c>
      <c r="J531" s="33" t="str">
        <f aca="false">IF($G531="","",IF(H531&gt;0,IF(I531&gt;0,MIN(H531,I531),H531),IF(I531&gt;0,I531,تاريخ_الاحتساب)))</f>
        <v/>
      </c>
      <c r="K531" s="34" t="str">
        <f aca="false">IF($G531="","",IF(AND(H531=0,I531=0),"جارية","مغلقة"))</f>
        <v/>
      </c>
      <c r="L531" s="26" t="str">
        <f aca="false">IF($G531="","",MAX(0,NETWORKDAYS.INTL($E531,J531,رمز_العطلة,أيام_الأجازات)-1))</f>
        <v/>
      </c>
      <c r="M531" s="26" t="str">
        <f aca="false">IF($G531="","",MAX(0,L531-مهلة_المراجعة))</f>
        <v/>
      </c>
      <c r="N531" s="30" t="str">
        <f aca="false">IF($A531="",IF(OR($D531&lt;&gt;"",$E531&lt;&gt;""),"رقم المخرج ناقص",""),IF(ISNA(MATCH($A531,قائمة_المخرجات,0)),"رقم مخرج غير موجود",IF($D531="","نوع الحركة ناقص",IF(NOT(ISNUMBER($E531)),"التاريخ ناقص",IF($E531&gt;تاريخ_الاحتساب,"تاريخ بعد تاريخ الاحتساب",IF(AND($D531&lt;&gt;"تسليم",COUNTIFS($A$5:$A$1504,$A531,$D$5:$D$1504,"تسليم",$E$5:$E$1504,"&lt;="&amp;$E531)=0),"لا يوجد تسليم قبل الحركة دي",""))))))</f>
        <v/>
      </c>
    </row>
    <row r="532" customFormat="false" ht="15" hidden="false" customHeight="false" outlineLevel="0" collapsed="false">
      <c r="A532" s="20"/>
      <c r="B532" s="35" t="str">
        <f aca="false">IF($A532="","",IFERROR(INDEX(مخرج_البند,MATCH($A532,قائمة_المخرجات,0)),""))</f>
        <v/>
      </c>
      <c r="C532" s="30" t="str">
        <f aca="false">IF($A532="","",IFERROR(INDEX(مخرج_الوصف,MATCH($A532,قائمة_المخرجات,0)),""))</f>
        <v/>
      </c>
      <c r="D532" s="20"/>
      <c r="E532" s="31"/>
      <c r="F532" s="22"/>
      <c r="G532" s="36" t="str">
        <f aca="false">IF(OR($A532="",$D532&lt;&gt;"تسليم",NOT(ISNUMBER($E532))),"",COUNTIFS($A$5:$A$1504,$A532,$D$5:$D$1504,"تسليم",$E$5:$E$1504,"&lt;"&amp;$E532)+1)</f>
        <v/>
      </c>
      <c r="H532" s="33" t="str">
        <f aca="false">IF($G532="","",_xlfn.MINIFS($E$5:$E$1504,$A$5:$A$1504,$A532,$D$5:$D$1504,"&lt;&gt;تسليم",$E$5:$E$1504,"&gt;="&amp;$E532))</f>
        <v/>
      </c>
      <c r="I532" s="33" t="str">
        <f aca="false">IF($G532="","",_xlfn.MINIFS($E$5:$E$1504,$A$5:$A$1504,$A532,$D$5:$D$1504,"تسليم",$E$5:$E$1504,"&gt;"&amp;$E532))</f>
        <v/>
      </c>
      <c r="J532" s="33" t="str">
        <f aca="false">IF($G532="","",IF(H532&gt;0,IF(I532&gt;0,MIN(H532,I532),H532),IF(I532&gt;0,I532,تاريخ_الاحتساب)))</f>
        <v/>
      </c>
      <c r="K532" s="34" t="str">
        <f aca="false">IF($G532="","",IF(AND(H532=0,I532=0),"جارية","مغلقة"))</f>
        <v/>
      </c>
      <c r="L532" s="26" t="str">
        <f aca="false">IF($G532="","",MAX(0,NETWORKDAYS.INTL($E532,J532,رمز_العطلة,أيام_الأجازات)-1))</f>
        <v/>
      </c>
      <c r="M532" s="26" t="str">
        <f aca="false">IF($G532="","",MAX(0,L532-مهلة_المراجعة))</f>
        <v/>
      </c>
      <c r="N532" s="30" t="str">
        <f aca="false">IF($A532="",IF(OR($D532&lt;&gt;"",$E532&lt;&gt;""),"رقم المخرج ناقص",""),IF(ISNA(MATCH($A532,قائمة_المخرجات,0)),"رقم مخرج غير موجود",IF($D532="","نوع الحركة ناقص",IF(NOT(ISNUMBER($E532)),"التاريخ ناقص",IF($E532&gt;تاريخ_الاحتساب,"تاريخ بعد تاريخ الاحتساب",IF(AND($D532&lt;&gt;"تسليم",COUNTIFS($A$5:$A$1504,$A532,$D$5:$D$1504,"تسليم",$E$5:$E$1504,"&lt;="&amp;$E532)=0),"لا يوجد تسليم قبل الحركة دي",""))))))</f>
        <v/>
      </c>
    </row>
    <row r="533" customFormat="false" ht="15" hidden="false" customHeight="false" outlineLevel="0" collapsed="false">
      <c r="A533" s="20"/>
      <c r="B533" s="35" t="str">
        <f aca="false">IF($A533="","",IFERROR(INDEX(مخرج_البند,MATCH($A533,قائمة_المخرجات,0)),""))</f>
        <v/>
      </c>
      <c r="C533" s="30" t="str">
        <f aca="false">IF($A533="","",IFERROR(INDEX(مخرج_الوصف,MATCH($A533,قائمة_المخرجات,0)),""))</f>
        <v/>
      </c>
      <c r="D533" s="20"/>
      <c r="E533" s="31"/>
      <c r="F533" s="22"/>
      <c r="G533" s="36" t="str">
        <f aca="false">IF(OR($A533="",$D533&lt;&gt;"تسليم",NOT(ISNUMBER($E533))),"",COUNTIFS($A$5:$A$1504,$A533,$D$5:$D$1504,"تسليم",$E$5:$E$1504,"&lt;"&amp;$E533)+1)</f>
        <v/>
      </c>
      <c r="H533" s="33" t="str">
        <f aca="false">IF($G533="","",_xlfn.MINIFS($E$5:$E$1504,$A$5:$A$1504,$A533,$D$5:$D$1504,"&lt;&gt;تسليم",$E$5:$E$1504,"&gt;="&amp;$E533))</f>
        <v/>
      </c>
      <c r="I533" s="33" t="str">
        <f aca="false">IF($G533="","",_xlfn.MINIFS($E$5:$E$1504,$A$5:$A$1504,$A533,$D$5:$D$1504,"تسليم",$E$5:$E$1504,"&gt;"&amp;$E533))</f>
        <v/>
      </c>
      <c r="J533" s="33" t="str">
        <f aca="false">IF($G533="","",IF(H533&gt;0,IF(I533&gt;0,MIN(H533,I533),H533),IF(I533&gt;0,I533,تاريخ_الاحتساب)))</f>
        <v/>
      </c>
      <c r="K533" s="34" t="str">
        <f aca="false">IF($G533="","",IF(AND(H533=0,I533=0),"جارية","مغلقة"))</f>
        <v/>
      </c>
      <c r="L533" s="26" t="str">
        <f aca="false">IF($G533="","",MAX(0,NETWORKDAYS.INTL($E533,J533,رمز_العطلة,أيام_الأجازات)-1))</f>
        <v/>
      </c>
      <c r="M533" s="26" t="str">
        <f aca="false">IF($G533="","",MAX(0,L533-مهلة_المراجعة))</f>
        <v/>
      </c>
      <c r="N533" s="30" t="str">
        <f aca="false">IF($A533="",IF(OR($D533&lt;&gt;"",$E533&lt;&gt;""),"رقم المخرج ناقص",""),IF(ISNA(MATCH($A533,قائمة_المخرجات,0)),"رقم مخرج غير موجود",IF($D533="","نوع الحركة ناقص",IF(NOT(ISNUMBER($E533)),"التاريخ ناقص",IF($E533&gt;تاريخ_الاحتساب,"تاريخ بعد تاريخ الاحتساب",IF(AND($D533&lt;&gt;"تسليم",COUNTIFS($A$5:$A$1504,$A533,$D$5:$D$1504,"تسليم",$E$5:$E$1504,"&lt;="&amp;$E533)=0),"لا يوجد تسليم قبل الحركة دي",""))))))</f>
        <v/>
      </c>
    </row>
    <row r="534" customFormat="false" ht="15" hidden="false" customHeight="false" outlineLevel="0" collapsed="false">
      <c r="A534" s="20"/>
      <c r="B534" s="35" t="str">
        <f aca="false">IF($A534="","",IFERROR(INDEX(مخرج_البند,MATCH($A534,قائمة_المخرجات,0)),""))</f>
        <v/>
      </c>
      <c r="C534" s="30" t="str">
        <f aca="false">IF($A534="","",IFERROR(INDEX(مخرج_الوصف,MATCH($A534,قائمة_المخرجات,0)),""))</f>
        <v/>
      </c>
      <c r="D534" s="20"/>
      <c r="E534" s="31"/>
      <c r="F534" s="22"/>
      <c r="G534" s="36" t="str">
        <f aca="false">IF(OR($A534="",$D534&lt;&gt;"تسليم",NOT(ISNUMBER($E534))),"",COUNTIFS($A$5:$A$1504,$A534,$D$5:$D$1504,"تسليم",$E$5:$E$1504,"&lt;"&amp;$E534)+1)</f>
        <v/>
      </c>
      <c r="H534" s="33" t="str">
        <f aca="false">IF($G534="","",_xlfn.MINIFS($E$5:$E$1504,$A$5:$A$1504,$A534,$D$5:$D$1504,"&lt;&gt;تسليم",$E$5:$E$1504,"&gt;="&amp;$E534))</f>
        <v/>
      </c>
      <c r="I534" s="33" t="str">
        <f aca="false">IF($G534="","",_xlfn.MINIFS($E$5:$E$1504,$A$5:$A$1504,$A534,$D$5:$D$1504,"تسليم",$E$5:$E$1504,"&gt;"&amp;$E534))</f>
        <v/>
      </c>
      <c r="J534" s="33" t="str">
        <f aca="false">IF($G534="","",IF(H534&gt;0,IF(I534&gt;0,MIN(H534,I534),H534),IF(I534&gt;0,I534,تاريخ_الاحتساب)))</f>
        <v/>
      </c>
      <c r="K534" s="34" t="str">
        <f aca="false">IF($G534="","",IF(AND(H534=0,I534=0),"جارية","مغلقة"))</f>
        <v/>
      </c>
      <c r="L534" s="26" t="str">
        <f aca="false">IF($G534="","",MAX(0,NETWORKDAYS.INTL($E534,J534,رمز_العطلة,أيام_الأجازات)-1))</f>
        <v/>
      </c>
      <c r="M534" s="26" t="str">
        <f aca="false">IF($G534="","",MAX(0,L534-مهلة_المراجعة))</f>
        <v/>
      </c>
      <c r="N534" s="30" t="str">
        <f aca="false">IF($A534="",IF(OR($D534&lt;&gt;"",$E534&lt;&gt;""),"رقم المخرج ناقص",""),IF(ISNA(MATCH($A534,قائمة_المخرجات,0)),"رقم مخرج غير موجود",IF($D534="","نوع الحركة ناقص",IF(NOT(ISNUMBER($E534)),"التاريخ ناقص",IF($E534&gt;تاريخ_الاحتساب,"تاريخ بعد تاريخ الاحتساب",IF(AND($D534&lt;&gt;"تسليم",COUNTIFS($A$5:$A$1504,$A534,$D$5:$D$1504,"تسليم",$E$5:$E$1504,"&lt;="&amp;$E534)=0),"لا يوجد تسليم قبل الحركة دي",""))))))</f>
        <v/>
      </c>
    </row>
    <row r="535" customFormat="false" ht="15" hidden="false" customHeight="false" outlineLevel="0" collapsed="false">
      <c r="A535" s="20"/>
      <c r="B535" s="35" t="str">
        <f aca="false">IF($A535="","",IFERROR(INDEX(مخرج_البند,MATCH($A535,قائمة_المخرجات,0)),""))</f>
        <v/>
      </c>
      <c r="C535" s="30" t="str">
        <f aca="false">IF($A535="","",IFERROR(INDEX(مخرج_الوصف,MATCH($A535,قائمة_المخرجات,0)),""))</f>
        <v/>
      </c>
      <c r="D535" s="20"/>
      <c r="E535" s="31"/>
      <c r="F535" s="22"/>
      <c r="G535" s="36" t="str">
        <f aca="false">IF(OR($A535="",$D535&lt;&gt;"تسليم",NOT(ISNUMBER($E535))),"",COUNTIFS($A$5:$A$1504,$A535,$D$5:$D$1504,"تسليم",$E$5:$E$1504,"&lt;"&amp;$E535)+1)</f>
        <v/>
      </c>
      <c r="H535" s="33" t="str">
        <f aca="false">IF($G535="","",_xlfn.MINIFS($E$5:$E$1504,$A$5:$A$1504,$A535,$D$5:$D$1504,"&lt;&gt;تسليم",$E$5:$E$1504,"&gt;="&amp;$E535))</f>
        <v/>
      </c>
      <c r="I535" s="33" t="str">
        <f aca="false">IF($G535="","",_xlfn.MINIFS($E$5:$E$1504,$A$5:$A$1504,$A535,$D$5:$D$1504,"تسليم",$E$5:$E$1504,"&gt;"&amp;$E535))</f>
        <v/>
      </c>
      <c r="J535" s="33" t="str">
        <f aca="false">IF($G535="","",IF(H535&gt;0,IF(I535&gt;0,MIN(H535,I535),H535),IF(I535&gt;0,I535,تاريخ_الاحتساب)))</f>
        <v/>
      </c>
      <c r="K535" s="34" t="str">
        <f aca="false">IF($G535="","",IF(AND(H535=0,I535=0),"جارية","مغلقة"))</f>
        <v/>
      </c>
      <c r="L535" s="26" t="str">
        <f aca="false">IF($G535="","",MAX(0,NETWORKDAYS.INTL($E535,J535,رمز_العطلة,أيام_الأجازات)-1))</f>
        <v/>
      </c>
      <c r="M535" s="26" t="str">
        <f aca="false">IF($G535="","",MAX(0,L535-مهلة_المراجعة))</f>
        <v/>
      </c>
      <c r="N535" s="30" t="str">
        <f aca="false">IF($A535="",IF(OR($D535&lt;&gt;"",$E535&lt;&gt;""),"رقم المخرج ناقص",""),IF(ISNA(MATCH($A535,قائمة_المخرجات,0)),"رقم مخرج غير موجود",IF($D535="","نوع الحركة ناقص",IF(NOT(ISNUMBER($E535)),"التاريخ ناقص",IF($E535&gt;تاريخ_الاحتساب,"تاريخ بعد تاريخ الاحتساب",IF(AND($D535&lt;&gt;"تسليم",COUNTIFS($A$5:$A$1504,$A535,$D$5:$D$1504,"تسليم",$E$5:$E$1504,"&lt;="&amp;$E535)=0),"لا يوجد تسليم قبل الحركة دي",""))))))</f>
        <v/>
      </c>
    </row>
    <row r="536" customFormat="false" ht="15" hidden="false" customHeight="false" outlineLevel="0" collapsed="false">
      <c r="A536" s="20"/>
      <c r="B536" s="35" t="str">
        <f aca="false">IF($A536="","",IFERROR(INDEX(مخرج_البند,MATCH($A536,قائمة_المخرجات,0)),""))</f>
        <v/>
      </c>
      <c r="C536" s="30" t="str">
        <f aca="false">IF($A536="","",IFERROR(INDEX(مخرج_الوصف,MATCH($A536,قائمة_المخرجات,0)),""))</f>
        <v/>
      </c>
      <c r="D536" s="20"/>
      <c r="E536" s="31"/>
      <c r="F536" s="22"/>
      <c r="G536" s="36" t="str">
        <f aca="false">IF(OR($A536="",$D536&lt;&gt;"تسليم",NOT(ISNUMBER($E536))),"",COUNTIFS($A$5:$A$1504,$A536,$D$5:$D$1504,"تسليم",$E$5:$E$1504,"&lt;"&amp;$E536)+1)</f>
        <v/>
      </c>
      <c r="H536" s="33" t="str">
        <f aca="false">IF($G536="","",_xlfn.MINIFS($E$5:$E$1504,$A$5:$A$1504,$A536,$D$5:$D$1504,"&lt;&gt;تسليم",$E$5:$E$1504,"&gt;="&amp;$E536))</f>
        <v/>
      </c>
      <c r="I536" s="33" t="str">
        <f aca="false">IF($G536="","",_xlfn.MINIFS($E$5:$E$1504,$A$5:$A$1504,$A536,$D$5:$D$1504,"تسليم",$E$5:$E$1504,"&gt;"&amp;$E536))</f>
        <v/>
      </c>
      <c r="J536" s="33" t="str">
        <f aca="false">IF($G536="","",IF(H536&gt;0,IF(I536&gt;0,MIN(H536,I536),H536),IF(I536&gt;0,I536,تاريخ_الاحتساب)))</f>
        <v/>
      </c>
      <c r="K536" s="34" t="str">
        <f aca="false">IF($G536="","",IF(AND(H536=0,I536=0),"جارية","مغلقة"))</f>
        <v/>
      </c>
      <c r="L536" s="26" t="str">
        <f aca="false">IF($G536="","",MAX(0,NETWORKDAYS.INTL($E536,J536,رمز_العطلة,أيام_الأجازات)-1))</f>
        <v/>
      </c>
      <c r="M536" s="26" t="str">
        <f aca="false">IF($G536="","",MAX(0,L536-مهلة_المراجعة))</f>
        <v/>
      </c>
      <c r="N536" s="30" t="str">
        <f aca="false">IF($A536="",IF(OR($D536&lt;&gt;"",$E536&lt;&gt;""),"رقم المخرج ناقص",""),IF(ISNA(MATCH($A536,قائمة_المخرجات,0)),"رقم مخرج غير موجود",IF($D536="","نوع الحركة ناقص",IF(NOT(ISNUMBER($E536)),"التاريخ ناقص",IF($E536&gt;تاريخ_الاحتساب,"تاريخ بعد تاريخ الاحتساب",IF(AND($D536&lt;&gt;"تسليم",COUNTIFS($A$5:$A$1504,$A536,$D$5:$D$1504,"تسليم",$E$5:$E$1504,"&lt;="&amp;$E536)=0),"لا يوجد تسليم قبل الحركة دي",""))))))</f>
        <v/>
      </c>
    </row>
    <row r="537" customFormat="false" ht="15" hidden="false" customHeight="false" outlineLevel="0" collapsed="false">
      <c r="A537" s="20"/>
      <c r="B537" s="35" t="str">
        <f aca="false">IF($A537="","",IFERROR(INDEX(مخرج_البند,MATCH($A537,قائمة_المخرجات,0)),""))</f>
        <v/>
      </c>
      <c r="C537" s="30" t="str">
        <f aca="false">IF($A537="","",IFERROR(INDEX(مخرج_الوصف,MATCH($A537,قائمة_المخرجات,0)),""))</f>
        <v/>
      </c>
      <c r="D537" s="20"/>
      <c r="E537" s="31"/>
      <c r="F537" s="22"/>
      <c r="G537" s="36" t="str">
        <f aca="false">IF(OR($A537="",$D537&lt;&gt;"تسليم",NOT(ISNUMBER($E537))),"",COUNTIFS($A$5:$A$1504,$A537,$D$5:$D$1504,"تسليم",$E$5:$E$1504,"&lt;"&amp;$E537)+1)</f>
        <v/>
      </c>
      <c r="H537" s="33" t="str">
        <f aca="false">IF($G537="","",_xlfn.MINIFS($E$5:$E$1504,$A$5:$A$1504,$A537,$D$5:$D$1504,"&lt;&gt;تسليم",$E$5:$E$1504,"&gt;="&amp;$E537))</f>
        <v/>
      </c>
      <c r="I537" s="33" t="str">
        <f aca="false">IF($G537="","",_xlfn.MINIFS($E$5:$E$1504,$A$5:$A$1504,$A537,$D$5:$D$1504,"تسليم",$E$5:$E$1504,"&gt;"&amp;$E537))</f>
        <v/>
      </c>
      <c r="J537" s="33" t="str">
        <f aca="false">IF($G537="","",IF(H537&gt;0,IF(I537&gt;0,MIN(H537,I537),H537),IF(I537&gt;0,I537,تاريخ_الاحتساب)))</f>
        <v/>
      </c>
      <c r="K537" s="34" t="str">
        <f aca="false">IF($G537="","",IF(AND(H537=0,I537=0),"جارية","مغلقة"))</f>
        <v/>
      </c>
      <c r="L537" s="26" t="str">
        <f aca="false">IF($G537="","",MAX(0,NETWORKDAYS.INTL($E537,J537,رمز_العطلة,أيام_الأجازات)-1))</f>
        <v/>
      </c>
      <c r="M537" s="26" t="str">
        <f aca="false">IF($G537="","",MAX(0,L537-مهلة_المراجعة))</f>
        <v/>
      </c>
      <c r="N537" s="30" t="str">
        <f aca="false">IF($A537="",IF(OR($D537&lt;&gt;"",$E537&lt;&gt;""),"رقم المخرج ناقص",""),IF(ISNA(MATCH($A537,قائمة_المخرجات,0)),"رقم مخرج غير موجود",IF($D537="","نوع الحركة ناقص",IF(NOT(ISNUMBER($E537)),"التاريخ ناقص",IF($E537&gt;تاريخ_الاحتساب,"تاريخ بعد تاريخ الاحتساب",IF(AND($D537&lt;&gt;"تسليم",COUNTIFS($A$5:$A$1504,$A537,$D$5:$D$1504,"تسليم",$E$5:$E$1504,"&lt;="&amp;$E537)=0),"لا يوجد تسليم قبل الحركة دي",""))))))</f>
        <v/>
      </c>
    </row>
    <row r="538" customFormat="false" ht="15" hidden="false" customHeight="false" outlineLevel="0" collapsed="false">
      <c r="A538" s="20"/>
      <c r="B538" s="35" t="str">
        <f aca="false">IF($A538="","",IFERROR(INDEX(مخرج_البند,MATCH($A538,قائمة_المخرجات,0)),""))</f>
        <v/>
      </c>
      <c r="C538" s="30" t="str">
        <f aca="false">IF($A538="","",IFERROR(INDEX(مخرج_الوصف,MATCH($A538,قائمة_المخرجات,0)),""))</f>
        <v/>
      </c>
      <c r="D538" s="20"/>
      <c r="E538" s="31"/>
      <c r="F538" s="22"/>
      <c r="G538" s="36" t="str">
        <f aca="false">IF(OR($A538="",$D538&lt;&gt;"تسليم",NOT(ISNUMBER($E538))),"",COUNTIFS($A$5:$A$1504,$A538,$D$5:$D$1504,"تسليم",$E$5:$E$1504,"&lt;"&amp;$E538)+1)</f>
        <v/>
      </c>
      <c r="H538" s="33" t="str">
        <f aca="false">IF($G538="","",_xlfn.MINIFS($E$5:$E$1504,$A$5:$A$1504,$A538,$D$5:$D$1504,"&lt;&gt;تسليم",$E$5:$E$1504,"&gt;="&amp;$E538))</f>
        <v/>
      </c>
      <c r="I538" s="33" t="str">
        <f aca="false">IF($G538="","",_xlfn.MINIFS($E$5:$E$1504,$A$5:$A$1504,$A538,$D$5:$D$1504,"تسليم",$E$5:$E$1504,"&gt;"&amp;$E538))</f>
        <v/>
      </c>
      <c r="J538" s="33" t="str">
        <f aca="false">IF($G538="","",IF(H538&gt;0,IF(I538&gt;0,MIN(H538,I538),H538),IF(I538&gt;0,I538,تاريخ_الاحتساب)))</f>
        <v/>
      </c>
      <c r="K538" s="34" t="str">
        <f aca="false">IF($G538="","",IF(AND(H538=0,I538=0),"جارية","مغلقة"))</f>
        <v/>
      </c>
      <c r="L538" s="26" t="str">
        <f aca="false">IF($G538="","",MAX(0,NETWORKDAYS.INTL($E538,J538,رمز_العطلة,أيام_الأجازات)-1))</f>
        <v/>
      </c>
      <c r="M538" s="26" t="str">
        <f aca="false">IF($G538="","",MAX(0,L538-مهلة_المراجعة))</f>
        <v/>
      </c>
      <c r="N538" s="30" t="str">
        <f aca="false">IF($A538="",IF(OR($D538&lt;&gt;"",$E538&lt;&gt;""),"رقم المخرج ناقص",""),IF(ISNA(MATCH($A538,قائمة_المخرجات,0)),"رقم مخرج غير موجود",IF($D538="","نوع الحركة ناقص",IF(NOT(ISNUMBER($E538)),"التاريخ ناقص",IF($E538&gt;تاريخ_الاحتساب,"تاريخ بعد تاريخ الاحتساب",IF(AND($D538&lt;&gt;"تسليم",COUNTIFS($A$5:$A$1504,$A538,$D$5:$D$1504,"تسليم",$E$5:$E$1504,"&lt;="&amp;$E538)=0),"لا يوجد تسليم قبل الحركة دي",""))))))</f>
        <v/>
      </c>
    </row>
    <row r="539" customFormat="false" ht="15" hidden="false" customHeight="false" outlineLevel="0" collapsed="false">
      <c r="A539" s="20"/>
      <c r="B539" s="35" t="str">
        <f aca="false">IF($A539="","",IFERROR(INDEX(مخرج_البند,MATCH($A539,قائمة_المخرجات,0)),""))</f>
        <v/>
      </c>
      <c r="C539" s="30" t="str">
        <f aca="false">IF($A539="","",IFERROR(INDEX(مخرج_الوصف,MATCH($A539,قائمة_المخرجات,0)),""))</f>
        <v/>
      </c>
      <c r="D539" s="20"/>
      <c r="E539" s="31"/>
      <c r="F539" s="22"/>
      <c r="G539" s="36" t="str">
        <f aca="false">IF(OR($A539="",$D539&lt;&gt;"تسليم",NOT(ISNUMBER($E539))),"",COUNTIFS($A$5:$A$1504,$A539,$D$5:$D$1504,"تسليم",$E$5:$E$1504,"&lt;"&amp;$E539)+1)</f>
        <v/>
      </c>
      <c r="H539" s="33" t="str">
        <f aca="false">IF($G539="","",_xlfn.MINIFS($E$5:$E$1504,$A$5:$A$1504,$A539,$D$5:$D$1504,"&lt;&gt;تسليم",$E$5:$E$1504,"&gt;="&amp;$E539))</f>
        <v/>
      </c>
      <c r="I539" s="33" t="str">
        <f aca="false">IF($G539="","",_xlfn.MINIFS($E$5:$E$1504,$A$5:$A$1504,$A539,$D$5:$D$1504,"تسليم",$E$5:$E$1504,"&gt;"&amp;$E539))</f>
        <v/>
      </c>
      <c r="J539" s="33" t="str">
        <f aca="false">IF($G539="","",IF(H539&gt;0,IF(I539&gt;0,MIN(H539,I539),H539),IF(I539&gt;0,I539,تاريخ_الاحتساب)))</f>
        <v/>
      </c>
      <c r="K539" s="34" t="str">
        <f aca="false">IF($G539="","",IF(AND(H539=0,I539=0),"جارية","مغلقة"))</f>
        <v/>
      </c>
      <c r="L539" s="26" t="str">
        <f aca="false">IF($G539="","",MAX(0,NETWORKDAYS.INTL($E539,J539,رمز_العطلة,أيام_الأجازات)-1))</f>
        <v/>
      </c>
      <c r="M539" s="26" t="str">
        <f aca="false">IF($G539="","",MAX(0,L539-مهلة_المراجعة))</f>
        <v/>
      </c>
      <c r="N539" s="30" t="str">
        <f aca="false">IF($A539="",IF(OR($D539&lt;&gt;"",$E539&lt;&gt;""),"رقم المخرج ناقص",""),IF(ISNA(MATCH($A539,قائمة_المخرجات,0)),"رقم مخرج غير موجود",IF($D539="","نوع الحركة ناقص",IF(NOT(ISNUMBER($E539)),"التاريخ ناقص",IF($E539&gt;تاريخ_الاحتساب,"تاريخ بعد تاريخ الاحتساب",IF(AND($D539&lt;&gt;"تسليم",COUNTIFS($A$5:$A$1504,$A539,$D$5:$D$1504,"تسليم",$E$5:$E$1504,"&lt;="&amp;$E539)=0),"لا يوجد تسليم قبل الحركة دي",""))))))</f>
        <v/>
      </c>
    </row>
    <row r="540" customFormat="false" ht="15" hidden="false" customHeight="false" outlineLevel="0" collapsed="false">
      <c r="A540" s="20"/>
      <c r="B540" s="35" t="str">
        <f aca="false">IF($A540="","",IFERROR(INDEX(مخرج_البند,MATCH($A540,قائمة_المخرجات,0)),""))</f>
        <v/>
      </c>
      <c r="C540" s="30" t="str">
        <f aca="false">IF($A540="","",IFERROR(INDEX(مخرج_الوصف,MATCH($A540,قائمة_المخرجات,0)),""))</f>
        <v/>
      </c>
      <c r="D540" s="20"/>
      <c r="E540" s="31"/>
      <c r="F540" s="22"/>
      <c r="G540" s="36" t="str">
        <f aca="false">IF(OR($A540="",$D540&lt;&gt;"تسليم",NOT(ISNUMBER($E540))),"",COUNTIFS($A$5:$A$1504,$A540,$D$5:$D$1504,"تسليم",$E$5:$E$1504,"&lt;"&amp;$E540)+1)</f>
        <v/>
      </c>
      <c r="H540" s="33" t="str">
        <f aca="false">IF($G540="","",_xlfn.MINIFS($E$5:$E$1504,$A$5:$A$1504,$A540,$D$5:$D$1504,"&lt;&gt;تسليم",$E$5:$E$1504,"&gt;="&amp;$E540))</f>
        <v/>
      </c>
      <c r="I540" s="33" t="str">
        <f aca="false">IF($G540="","",_xlfn.MINIFS($E$5:$E$1504,$A$5:$A$1504,$A540,$D$5:$D$1504,"تسليم",$E$5:$E$1504,"&gt;"&amp;$E540))</f>
        <v/>
      </c>
      <c r="J540" s="33" t="str">
        <f aca="false">IF($G540="","",IF(H540&gt;0,IF(I540&gt;0,MIN(H540,I540),H540),IF(I540&gt;0,I540,تاريخ_الاحتساب)))</f>
        <v/>
      </c>
      <c r="K540" s="34" t="str">
        <f aca="false">IF($G540="","",IF(AND(H540=0,I540=0),"جارية","مغلقة"))</f>
        <v/>
      </c>
      <c r="L540" s="26" t="str">
        <f aca="false">IF($G540="","",MAX(0,NETWORKDAYS.INTL($E540,J540,رمز_العطلة,أيام_الأجازات)-1))</f>
        <v/>
      </c>
      <c r="M540" s="26" t="str">
        <f aca="false">IF($G540="","",MAX(0,L540-مهلة_المراجعة))</f>
        <v/>
      </c>
      <c r="N540" s="30" t="str">
        <f aca="false">IF($A540="",IF(OR($D540&lt;&gt;"",$E540&lt;&gt;""),"رقم المخرج ناقص",""),IF(ISNA(MATCH($A540,قائمة_المخرجات,0)),"رقم مخرج غير موجود",IF($D540="","نوع الحركة ناقص",IF(NOT(ISNUMBER($E540)),"التاريخ ناقص",IF($E540&gt;تاريخ_الاحتساب,"تاريخ بعد تاريخ الاحتساب",IF(AND($D540&lt;&gt;"تسليم",COUNTIFS($A$5:$A$1504,$A540,$D$5:$D$1504,"تسليم",$E$5:$E$1504,"&lt;="&amp;$E540)=0),"لا يوجد تسليم قبل الحركة دي",""))))))</f>
        <v/>
      </c>
    </row>
    <row r="541" customFormat="false" ht="15" hidden="false" customHeight="false" outlineLevel="0" collapsed="false">
      <c r="A541" s="20"/>
      <c r="B541" s="35" t="str">
        <f aca="false">IF($A541="","",IFERROR(INDEX(مخرج_البند,MATCH($A541,قائمة_المخرجات,0)),""))</f>
        <v/>
      </c>
      <c r="C541" s="30" t="str">
        <f aca="false">IF($A541="","",IFERROR(INDEX(مخرج_الوصف,MATCH($A541,قائمة_المخرجات,0)),""))</f>
        <v/>
      </c>
      <c r="D541" s="20"/>
      <c r="E541" s="31"/>
      <c r="F541" s="22"/>
      <c r="G541" s="36" t="str">
        <f aca="false">IF(OR($A541="",$D541&lt;&gt;"تسليم",NOT(ISNUMBER($E541))),"",COUNTIFS($A$5:$A$1504,$A541,$D$5:$D$1504,"تسليم",$E$5:$E$1504,"&lt;"&amp;$E541)+1)</f>
        <v/>
      </c>
      <c r="H541" s="33" t="str">
        <f aca="false">IF($G541="","",_xlfn.MINIFS($E$5:$E$1504,$A$5:$A$1504,$A541,$D$5:$D$1504,"&lt;&gt;تسليم",$E$5:$E$1504,"&gt;="&amp;$E541))</f>
        <v/>
      </c>
      <c r="I541" s="33" t="str">
        <f aca="false">IF($G541="","",_xlfn.MINIFS($E$5:$E$1504,$A$5:$A$1504,$A541,$D$5:$D$1504,"تسليم",$E$5:$E$1504,"&gt;"&amp;$E541))</f>
        <v/>
      </c>
      <c r="J541" s="33" t="str">
        <f aca="false">IF($G541="","",IF(H541&gt;0,IF(I541&gt;0,MIN(H541,I541),H541),IF(I541&gt;0,I541,تاريخ_الاحتساب)))</f>
        <v/>
      </c>
      <c r="K541" s="34" t="str">
        <f aca="false">IF($G541="","",IF(AND(H541=0,I541=0),"جارية","مغلقة"))</f>
        <v/>
      </c>
      <c r="L541" s="26" t="str">
        <f aca="false">IF($G541="","",MAX(0,NETWORKDAYS.INTL($E541,J541,رمز_العطلة,أيام_الأجازات)-1))</f>
        <v/>
      </c>
      <c r="M541" s="26" t="str">
        <f aca="false">IF($G541="","",MAX(0,L541-مهلة_المراجعة))</f>
        <v/>
      </c>
      <c r="N541" s="30" t="str">
        <f aca="false">IF($A541="",IF(OR($D541&lt;&gt;"",$E541&lt;&gt;""),"رقم المخرج ناقص",""),IF(ISNA(MATCH($A541,قائمة_المخرجات,0)),"رقم مخرج غير موجود",IF($D541="","نوع الحركة ناقص",IF(NOT(ISNUMBER($E541)),"التاريخ ناقص",IF($E541&gt;تاريخ_الاحتساب,"تاريخ بعد تاريخ الاحتساب",IF(AND($D541&lt;&gt;"تسليم",COUNTIFS($A$5:$A$1504,$A541,$D$5:$D$1504,"تسليم",$E$5:$E$1504,"&lt;="&amp;$E541)=0),"لا يوجد تسليم قبل الحركة دي",""))))))</f>
        <v/>
      </c>
    </row>
    <row r="542" customFormat="false" ht="15" hidden="false" customHeight="false" outlineLevel="0" collapsed="false">
      <c r="A542" s="20"/>
      <c r="B542" s="35" t="str">
        <f aca="false">IF($A542="","",IFERROR(INDEX(مخرج_البند,MATCH($A542,قائمة_المخرجات,0)),""))</f>
        <v/>
      </c>
      <c r="C542" s="30" t="str">
        <f aca="false">IF($A542="","",IFERROR(INDEX(مخرج_الوصف,MATCH($A542,قائمة_المخرجات,0)),""))</f>
        <v/>
      </c>
      <c r="D542" s="20"/>
      <c r="E542" s="31"/>
      <c r="F542" s="22"/>
      <c r="G542" s="36" t="str">
        <f aca="false">IF(OR($A542="",$D542&lt;&gt;"تسليم",NOT(ISNUMBER($E542))),"",COUNTIFS($A$5:$A$1504,$A542,$D$5:$D$1504,"تسليم",$E$5:$E$1504,"&lt;"&amp;$E542)+1)</f>
        <v/>
      </c>
      <c r="H542" s="33" t="str">
        <f aca="false">IF($G542="","",_xlfn.MINIFS($E$5:$E$1504,$A$5:$A$1504,$A542,$D$5:$D$1504,"&lt;&gt;تسليم",$E$5:$E$1504,"&gt;="&amp;$E542))</f>
        <v/>
      </c>
      <c r="I542" s="33" t="str">
        <f aca="false">IF($G542="","",_xlfn.MINIFS($E$5:$E$1504,$A$5:$A$1504,$A542,$D$5:$D$1504,"تسليم",$E$5:$E$1504,"&gt;"&amp;$E542))</f>
        <v/>
      </c>
      <c r="J542" s="33" t="str">
        <f aca="false">IF($G542="","",IF(H542&gt;0,IF(I542&gt;0,MIN(H542,I542),H542),IF(I542&gt;0,I542,تاريخ_الاحتساب)))</f>
        <v/>
      </c>
      <c r="K542" s="34" t="str">
        <f aca="false">IF($G542="","",IF(AND(H542=0,I542=0),"جارية","مغلقة"))</f>
        <v/>
      </c>
      <c r="L542" s="26" t="str">
        <f aca="false">IF($G542="","",MAX(0,NETWORKDAYS.INTL($E542,J542,رمز_العطلة,أيام_الأجازات)-1))</f>
        <v/>
      </c>
      <c r="M542" s="26" t="str">
        <f aca="false">IF($G542="","",MAX(0,L542-مهلة_المراجعة))</f>
        <v/>
      </c>
      <c r="N542" s="30" t="str">
        <f aca="false">IF($A542="",IF(OR($D542&lt;&gt;"",$E542&lt;&gt;""),"رقم المخرج ناقص",""),IF(ISNA(MATCH($A542,قائمة_المخرجات,0)),"رقم مخرج غير موجود",IF($D542="","نوع الحركة ناقص",IF(NOT(ISNUMBER($E542)),"التاريخ ناقص",IF($E542&gt;تاريخ_الاحتساب,"تاريخ بعد تاريخ الاحتساب",IF(AND($D542&lt;&gt;"تسليم",COUNTIFS($A$5:$A$1504,$A542,$D$5:$D$1504,"تسليم",$E$5:$E$1504,"&lt;="&amp;$E542)=0),"لا يوجد تسليم قبل الحركة دي",""))))))</f>
        <v/>
      </c>
    </row>
    <row r="543" customFormat="false" ht="15" hidden="false" customHeight="false" outlineLevel="0" collapsed="false">
      <c r="A543" s="20"/>
      <c r="B543" s="35" t="str">
        <f aca="false">IF($A543="","",IFERROR(INDEX(مخرج_البند,MATCH($A543,قائمة_المخرجات,0)),""))</f>
        <v/>
      </c>
      <c r="C543" s="30" t="str">
        <f aca="false">IF($A543="","",IFERROR(INDEX(مخرج_الوصف,MATCH($A543,قائمة_المخرجات,0)),""))</f>
        <v/>
      </c>
      <c r="D543" s="20"/>
      <c r="E543" s="31"/>
      <c r="F543" s="22"/>
      <c r="G543" s="36" t="str">
        <f aca="false">IF(OR($A543="",$D543&lt;&gt;"تسليم",NOT(ISNUMBER($E543))),"",COUNTIFS($A$5:$A$1504,$A543,$D$5:$D$1504,"تسليم",$E$5:$E$1504,"&lt;"&amp;$E543)+1)</f>
        <v/>
      </c>
      <c r="H543" s="33" t="str">
        <f aca="false">IF($G543="","",_xlfn.MINIFS($E$5:$E$1504,$A$5:$A$1504,$A543,$D$5:$D$1504,"&lt;&gt;تسليم",$E$5:$E$1504,"&gt;="&amp;$E543))</f>
        <v/>
      </c>
      <c r="I543" s="33" t="str">
        <f aca="false">IF($G543="","",_xlfn.MINIFS($E$5:$E$1504,$A$5:$A$1504,$A543,$D$5:$D$1504,"تسليم",$E$5:$E$1504,"&gt;"&amp;$E543))</f>
        <v/>
      </c>
      <c r="J543" s="33" t="str">
        <f aca="false">IF($G543="","",IF(H543&gt;0,IF(I543&gt;0,MIN(H543,I543),H543),IF(I543&gt;0,I543,تاريخ_الاحتساب)))</f>
        <v/>
      </c>
      <c r="K543" s="34" t="str">
        <f aca="false">IF($G543="","",IF(AND(H543=0,I543=0),"جارية","مغلقة"))</f>
        <v/>
      </c>
      <c r="L543" s="26" t="str">
        <f aca="false">IF($G543="","",MAX(0,NETWORKDAYS.INTL($E543,J543,رمز_العطلة,أيام_الأجازات)-1))</f>
        <v/>
      </c>
      <c r="M543" s="26" t="str">
        <f aca="false">IF($G543="","",MAX(0,L543-مهلة_المراجعة))</f>
        <v/>
      </c>
      <c r="N543" s="30" t="str">
        <f aca="false">IF($A543="",IF(OR($D543&lt;&gt;"",$E543&lt;&gt;""),"رقم المخرج ناقص",""),IF(ISNA(MATCH($A543,قائمة_المخرجات,0)),"رقم مخرج غير موجود",IF($D543="","نوع الحركة ناقص",IF(NOT(ISNUMBER($E543)),"التاريخ ناقص",IF($E543&gt;تاريخ_الاحتساب,"تاريخ بعد تاريخ الاحتساب",IF(AND($D543&lt;&gt;"تسليم",COUNTIFS($A$5:$A$1504,$A543,$D$5:$D$1504,"تسليم",$E$5:$E$1504,"&lt;="&amp;$E543)=0),"لا يوجد تسليم قبل الحركة دي",""))))))</f>
        <v/>
      </c>
    </row>
    <row r="544" customFormat="false" ht="15" hidden="false" customHeight="false" outlineLevel="0" collapsed="false">
      <c r="A544" s="20"/>
      <c r="B544" s="35" t="str">
        <f aca="false">IF($A544="","",IFERROR(INDEX(مخرج_البند,MATCH($A544,قائمة_المخرجات,0)),""))</f>
        <v/>
      </c>
      <c r="C544" s="30" t="str">
        <f aca="false">IF($A544="","",IFERROR(INDEX(مخرج_الوصف,MATCH($A544,قائمة_المخرجات,0)),""))</f>
        <v/>
      </c>
      <c r="D544" s="20"/>
      <c r="E544" s="31"/>
      <c r="F544" s="22"/>
      <c r="G544" s="36" t="str">
        <f aca="false">IF(OR($A544="",$D544&lt;&gt;"تسليم",NOT(ISNUMBER($E544))),"",COUNTIFS($A$5:$A$1504,$A544,$D$5:$D$1504,"تسليم",$E$5:$E$1504,"&lt;"&amp;$E544)+1)</f>
        <v/>
      </c>
      <c r="H544" s="33" t="str">
        <f aca="false">IF($G544="","",_xlfn.MINIFS($E$5:$E$1504,$A$5:$A$1504,$A544,$D$5:$D$1504,"&lt;&gt;تسليم",$E$5:$E$1504,"&gt;="&amp;$E544))</f>
        <v/>
      </c>
      <c r="I544" s="33" t="str">
        <f aca="false">IF($G544="","",_xlfn.MINIFS($E$5:$E$1504,$A$5:$A$1504,$A544,$D$5:$D$1504,"تسليم",$E$5:$E$1504,"&gt;"&amp;$E544))</f>
        <v/>
      </c>
      <c r="J544" s="33" t="str">
        <f aca="false">IF($G544="","",IF(H544&gt;0,IF(I544&gt;0,MIN(H544,I544),H544),IF(I544&gt;0,I544,تاريخ_الاحتساب)))</f>
        <v/>
      </c>
      <c r="K544" s="34" t="str">
        <f aca="false">IF($G544="","",IF(AND(H544=0,I544=0),"جارية","مغلقة"))</f>
        <v/>
      </c>
      <c r="L544" s="26" t="str">
        <f aca="false">IF($G544="","",MAX(0,NETWORKDAYS.INTL($E544,J544,رمز_العطلة,أيام_الأجازات)-1))</f>
        <v/>
      </c>
      <c r="M544" s="26" t="str">
        <f aca="false">IF($G544="","",MAX(0,L544-مهلة_المراجعة))</f>
        <v/>
      </c>
      <c r="N544" s="30" t="str">
        <f aca="false">IF($A544="",IF(OR($D544&lt;&gt;"",$E544&lt;&gt;""),"رقم المخرج ناقص",""),IF(ISNA(MATCH($A544,قائمة_المخرجات,0)),"رقم مخرج غير موجود",IF($D544="","نوع الحركة ناقص",IF(NOT(ISNUMBER($E544)),"التاريخ ناقص",IF($E544&gt;تاريخ_الاحتساب,"تاريخ بعد تاريخ الاحتساب",IF(AND($D544&lt;&gt;"تسليم",COUNTIFS($A$5:$A$1504,$A544,$D$5:$D$1504,"تسليم",$E$5:$E$1504,"&lt;="&amp;$E544)=0),"لا يوجد تسليم قبل الحركة دي",""))))))</f>
        <v/>
      </c>
    </row>
    <row r="545" customFormat="false" ht="15" hidden="false" customHeight="false" outlineLevel="0" collapsed="false">
      <c r="A545" s="20"/>
      <c r="B545" s="35" t="str">
        <f aca="false">IF($A545="","",IFERROR(INDEX(مخرج_البند,MATCH($A545,قائمة_المخرجات,0)),""))</f>
        <v/>
      </c>
      <c r="C545" s="30" t="str">
        <f aca="false">IF($A545="","",IFERROR(INDEX(مخرج_الوصف,MATCH($A545,قائمة_المخرجات,0)),""))</f>
        <v/>
      </c>
      <c r="D545" s="20"/>
      <c r="E545" s="31"/>
      <c r="F545" s="22"/>
      <c r="G545" s="36" t="str">
        <f aca="false">IF(OR($A545="",$D545&lt;&gt;"تسليم",NOT(ISNUMBER($E545))),"",COUNTIFS($A$5:$A$1504,$A545,$D$5:$D$1504,"تسليم",$E$5:$E$1504,"&lt;"&amp;$E545)+1)</f>
        <v/>
      </c>
      <c r="H545" s="33" t="str">
        <f aca="false">IF($G545="","",_xlfn.MINIFS($E$5:$E$1504,$A$5:$A$1504,$A545,$D$5:$D$1504,"&lt;&gt;تسليم",$E$5:$E$1504,"&gt;="&amp;$E545))</f>
        <v/>
      </c>
      <c r="I545" s="33" t="str">
        <f aca="false">IF($G545="","",_xlfn.MINIFS($E$5:$E$1504,$A$5:$A$1504,$A545,$D$5:$D$1504,"تسليم",$E$5:$E$1504,"&gt;"&amp;$E545))</f>
        <v/>
      </c>
      <c r="J545" s="33" t="str">
        <f aca="false">IF($G545="","",IF(H545&gt;0,IF(I545&gt;0,MIN(H545,I545),H545),IF(I545&gt;0,I545,تاريخ_الاحتساب)))</f>
        <v/>
      </c>
      <c r="K545" s="34" t="str">
        <f aca="false">IF($G545="","",IF(AND(H545=0,I545=0),"جارية","مغلقة"))</f>
        <v/>
      </c>
      <c r="L545" s="26" t="str">
        <f aca="false">IF($G545="","",MAX(0,NETWORKDAYS.INTL($E545,J545,رمز_العطلة,أيام_الأجازات)-1))</f>
        <v/>
      </c>
      <c r="M545" s="26" t="str">
        <f aca="false">IF($G545="","",MAX(0,L545-مهلة_المراجعة))</f>
        <v/>
      </c>
      <c r="N545" s="30" t="str">
        <f aca="false">IF($A545="",IF(OR($D545&lt;&gt;"",$E545&lt;&gt;""),"رقم المخرج ناقص",""),IF(ISNA(MATCH($A545,قائمة_المخرجات,0)),"رقم مخرج غير موجود",IF($D545="","نوع الحركة ناقص",IF(NOT(ISNUMBER($E545)),"التاريخ ناقص",IF($E545&gt;تاريخ_الاحتساب,"تاريخ بعد تاريخ الاحتساب",IF(AND($D545&lt;&gt;"تسليم",COUNTIFS($A$5:$A$1504,$A545,$D$5:$D$1504,"تسليم",$E$5:$E$1504,"&lt;="&amp;$E545)=0),"لا يوجد تسليم قبل الحركة دي",""))))))</f>
        <v/>
      </c>
    </row>
    <row r="546" customFormat="false" ht="15" hidden="false" customHeight="false" outlineLevel="0" collapsed="false">
      <c r="A546" s="20"/>
      <c r="B546" s="35" t="str">
        <f aca="false">IF($A546="","",IFERROR(INDEX(مخرج_البند,MATCH($A546,قائمة_المخرجات,0)),""))</f>
        <v/>
      </c>
      <c r="C546" s="30" t="str">
        <f aca="false">IF($A546="","",IFERROR(INDEX(مخرج_الوصف,MATCH($A546,قائمة_المخرجات,0)),""))</f>
        <v/>
      </c>
      <c r="D546" s="20"/>
      <c r="E546" s="31"/>
      <c r="F546" s="22"/>
      <c r="G546" s="36" t="str">
        <f aca="false">IF(OR($A546="",$D546&lt;&gt;"تسليم",NOT(ISNUMBER($E546))),"",COUNTIFS($A$5:$A$1504,$A546,$D$5:$D$1504,"تسليم",$E$5:$E$1504,"&lt;"&amp;$E546)+1)</f>
        <v/>
      </c>
      <c r="H546" s="33" t="str">
        <f aca="false">IF($G546="","",_xlfn.MINIFS($E$5:$E$1504,$A$5:$A$1504,$A546,$D$5:$D$1504,"&lt;&gt;تسليم",$E$5:$E$1504,"&gt;="&amp;$E546))</f>
        <v/>
      </c>
      <c r="I546" s="33" t="str">
        <f aca="false">IF($G546="","",_xlfn.MINIFS($E$5:$E$1504,$A$5:$A$1504,$A546,$D$5:$D$1504,"تسليم",$E$5:$E$1504,"&gt;"&amp;$E546))</f>
        <v/>
      </c>
      <c r="J546" s="33" t="str">
        <f aca="false">IF($G546="","",IF(H546&gt;0,IF(I546&gt;0,MIN(H546,I546),H546),IF(I546&gt;0,I546,تاريخ_الاحتساب)))</f>
        <v/>
      </c>
      <c r="K546" s="34" t="str">
        <f aca="false">IF($G546="","",IF(AND(H546=0,I546=0),"جارية","مغلقة"))</f>
        <v/>
      </c>
      <c r="L546" s="26" t="str">
        <f aca="false">IF($G546="","",MAX(0,NETWORKDAYS.INTL($E546,J546,رمز_العطلة,أيام_الأجازات)-1))</f>
        <v/>
      </c>
      <c r="M546" s="26" t="str">
        <f aca="false">IF($G546="","",MAX(0,L546-مهلة_المراجعة))</f>
        <v/>
      </c>
      <c r="N546" s="30" t="str">
        <f aca="false">IF($A546="",IF(OR($D546&lt;&gt;"",$E546&lt;&gt;""),"رقم المخرج ناقص",""),IF(ISNA(MATCH($A546,قائمة_المخرجات,0)),"رقم مخرج غير موجود",IF($D546="","نوع الحركة ناقص",IF(NOT(ISNUMBER($E546)),"التاريخ ناقص",IF($E546&gt;تاريخ_الاحتساب,"تاريخ بعد تاريخ الاحتساب",IF(AND($D546&lt;&gt;"تسليم",COUNTIFS($A$5:$A$1504,$A546,$D$5:$D$1504,"تسليم",$E$5:$E$1504,"&lt;="&amp;$E546)=0),"لا يوجد تسليم قبل الحركة دي",""))))))</f>
        <v/>
      </c>
    </row>
    <row r="547" customFormat="false" ht="15" hidden="false" customHeight="false" outlineLevel="0" collapsed="false">
      <c r="A547" s="20"/>
      <c r="B547" s="35" t="str">
        <f aca="false">IF($A547="","",IFERROR(INDEX(مخرج_البند,MATCH($A547,قائمة_المخرجات,0)),""))</f>
        <v/>
      </c>
      <c r="C547" s="30" t="str">
        <f aca="false">IF($A547="","",IFERROR(INDEX(مخرج_الوصف,MATCH($A547,قائمة_المخرجات,0)),""))</f>
        <v/>
      </c>
      <c r="D547" s="20"/>
      <c r="E547" s="31"/>
      <c r="F547" s="22"/>
      <c r="G547" s="36" t="str">
        <f aca="false">IF(OR($A547="",$D547&lt;&gt;"تسليم",NOT(ISNUMBER($E547))),"",COUNTIFS($A$5:$A$1504,$A547,$D$5:$D$1504,"تسليم",$E$5:$E$1504,"&lt;"&amp;$E547)+1)</f>
        <v/>
      </c>
      <c r="H547" s="33" t="str">
        <f aca="false">IF($G547="","",_xlfn.MINIFS($E$5:$E$1504,$A$5:$A$1504,$A547,$D$5:$D$1504,"&lt;&gt;تسليم",$E$5:$E$1504,"&gt;="&amp;$E547))</f>
        <v/>
      </c>
      <c r="I547" s="33" t="str">
        <f aca="false">IF($G547="","",_xlfn.MINIFS($E$5:$E$1504,$A$5:$A$1504,$A547,$D$5:$D$1504,"تسليم",$E$5:$E$1504,"&gt;"&amp;$E547))</f>
        <v/>
      </c>
      <c r="J547" s="33" t="str">
        <f aca="false">IF($G547="","",IF(H547&gt;0,IF(I547&gt;0,MIN(H547,I547),H547),IF(I547&gt;0,I547,تاريخ_الاحتساب)))</f>
        <v/>
      </c>
      <c r="K547" s="34" t="str">
        <f aca="false">IF($G547="","",IF(AND(H547=0,I547=0),"جارية","مغلقة"))</f>
        <v/>
      </c>
      <c r="L547" s="26" t="str">
        <f aca="false">IF($G547="","",MAX(0,NETWORKDAYS.INTL($E547,J547,رمز_العطلة,أيام_الأجازات)-1))</f>
        <v/>
      </c>
      <c r="M547" s="26" t="str">
        <f aca="false">IF($G547="","",MAX(0,L547-مهلة_المراجعة))</f>
        <v/>
      </c>
      <c r="N547" s="30" t="str">
        <f aca="false">IF($A547="",IF(OR($D547&lt;&gt;"",$E547&lt;&gt;""),"رقم المخرج ناقص",""),IF(ISNA(MATCH($A547,قائمة_المخرجات,0)),"رقم مخرج غير موجود",IF($D547="","نوع الحركة ناقص",IF(NOT(ISNUMBER($E547)),"التاريخ ناقص",IF($E547&gt;تاريخ_الاحتساب,"تاريخ بعد تاريخ الاحتساب",IF(AND($D547&lt;&gt;"تسليم",COUNTIFS($A$5:$A$1504,$A547,$D$5:$D$1504,"تسليم",$E$5:$E$1504,"&lt;="&amp;$E547)=0),"لا يوجد تسليم قبل الحركة دي",""))))))</f>
        <v/>
      </c>
    </row>
    <row r="548" customFormat="false" ht="15" hidden="false" customHeight="false" outlineLevel="0" collapsed="false">
      <c r="A548" s="20"/>
      <c r="B548" s="35" t="str">
        <f aca="false">IF($A548="","",IFERROR(INDEX(مخرج_البند,MATCH($A548,قائمة_المخرجات,0)),""))</f>
        <v/>
      </c>
      <c r="C548" s="30" t="str">
        <f aca="false">IF($A548="","",IFERROR(INDEX(مخرج_الوصف,MATCH($A548,قائمة_المخرجات,0)),""))</f>
        <v/>
      </c>
      <c r="D548" s="20"/>
      <c r="E548" s="31"/>
      <c r="F548" s="22"/>
      <c r="G548" s="36" t="str">
        <f aca="false">IF(OR($A548="",$D548&lt;&gt;"تسليم",NOT(ISNUMBER($E548))),"",COUNTIFS($A$5:$A$1504,$A548,$D$5:$D$1504,"تسليم",$E$5:$E$1504,"&lt;"&amp;$E548)+1)</f>
        <v/>
      </c>
      <c r="H548" s="33" t="str">
        <f aca="false">IF($G548="","",_xlfn.MINIFS($E$5:$E$1504,$A$5:$A$1504,$A548,$D$5:$D$1504,"&lt;&gt;تسليم",$E$5:$E$1504,"&gt;="&amp;$E548))</f>
        <v/>
      </c>
      <c r="I548" s="33" t="str">
        <f aca="false">IF($G548="","",_xlfn.MINIFS($E$5:$E$1504,$A$5:$A$1504,$A548,$D$5:$D$1504,"تسليم",$E$5:$E$1504,"&gt;"&amp;$E548))</f>
        <v/>
      </c>
      <c r="J548" s="33" t="str">
        <f aca="false">IF($G548="","",IF(H548&gt;0,IF(I548&gt;0,MIN(H548,I548),H548),IF(I548&gt;0,I548,تاريخ_الاحتساب)))</f>
        <v/>
      </c>
      <c r="K548" s="34" t="str">
        <f aca="false">IF($G548="","",IF(AND(H548=0,I548=0),"جارية","مغلقة"))</f>
        <v/>
      </c>
      <c r="L548" s="26" t="str">
        <f aca="false">IF($G548="","",MAX(0,NETWORKDAYS.INTL($E548,J548,رمز_العطلة,أيام_الأجازات)-1))</f>
        <v/>
      </c>
      <c r="M548" s="26" t="str">
        <f aca="false">IF($G548="","",MAX(0,L548-مهلة_المراجعة))</f>
        <v/>
      </c>
      <c r="N548" s="30" t="str">
        <f aca="false">IF($A548="",IF(OR($D548&lt;&gt;"",$E548&lt;&gt;""),"رقم المخرج ناقص",""),IF(ISNA(MATCH($A548,قائمة_المخرجات,0)),"رقم مخرج غير موجود",IF($D548="","نوع الحركة ناقص",IF(NOT(ISNUMBER($E548)),"التاريخ ناقص",IF($E548&gt;تاريخ_الاحتساب,"تاريخ بعد تاريخ الاحتساب",IF(AND($D548&lt;&gt;"تسليم",COUNTIFS($A$5:$A$1504,$A548,$D$5:$D$1504,"تسليم",$E$5:$E$1504,"&lt;="&amp;$E548)=0),"لا يوجد تسليم قبل الحركة دي",""))))))</f>
        <v/>
      </c>
    </row>
    <row r="549" customFormat="false" ht="15" hidden="false" customHeight="false" outlineLevel="0" collapsed="false">
      <c r="A549" s="20"/>
      <c r="B549" s="35" t="str">
        <f aca="false">IF($A549="","",IFERROR(INDEX(مخرج_البند,MATCH($A549,قائمة_المخرجات,0)),""))</f>
        <v/>
      </c>
      <c r="C549" s="30" t="str">
        <f aca="false">IF($A549="","",IFERROR(INDEX(مخرج_الوصف,MATCH($A549,قائمة_المخرجات,0)),""))</f>
        <v/>
      </c>
      <c r="D549" s="20"/>
      <c r="E549" s="31"/>
      <c r="F549" s="22"/>
      <c r="G549" s="36" t="str">
        <f aca="false">IF(OR($A549="",$D549&lt;&gt;"تسليم",NOT(ISNUMBER($E549))),"",COUNTIFS($A$5:$A$1504,$A549,$D$5:$D$1504,"تسليم",$E$5:$E$1504,"&lt;"&amp;$E549)+1)</f>
        <v/>
      </c>
      <c r="H549" s="33" t="str">
        <f aca="false">IF($G549="","",_xlfn.MINIFS($E$5:$E$1504,$A$5:$A$1504,$A549,$D$5:$D$1504,"&lt;&gt;تسليم",$E$5:$E$1504,"&gt;="&amp;$E549))</f>
        <v/>
      </c>
      <c r="I549" s="33" t="str">
        <f aca="false">IF($G549="","",_xlfn.MINIFS($E$5:$E$1504,$A$5:$A$1504,$A549,$D$5:$D$1504,"تسليم",$E$5:$E$1504,"&gt;"&amp;$E549))</f>
        <v/>
      </c>
      <c r="J549" s="33" t="str">
        <f aca="false">IF($G549="","",IF(H549&gt;0,IF(I549&gt;0,MIN(H549,I549),H549),IF(I549&gt;0,I549,تاريخ_الاحتساب)))</f>
        <v/>
      </c>
      <c r="K549" s="34" t="str">
        <f aca="false">IF($G549="","",IF(AND(H549=0,I549=0),"جارية","مغلقة"))</f>
        <v/>
      </c>
      <c r="L549" s="26" t="str">
        <f aca="false">IF($G549="","",MAX(0,NETWORKDAYS.INTL($E549,J549,رمز_العطلة,أيام_الأجازات)-1))</f>
        <v/>
      </c>
      <c r="M549" s="26" t="str">
        <f aca="false">IF($G549="","",MAX(0,L549-مهلة_المراجعة))</f>
        <v/>
      </c>
      <c r="N549" s="30" t="str">
        <f aca="false">IF($A549="",IF(OR($D549&lt;&gt;"",$E549&lt;&gt;""),"رقم المخرج ناقص",""),IF(ISNA(MATCH($A549,قائمة_المخرجات,0)),"رقم مخرج غير موجود",IF($D549="","نوع الحركة ناقص",IF(NOT(ISNUMBER($E549)),"التاريخ ناقص",IF($E549&gt;تاريخ_الاحتساب,"تاريخ بعد تاريخ الاحتساب",IF(AND($D549&lt;&gt;"تسليم",COUNTIFS($A$5:$A$1504,$A549,$D$5:$D$1504,"تسليم",$E$5:$E$1504,"&lt;="&amp;$E549)=0),"لا يوجد تسليم قبل الحركة دي",""))))))</f>
        <v/>
      </c>
    </row>
    <row r="550" customFormat="false" ht="15" hidden="false" customHeight="false" outlineLevel="0" collapsed="false">
      <c r="A550" s="20"/>
      <c r="B550" s="35" t="str">
        <f aca="false">IF($A550="","",IFERROR(INDEX(مخرج_البند,MATCH($A550,قائمة_المخرجات,0)),""))</f>
        <v/>
      </c>
      <c r="C550" s="30" t="str">
        <f aca="false">IF($A550="","",IFERROR(INDEX(مخرج_الوصف,MATCH($A550,قائمة_المخرجات,0)),""))</f>
        <v/>
      </c>
      <c r="D550" s="20"/>
      <c r="E550" s="31"/>
      <c r="F550" s="22"/>
      <c r="G550" s="36" t="str">
        <f aca="false">IF(OR($A550="",$D550&lt;&gt;"تسليم",NOT(ISNUMBER($E550))),"",COUNTIFS($A$5:$A$1504,$A550,$D$5:$D$1504,"تسليم",$E$5:$E$1504,"&lt;"&amp;$E550)+1)</f>
        <v/>
      </c>
      <c r="H550" s="33" t="str">
        <f aca="false">IF($G550="","",_xlfn.MINIFS($E$5:$E$1504,$A$5:$A$1504,$A550,$D$5:$D$1504,"&lt;&gt;تسليم",$E$5:$E$1504,"&gt;="&amp;$E550))</f>
        <v/>
      </c>
      <c r="I550" s="33" t="str">
        <f aca="false">IF($G550="","",_xlfn.MINIFS($E$5:$E$1504,$A$5:$A$1504,$A550,$D$5:$D$1504,"تسليم",$E$5:$E$1504,"&gt;"&amp;$E550))</f>
        <v/>
      </c>
      <c r="J550" s="33" t="str">
        <f aca="false">IF($G550="","",IF(H550&gt;0,IF(I550&gt;0,MIN(H550,I550),H550),IF(I550&gt;0,I550,تاريخ_الاحتساب)))</f>
        <v/>
      </c>
      <c r="K550" s="34" t="str">
        <f aca="false">IF($G550="","",IF(AND(H550=0,I550=0),"جارية","مغلقة"))</f>
        <v/>
      </c>
      <c r="L550" s="26" t="str">
        <f aca="false">IF($G550="","",MAX(0,NETWORKDAYS.INTL($E550,J550,رمز_العطلة,أيام_الأجازات)-1))</f>
        <v/>
      </c>
      <c r="M550" s="26" t="str">
        <f aca="false">IF($G550="","",MAX(0,L550-مهلة_المراجعة))</f>
        <v/>
      </c>
      <c r="N550" s="30" t="str">
        <f aca="false">IF($A550="",IF(OR($D550&lt;&gt;"",$E550&lt;&gt;""),"رقم المخرج ناقص",""),IF(ISNA(MATCH($A550,قائمة_المخرجات,0)),"رقم مخرج غير موجود",IF($D550="","نوع الحركة ناقص",IF(NOT(ISNUMBER($E550)),"التاريخ ناقص",IF($E550&gt;تاريخ_الاحتساب,"تاريخ بعد تاريخ الاحتساب",IF(AND($D550&lt;&gt;"تسليم",COUNTIFS($A$5:$A$1504,$A550,$D$5:$D$1504,"تسليم",$E$5:$E$1504,"&lt;="&amp;$E550)=0),"لا يوجد تسليم قبل الحركة دي",""))))))</f>
        <v/>
      </c>
    </row>
    <row r="551" customFormat="false" ht="15" hidden="false" customHeight="false" outlineLevel="0" collapsed="false">
      <c r="A551" s="20"/>
      <c r="B551" s="35" t="str">
        <f aca="false">IF($A551="","",IFERROR(INDEX(مخرج_البند,MATCH($A551,قائمة_المخرجات,0)),""))</f>
        <v/>
      </c>
      <c r="C551" s="30" t="str">
        <f aca="false">IF($A551="","",IFERROR(INDEX(مخرج_الوصف,MATCH($A551,قائمة_المخرجات,0)),""))</f>
        <v/>
      </c>
      <c r="D551" s="20"/>
      <c r="E551" s="31"/>
      <c r="F551" s="22"/>
      <c r="G551" s="36" t="str">
        <f aca="false">IF(OR($A551="",$D551&lt;&gt;"تسليم",NOT(ISNUMBER($E551))),"",COUNTIFS($A$5:$A$1504,$A551,$D$5:$D$1504,"تسليم",$E$5:$E$1504,"&lt;"&amp;$E551)+1)</f>
        <v/>
      </c>
      <c r="H551" s="33" t="str">
        <f aca="false">IF($G551="","",_xlfn.MINIFS($E$5:$E$1504,$A$5:$A$1504,$A551,$D$5:$D$1504,"&lt;&gt;تسليم",$E$5:$E$1504,"&gt;="&amp;$E551))</f>
        <v/>
      </c>
      <c r="I551" s="33" t="str">
        <f aca="false">IF($G551="","",_xlfn.MINIFS($E$5:$E$1504,$A$5:$A$1504,$A551,$D$5:$D$1504,"تسليم",$E$5:$E$1504,"&gt;"&amp;$E551))</f>
        <v/>
      </c>
      <c r="J551" s="33" t="str">
        <f aca="false">IF($G551="","",IF(H551&gt;0,IF(I551&gt;0,MIN(H551,I551),H551),IF(I551&gt;0,I551,تاريخ_الاحتساب)))</f>
        <v/>
      </c>
      <c r="K551" s="34" t="str">
        <f aca="false">IF($G551="","",IF(AND(H551=0,I551=0),"جارية","مغلقة"))</f>
        <v/>
      </c>
      <c r="L551" s="26" t="str">
        <f aca="false">IF($G551="","",MAX(0,NETWORKDAYS.INTL($E551,J551,رمز_العطلة,أيام_الأجازات)-1))</f>
        <v/>
      </c>
      <c r="M551" s="26" t="str">
        <f aca="false">IF($G551="","",MAX(0,L551-مهلة_المراجعة))</f>
        <v/>
      </c>
      <c r="N551" s="30" t="str">
        <f aca="false">IF($A551="",IF(OR($D551&lt;&gt;"",$E551&lt;&gt;""),"رقم المخرج ناقص",""),IF(ISNA(MATCH($A551,قائمة_المخرجات,0)),"رقم مخرج غير موجود",IF($D551="","نوع الحركة ناقص",IF(NOT(ISNUMBER($E551)),"التاريخ ناقص",IF($E551&gt;تاريخ_الاحتساب,"تاريخ بعد تاريخ الاحتساب",IF(AND($D551&lt;&gt;"تسليم",COUNTIFS($A$5:$A$1504,$A551,$D$5:$D$1504,"تسليم",$E$5:$E$1504,"&lt;="&amp;$E551)=0),"لا يوجد تسليم قبل الحركة دي",""))))))</f>
        <v/>
      </c>
    </row>
    <row r="552" customFormat="false" ht="15" hidden="false" customHeight="false" outlineLevel="0" collapsed="false">
      <c r="A552" s="20"/>
      <c r="B552" s="35" t="str">
        <f aca="false">IF($A552="","",IFERROR(INDEX(مخرج_البند,MATCH($A552,قائمة_المخرجات,0)),""))</f>
        <v/>
      </c>
      <c r="C552" s="30" t="str">
        <f aca="false">IF($A552="","",IFERROR(INDEX(مخرج_الوصف,MATCH($A552,قائمة_المخرجات,0)),""))</f>
        <v/>
      </c>
      <c r="D552" s="20"/>
      <c r="E552" s="31"/>
      <c r="F552" s="22"/>
      <c r="G552" s="36" t="str">
        <f aca="false">IF(OR($A552="",$D552&lt;&gt;"تسليم",NOT(ISNUMBER($E552))),"",COUNTIFS($A$5:$A$1504,$A552,$D$5:$D$1504,"تسليم",$E$5:$E$1504,"&lt;"&amp;$E552)+1)</f>
        <v/>
      </c>
      <c r="H552" s="33" t="str">
        <f aca="false">IF($G552="","",_xlfn.MINIFS($E$5:$E$1504,$A$5:$A$1504,$A552,$D$5:$D$1504,"&lt;&gt;تسليم",$E$5:$E$1504,"&gt;="&amp;$E552))</f>
        <v/>
      </c>
      <c r="I552" s="33" t="str">
        <f aca="false">IF($G552="","",_xlfn.MINIFS($E$5:$E$1504,$A$5:$A$1504,$A552,$D$5:$D$1504,"تسليم",$E$5:$E$1504,"&gt;"&amp;$E552))</f>
        <v/>
      </c>
      <c r="J552" s="33" t="str">
        <f aca="false">IF($G552="","",IF(H552&gt;0,IF(I552&gt;0,MIN(H552,I552),H552),IF(I552&gt;0,I552,تاريخ_الاحتساب)))</f>
        <v/>
      </c>
      <c r="K552" s="34" t="str">
        <f aca="false">IF($G552="","",IF(AND(H552=0,I552=0),"جارية","مغلقة"))</f>
        <v/>
      </c>
      <c r="L552" s="26" t="str">
        <f aca="false">IF($G552="","",MAX(0,NETWORKDAYS.INTL($E552,J552,رمز_العطلة,أيام_الأجازات)-1))</f>
        <v/>
      </c>
      <c r="M552" s="26" t="str">
        <f aca="false">IF($G552="","",MAX(0,L552-مهلة_المراجعة))</f>
        <v/>
      </c>
      <c r="N552" s="30" t="str">
        <f aca="false">IF($A552="",IF(OR($D552&lt;&gt;"",$E552&lt;&gt;""),"رقم المخرج ناقص",""),IF(ISNA(MATCH($A552,قائمة_المخرجات,0)),"رقم مخرج غير موجود",IF($D552="","نوع الحركة ناقص",IF(NOT(ISNUMBER($E552)),"التاريخ ناقص",IF($E552&gt;تاريخ_الاحتساب,"تاريخ بعد تاريخ الاحتساب",IF(AND($D552&lt;&gt;"تسليم",COUNTIFS($A$5:$A$1504,$A552,$D$5:$D$1504,"تسليم",$E$5:$E$1504,"&lt;="&amp;$E552)=0),"لا يوجد تسليم قبل الحركة دي",""))))))</f>
        <v/>
      </c>
    </row>
    <row r="553" customFormat="false" ht="15" hidden="false" customHeight="false" outlineLevel="0" collapsed="false">
      <c r="A553" s="20"/>
      <c r="B553" s="35" t="str">
        <f aca="false">IF($A553="","",IFERROR(INDEX(مخرج_البند,MATCH($A553,قائمة_المخرجات,0)),""))</f>
        <v/>
      </c>
      <c r="C553" s="30" t="str">
        <f aca="false">IF($A553="","",IFERROR(INDEX(مخرج_الوصف,MATCH($A553,قائمة_المخرجات,0)),""))</f>
        <v/>
      </c>
      <c r="D553" s="20"/>
      <c r="E553" s="31"/>
      <c r="F553" s="22"/>
      <c r="G553" s="36" t="str">
        <f aca="false">IF(OR($A553="",$D553&lt;&gt;"تسليم",NOT(ISNUMBER($E553))),"",COUNTIFS($A$5:$A$1504,$A553,$D$5:$D$1504,"تسليم",$E$5:$E$1504,"&lt;"&amp;$E553)+1)</f>
        <v/>
      </c>
      <c r="H553" s="33" t="str">
        <f aca="false">IF($G553="","",_xlfn.MINIFS($E$5:$E$1504,$A$5:$A$1504,$A553,$D$5:$D$1504,"&lt;&gt;تسليم",$E$5:$E$1504,"&gt;="&amp;$E553))</f>
        <v/>
      </c>
      <c r="I553" s="33" t="str">
        <f aca="false">IF($G553="","",_xlfn.MINIFS($E$5:$E$1504,$A$5:$A$1504,$A553,$D$5:$D$1504,"تسليم",$E$5:$E$1504,"&gt;"&amp;$E553))</f>
        <v/>
      </c>
      <c r="J553" s="33" t="str">
        <f aca="false">IF($G553="","",IF(H553&gt;0,IF(I553&gt;0,MIN(H553,I553),H553),IF(I553&gt;0,I553,تاريخ_الاحتساب)))</f>
        <v/>
      </c>
      <c r="K553" s="34" t="str">
        <f aca="false">IF($G553="","",IF(AND(H553=0,I553=0),"جارية","مغلقة"))</f>
        <v/>
      </c>
      <c r="L553" s="26" t="str">
        <f aca="false">IF($G553="","",MAX(0,NETWORKDAYS.INTL($E553,J553,رمز_العطلة,أيام_الأجازات)-1))</f>
        <v/>
      </c>
      <c r="M553" s="26" t="str">
        <f aca="false">IF($G553="","",MAX(0,L553-مهلة_المراجعة))</f>
        <v/>
      </c>
      <c r="N553" s="30" t="str">
        <f aca="false">IF($A553="",IF(OR($D553&lt;&gt;"",$E553&lt;&gt;""),"رقم المخرج ناقص",""),IF(ISNA(MATCH($A553,قائمة_المخرجات,0)),"رقم مخرج غير موجود",IF($D553="","نوع الحركة ناقص",IF(NOT(ISNUMBER($E553)),"التاريخ ناقص",IF($E553&gt;تاريخ_الاحتساب,"تاريخ بعد تاريخ الاحتساب",IF(AND($D553&lt;&gt;"تسليم",COUNTIFS($A$5:$A$1504,$A553,$D$5:$D$1504,"تسليم",$E$5:$E$1504,"&lt;="&amp;$E553)=0),"لا يوجد تسليم قبل الحركة دي",""))))))</f>
        <v/>
      </c>
    </row>
    <row r="554" customFormat="false" ht="15" hidden="false" customHeight="false" outlineLevel="0" collapsed="false">
      <c r="A554" s="20"/>
      <c r="B554" s="35" t="str">
        <f aca="false">IF($A554="","",IFERROR(INDEX(مخرج_البند,MATCH($A554,قائمة_المخرجات,0)),""))</f>
        <v/>
      </c>
      <c r="C554" s="30" t="str">
        <f aca="false">IF($A554="","",IFERROR(INDEX(مخرج_الوصف,MATCH($A554,قائمة_المخرجات,0)),""))</f>
        <v/>
      </c>
      <c r="D554" s="20"/>
      <c r="E554" s="31"/>
      <c r="F554" s="22"/>
      <c r="G554" s="36" t="str">
        <f aca="false">IF(OR($A554="",$D554&lt;&gt;"تسليم",NOT(ISNUMBER($E554))),"",COUNTIFS($A$5:$A$1504,$A554,$D$5:$D$1504,"تسليم",$E$5:$E$1504,"&lt;"&amp;$E554)+1)</f>
        <v/>
      </c>
      <c r="H554" s="33" t="str">
        <f aca="false">IF($G554="","",_xlfn.MINIFS($E$5:$E$1504,$A$5:$A$1504,$A554,$D$5:$D$1504,"&lt;&gt;تسليم",$E$5:$E$1504,"&gt;="&amp;$E554))</f>
        <v/>
      </c>
      <c r="I554" s="33" t="str">
        <f aca="false">IF($G554="","",_xlfn.MINIFS($E$5:$E$1504,$A$5:$A$1504,$A554,$D$5:$D$1504,"تسليم",$E$5:$E$1504,"&gt;"&amp;$E554))</f>
        <v/>
      </c>
      <c r="J554" s="33" t="str">
        <f aca="false">IF($G554="","",IF(H554&gt;0,IF(I554&gt;0,MIN(H554,I554),H554),IF(I554&gt;0,I554,تاريخ_الاحتساب)))</f>
        <v/>
      </c>
      <c r="K554" s="34" t="str">
        <f aca="false">IF($G554="","",IF(AND(H554=0,I554=0),"جارية","مغلقة"))</f>
        <v/>
      </c>
      <c r="L554" s="26" t="str">
        <f aca="false">IF($G554="","",MAX(0,NETWORKDAYS.INTL($E554,J554,رمز_العطلة,أيام_الأجازات)-1))</f>
        <v/>
      </c>
      <c r="M554" s="26" t="str">
        <f aca="false">IF($G554="","",MAX(0,L554-مهلة_المراجعة))</f>
        <v/>
      </c>
      <c r="N554" s="30" t="str">
        <f aca="false">IF($A554="",IF(OR($D554&lt;&gt;"",$E554&lt;&gt;""),"رقم المخرج ناقص",""),IF(ISNA(MATCH($A554,قائمة_المخرجات,0)),"رقم مخرج غير موجود",IF($D554="","نوع الحركة ناقص",IF(NOT(ISNUMBER($E554)),"التاريخ ناقص",IF($E554&gt;تاريخ_الاحتساب,"تاريخ بعد تاريخ الاحتساب",IF(AND($D554&lt;&gt;"تسليم",COUNTIFS($A$5:$A$1504,$A554,$D$5:$D$1504,"تسليم",$E$5:$E$1504,"&lt;="&amp;$E554)=0),"لا يوجد تسليم قبل الحركة دي",""))))))</f>
        <v/>
      </c>
    </row>
    <row r="555" customFormat="false" ht="15" hidden="false" customHeight="false" outlineLevel="0" collapsed="false">
      <c r="A555" s="20"/>
      <c r="B555" s="35" t="str">
        <f aca="false">IF($A555="","",IFERROR(INDEX(مخرج_البند,MATCH($A555,قائمة_المخرجات,0)),""))</f>
        <v/>
      </c>
      <c r="C555" s="30" t="str">
        <f aca="false">IF($A555="","",IFERROR(INDEX(مخرج_الوصف,MATCH($A555,قائمة_المخرجات,0)),""))</f>
        <v/>
      </c>
      <c r="D555" s="20"/>
      <c r="E555" s="31"/>
      <c r="F555" s="22"/>
      <c r="G555" s="36" t="str">
        <f aca="false">IF(OR($A555="",$D555&lt;&gt;"تسليم",NOT(ISNUMBER($E555))),"",COUNTIFS($A$5:$A$1504,$A555,$D$5:$D$1504,"تسليم",$E$5:$E$1504,"&lt;"&amp;$E555)+1)</f>
        <v/>
      </c>
      <c r="H555" s="33" t="str">
        <f aca="false">IF($G555="","",_xlfn.MINIFS($E$5:$E$1504,$A$5:$A$1504,$A555,$D$5:$D$1504,"&lt;&gt;تسليم",$E$5:$E$1504,"&gt;="&amp;$E555))</f>
        <v/>
      </c>
      <c r="I555" s="33" t="str">
        <f aca="false">IF($G555="","",_xlfn.MINIFS($E$5:$E$1504,$A$5:$A$1504,$A555,$D$5:$D$1504,"تسليم",$E$5:$E$1504,"&gt;"&amp;$E555))</f>
        <v/>
      </c>
      <c r="J555" s="33" t="str">
        <f aca="false">IF($G555="","",IF(H555&gt;0,IF(I555&gt;0,MIN(H555,I555),H555),IF(I555&gt;0,I555,تاريخ_الاحتساب)))</f>
        <v/>
      </c>
      <c r="K555" s="34" t="str">
        <f aca="false">IF($G555="","",IF(AND(H555=0,I555=0),"جارية","مغلقة"))</f>
        <v/>
      </c>
      <c r="L555" s="26" t="str">
        <f aca="false">IF($G555="","",MAX(0,NETWORKDAYS.INTL($E555,J555,رمز_العطلة,أيام_الأجازات)-1))</f>
        <v/>
      </c>
      <c r="M555" s="26" t="str">
        <f aca="false">IF($G555="","",MAX(0,L555-مهلة_المراجعة))</f>
        <v/>
      </c>
      <c r="N555" s="30" t="str">
        <f aca="false">IF($A555="",IF(OR($D555&lt;&gt;"",$E555&lt;&gt;""),"رقم المخرج ناقص",""),IF(ISNA(MATCH($A555,قائمة_المخرجات,0)),"رقم مخرج غير موجود",IF($D555="","نوع الحركة ناقص",IF(NOT(ISNUMBER($E555)),"التاريخ ناقص",IF($E555&gt;تاريخ_الاحتساب,"تاريخ بعد تاريخ الاحتساب",IF(AND($D555&lt;&gt;"تسليم",COUNTIFS($A$5:$A$1504,$A555,$D$5:$D$1504,"تسليم",$E$5:$E$1504,"&lt;="&amp;$E555)=0),"لا يوجد تسليم قبل الحركة دي",""))))))</f>
        <v/>
      </c>
    </row>
    <row r="556" customFormat="false" ht="15" hidden="false" customHeight="false" outlineLevel="0" collapsed="false">
      <c r="A556" s="20"/>
      <c r="B556" s="35" t="str">
        <f aca="false">IF($A556="","",IFERROR(INDEX(مخرج_البند,MATCH($A556,قائمة_المخرجات,0)),""))</f>
        <v/>
      </c>
      <c r="C556" s="30" t="str">
        <f aca="false">IF($A556="","",IFERROR(INDEX(مخرج_الوصف,MATCH($A556,قائمة_المخرجات,0)),""))</f>
        <v/>
      </c>
      <c r="D556" s="20"/>
      <c r="E556" s="31"/>
      <c r="F556" s="22"/>
      <c r="G556" s="36" t="str">
        <f aca="false">IF(OR($A556="",$D556&lt;&gt;"تسليم",NOT(ISNUMBER($E556))),"",COUNTIFS($A$5:$A$1504,$A556,$D$5:$D$1504,"تسليم",$E$5:$E$1504,"&lt;"&amp;$E556)+1)</f>
        <v/>
      </c>
      <c r="H556" s="33" t="str">
        <f aca="false">IF($G556="","",_xlfn.MINIFS($E$5:$E$1504,$A$5:$A$1504,$A556,$D$5:$D$1504,"&lt;&gt;تسليم",$E$5:$E$1504,"&gt;="&amp;$E556))</f>
        <v/>
      </c>
      <c r="I556" s="33" t="str">
        <f aca="false">IF($G556="","",_xlfn.MINIFS($E$5:$E$1504,$A$5:$A$1504,$A556,$D$5:$D$1504,"تسليم",$E$5:$E$1504,"&gt;"&amp;$E556))</f>
        <v/>
      </c>
      <c r="J556" s="33" t="str">
        <f aca="false">IF($G556="","",IF(H556&gt;0,IF(I556&gt;0,MIN(H556,I556),H556),IF(I556&gt;0,I556,تاريخ_الاحتساب)))</f>
        <v/>
      </c>
      <c r="K556" s="34" t="str">
        <f aca="false">IF($G556="","",IF(AND(H556=0,I556=0),"جارية","مغلقة"))</f>
        <v/>
      </c>
      <c r="L556" s="26" t="str">
        <f aca="false">IF($G556="","",MAX(0,NETWORKDAYS.INTL($E556,J556,رمز_العطلة,أيام_الأجازات)-1))</f>
        <v/>
      </c>
      <c r="M556" s="26" t="str">
        <f aca="false">IF($G556="","",MAX(0,L556-مهلة_المراجعة))</f>
        <v/>
      </c>
      <c r="N556" s="30" t="str">
        <f aca="false">IF($A556="",IF(OR($D556&lt;&gt;"",$E556&lt;&gt;""),"رقم المخرج ناقص",""),IF(ISNA(MATCH($A556,قائمة_المخرجات,0)),"رقم مخرج غير موجود",IF($D556="","نوع الحركة ناقص",IF(NOT(ISNUMBER($E556)),"التاريخ ناقص",IF($E556&gt;تاريخ_الاحتساب,"تاريخ بعد تاريخ الاحتساب",IF(AND($D556&lt;&gt;"تسليم",COUNTIFS($A$5:$A$1504,$A556,$D$5:$D$1504,"تسليم",$E$5:$E$1504,"&lt;="&amp;$E556)=0),"لا يوجد تسليم قبل الحركة دي",""))))))</f>
        <v/>
      </c>
    </row>
    <row r="557" customFormat="false" ht="15" hidden="false" customHeight="false" outlineLevel="0" collapsed="false">
      <c r="A557" s="20"/>
      <c r="B557" s="35" t="str">
        <f aca="false">IF($A557="","",IFERROR(INDEX(مخرج_البند,MATCH($A557,قائمة_المخرجات,0)),""))</f>
        <v/>
      </c>
      <c r="C557" s="30" t="str">
        <f aca="false">IF($A557="","",IFERROR(INDEX(مخرج_الوصف,MATCH($A557,قائمة_المخرجات,0)),""))</f>
        <v/>
      </c>
      <c r="D557" s="20"/>
      <c r="E557" s="31"/>
      <c r="F557" s="22"/>
      <c r="G557" s="36" t="str">
        <f aca="false">IF(OR($A557="",$D557&lt;&gt;"تسليم",NOT(ISNUMBER($E557))),"",COUNTIFS($A$5:$A$1504,$A557,$D$5:$D$1504,"تسليم",$E$5:$E$1504,"&lt;"&amp;$E557)+1)</f>
        <v/>
      </c>
      <c r="H557" s="33" t="str">
        <f aca="false">IF($G557="","",_xlfn.MINIFS($E$5:$E$1504,$A$5:$A$1504,$A557,$D$5:$D$1504,"&lt;&gt;تسليم",$E$5:$E$1504,"&gt;="&amp;$E557))</f>
        <v/>
      </c>
      <c r="I557" s="33" t="str">
        <f aca="false">IF($G557="","",_xlfn.MINIFS($E$5:$E$1504,$A$5:$A$1504,$A557,$D$5:$D$1504,"تسليم",$E$5:$E$1504,"&gt;"&amp;$E557))</f>
        <v/>
      </c>
      <c r="J557" s="33" t="str">
        <f aca="false">IF($G557="","",IF(H557&gt;0,IF(I557&gt;0,MIN(H557,I557),H557),IF(I557&gt;0,I557,تاريخ_الاحتساب)))</f>
        <v/>
      </c>
      <c r="K557" s="34" t="str">
        <f aca="false">IF($G557="","",IF(AND(H557=0,I557=0),"جارية","مغلقة"))</f>
        <v/>
      </c>
      <c r="L557" s="26" t="str">
        <f aca="false">IF($G557="","",MAX(0,NETWORKDAYS.INTL($E557,J557,رمز_العطلة,أيام_الأجازات)-1))</f>
        <v/>
      </c>
      <c r="M557" s="26" t="str">
        <f aca="false">IF($G557="","",MAX(0,L557-مهلة_المراجعة))</f>
        <v/>
      </c>
      <c r="N557" s="30" t="str">
        <f aca="false">IF($A557="",IF(OR($D557&lt;&gt;"",$E557&lt;&gt;""),"رقم المخرج ناقص",""),IF(ISNA(MATCH($A557,قائمة_المخرجات,0)),"رقم مخرج غير موجود",IF($D557="","نوع الحركة ناقص",IF(NOT(ISNUMBER($E557)),"التاريخ ناقص",IF($E557&gt;تاريخ_الاحتساب,"تاريخ بعد تاريخ الاحتساب",IF(AND($D557&lt;&gt;"تسليم",COUNTIFS($A$5:$A$1504,$A557,$D$5:$D$1504,"تسليم",$E$5:$E$1504,"&lt;="&amp;$E557)=0),"لا يوجد تسليم قبل الحركة دي",""))))))</f>
        <v/>
      </c>
    </row>
    <row r="558" customFormat="false" ht="15" hidden="false" customHeight="false" outlineLevel="0" collapsed="false">
      <c r="A558" s="20"/>
      <c r="B558" s="35" t="str">
        <f aca="false">IF($A558="","",IFERROR(INDEX(مخرج_البند,MATCH($A558,قائمة_المخرجات,0)),""))</f>
        <v/>
      </c>
      <c r="C558" s="30" t="str">
        <f aca="false">IF($A558="","",IFERROR(INDEX(مخرج_الوصف,MATCH($A558,قائمة_المخرجات,0)),""))</f>
        <v/>
      </c>
      <c r="D558" s="20"/>
      <c r="E558" s="31"/>
      <c r="F558" s="22"/>
      <c r="G558" s="36" t="str">
        <f aca="false">IF(OR($A558="",$D558&lt;&gt;"تسليم",NOT(ISNUMBER($E558))),"",COUNTIFS($A$5:$A$1504,$A558,$D$5:$D$1504,"تسليم",$E$5:$E$1504,"&lt;"&amp;$E558)+1)</f>
        <v/>
      </c>
      <c r="H558" s="33" t="str">
        <f aca="false">IF($G558="","",_xlfn.MINIFS($E$5:$E$1504,$A$5:$A$1504,$A558,$D$5:$D$1504,"&lt;&gt;تسليم",$E$5:$E$1504,"&gt;="&amp;$E558))</f>
        <v/>
      </c>
      <c r="I558" s="33" t="str">
        <f aca="false">IF($G558="","",_xlfn.MINIFS($E$5:$E$1504,$A$5:$A$1504,$A558,$D$5:$D$1504,"تسليم",$E$5:$E$1504,"&gt;"&amp;$E558))</f>
        <v/>
      </c>
      <c r="J558" s="33" t="str">
        <f aca="false">IF($G558="","",IF(H558&gt;0,IF(I558&gt;0,MIN(H558,I558),H558),IF(I558&gt;0,I558,تاريخ_الاحتساب)))</f>
        <v/>
      </c>
      <c r="K558" s="34" t="str">
        <f aca="false">IF($G558="","",IF(AND(H558=0,I558=0),"جارية","مغلقة"))</f>
        <v/>
      </c>
      <c r="L558" s="26" t="str">
        <f aca="false">IF($G558="","",MAX(0,NETWORKDAYS.INTL($E558,J558,رمز_العطلة,أيام_الأجازات)-1))</f>
        <v/>
      </c>
      <c r="M558" s="26" t="str">
        <f aca="false">IF($G558="","",MAX(0,L558-مهلة_المراجعة))</f>
        <v/>
      </c>
      <c r="N558" s="30" t="str">
        <f aca="false">IF($A558="",IF(OR($D558&lt;&gt;"",$E558&lt;&gt;""),"رقم المخرج ناقص",""),IF(ISNA(MATCH($A558,قائمة_المخرجات,0)),"رقم مخرج غير موجود",IF($D558="","نوع الحركة ناقص",IF(NOT(ISNUMBER($E558)),"التاريخ ناقص",IF($E558&gt;تاريخ_الاحتساب,"تاريخ بعد تاريخ الاحتساب",IF(AND($D558&lt;&gt;"تسليم",COUNTIFS($A$5:$A$1504,$A558,$D$5:$D$1504,"تسليم",$E$5:$E$1504,"&lt;="&amp;$E558)=0),"لا يوجد تسليم قبل الحركة دي",""))))))</f>
        <v/>
      </c>
    </row>
    <row r="559" customFormat="false" ht="15" hidden="false" customHeight="false" outlineLevel="0" collapsed="false">
      <c r="A559" s="20"/>
      <c r="B559" s="35" t="str">
        <f aca="false">IF($A559="","",IFERROR(INDEX(مخرج_البند,MATCH($A559,قائمة_المخرجات,0)),""))</f>
        <v/>
      </c>
      <c r="C559" s="30" t="str">
        <f aca="false">IF($A559="","",IFERROR(INDEX(مخرج_الوصف,MATCH($A559,قائمة_المخرجات,0)),""))</f>
        <v/>
      </c>
      <c r="D559" s="20"/>
      <c r="E559" s="31"/>
      <c r="F559" s="22"/>
      <c r="G559" s="36" t="str">
        <f aca="false">IF(OR($A559="",$D559&lt;&gt;"تسليم",NOT(ISNUMBER($E559))),"",COUNTIFS($A$5:$A$1504,$A559,$D$5:$D$1504,"تسليم",$E$5:$E$1504,"&lt;"&amp;$E559)+1)</f>
        <v/>
      </c>
      <c r="H559" s="33" t="str">
        <f aca="false">IF($G559="","",_xlfn.MINIFS($E$5:$E$1504,$A$5:$A$1504,$A559,$D$5:$D$1504,"&lt;&gt;تسليم",$E$5:$E$1504,"&gt;="&amp;$E559))</f>
        <v/>
      </c>
      <c r="I559" s="33" t="str">
        <f aca="false">IF($G559="","",_xlfn.MINIFS($E$5:$E$1504,$A$5:$A$1504,$A559,$D$5:$D$1504,"تسليم",$E$5:$E$1504,"&gt;"&amp;$E559))</f>
        <v/>
      </c>
      <c r="J559" s="33" t="str">
        <f aca="false">IF($G559="","",IF(H559&gt;0,IF(I559&gt;0,MIN(H559,I559),H559),IF(I559&gt;0,I559,تاريخ_الاحتساب)))</f>
        <v/>
      </c>
      <c r="K559" s="34" t="str">
        <f aca="false">IF($G559="","",IF(AND(H559=0,I559=0),"جارية","مغلقة"))</f>
        <v/>
      </c>
      <c r="L559" s="26" t="str">
        <f aca="false">IF($G559="","",MAX(0,NETWORKDAYS.INTL($E559,J559,رمز_العطلة,أيام_الأجازات)-1))</f>
        <v/>
      </c>
      <c r="M559" s="26" t="str">
        <f aca="false">IF($G559="","",MAX(0,L559-مهلة_المراجعة))</f>
        <v/>
      </c>
      <c r="N559" s="30" t="str">
        <f aca="false">IF($A559="",IF(OR($D559&lt;&gt;"",$E559&lt;&gt;""),"رقم المخرج ناقص",""),IF(ISNA(MATCH($A559,قائمة_المخرجات,0)),"رقم مخرج غير موجود",IF($D559="","نوع الحركة ناقص",IF(NOT(ISNUMBER($E559)),"التاريخ ناقص",IF($E559&gt;تاريخ_الاحتساب,"تاريخ بعد تاريخ الاحتساب",IF(AND($D559&lt;&gt;"تسليم",COUNTIFS($A$5:$A$1504,$A559,$D$5:$D$1504,"تسليم",$E$5:$E$1504,"&lt;="&amp;$E559)=0),"لا يوجد تسليم قبل الحركة دي",""))))))</f>
        <v/>
      </c>
    </row>
    <row r="560" customFormat="false" ht="15" hidden="false" customHeight="false" outlineLevel="0" collapsed="false">
      <c r="A560" s="20"/>
      <c r="B560" s="35" t="str">
        <f aca="false">IF($A560="","",IFERROR(INDEX(مخرج_البند,MATCH($A560,قائمة_المخرجات,0)),""))</f>
        <v/>
      </c>
      <c r="C560" s="30" t="str">
        <f aca="false">IF($A560="","",IFERROR(INDEX(مخرج_الوصف,MATCH($A560,قائمة_المخرجات,0)),""))</f>
        <v/>
      </c>
      <c r="D560" s="20"/>
      <c r="E560" s="31"/>
      <c r="F560" s="22"/>
      <c r="G560" s="36" t="str">
        <f aca="false">IF(OR($A560="",$D560&lt;&gt;"تسليم",NOT(ISNUMBER($E560))),"",COUNTIFS($A$5:$A$1504,$A560,$D$5:$D$1504,"تسليم",$E$5:$E$1504,"&lt;"&amp;$E560)+1)</f>
        <v/>
      </c>
      <c r="H560" s="33" t="str">
        <f aca="false">IF($G560="","",_xlfn.MINIFS($E$5:$E$1504,$A$5:$A$1504,$A560,$D$5:$D$1504,"&lt;&gt;تسليم",$E$5:$E$1504,"&gt;="&amp;$E560))</f>
        <v/>
      </c>
      <c r="I560" s="33" t="str">
        <f aca="false">IF($G560="","",_xlfn.MINIFS($E$5:$E$1504,$A$5:$A$1504,$A560,$D$5:$D$1504,"تسليم",$E$5:$E$1504,"&gt;"&amp;$E560))</f>
        <v/>
      </c>
      <c r="J560" s="33" t="str">
        <f aca="false">IF($G560="","",IF(H560&gt;0,IF(I560&gt;0,MIN(H560,I560),H560),IF(I560&gt;0,I560,تاريخ_الاحتساب)))</f>
        <v/>
      </c>
      <c r="K560" s="34" t="str">
        <f aca="false">IF($G560="","",IF(AND(H560=0,I560=0),"جارية","مغلقة"))</f>
        <v/>
      </c>
      <c r="L560" s="26" t="str">
        <f aca="false">IF($G560="","",MAX(0,NETWORKDAYS.INTL($E560,J560,رمز_العطلة,أيام_الأجازات)-1))</f>
        <v/>
      </c>
      <c r="M560" s="26" t="str">
        <f aca="false">IF($G560="","",MAX(0,L560-مهلة_المراجعة))</f>
        <v/>
      </c>
      <c r="N560" s="30" t="str">
        <f aca="false">IF($A560="",IF(OR($D560&lt;&gt;"",$E560&lt;&gt;""),"رقم المخرج ناقص",""),IF(ISNA(MATCH($A560,قائمة_المخرجات,0)),"رقم مخرج غير موجود",IF($D560="","نوع الحركة ناقص",IF(NOT(ISNUMBER($E560)),"التاريخ ناقص",IF($E560&gt;تاريخ_الاحتساب,"تاريخ بعد تاريخ الاحتساب",IF(AND($D560&lt;&gt;"تسليم",COUNTIFS($A$5:$A$1504,$A560,$D$5:$D$1504,"تسليم",$E$5:$E$1504,"&lt;="&amp;$E560)=0),"لا يوجد تسليم قبل الحركة دي",""))))))</f>
        <v/>
      </c>
    </row>
    <row r="561" customFormat="false" ht="15" hidden="false" customHeight="false" outlineLevel="0" collapsed="false">
      <c r="A561" s="20"/>
      <c r="B561" s="35" t="str">
        <f aca="false">IF($A561="","",IFERROR(INDEX(مخرج_البند,MATCH($A561,قائمة_المخرجات,0)),""))</f>
        <v/>
      </c>
      <c r="C561" s="30" t="str">
        <f aca="false">IF($A561="","",IFERROR(INDEX(مخرج_الوصف,MATCH($A561,قائمة_المخرجات,0)),""))</f>
        <v/>
      </c>
      <c r="D561" s="20"/>
      <c r="E561" s="31"/>
      <c r="F561" s="22"/>
      <c r="G561" s="36" t="str">
        <f aca="false">IF(OR($A561="",$D561&lt;&gt;"تسليم",NOT(ISNUMBER($E561))),"",COUNTIFS($A$5:$A$1504,$A561,$D$5:$D$1504,"تسليم",$E$5:$E$1504,"&lt;"&amp;$E561)+1)</f>
        <v/>
      </c>
      <c r="H561" s="33" t="str">
        <f aca="false">IF($G561="","",_xlfn.MINIFS($E$5:$E$1504,$A$5:$A$1504,$A561,$D$5:$D$1504,"&lt;&gt;تسليم",$E$5:$E$1504,"&gt;="&amp;$E561))</f>
        <v/>
      </c>
      <c r="I561" s="33" t="str">
        <f aca="false">IF($G561="","",_xlfn.MINIFS($E$5:$E$1504,$A$5:$A$1504,$A561,$D$5:$D$1504,"تسليم",$E$5:$E$1504,"&gt;"&amp;$E561))</f>
        <v/>
      </c>
      <c r="J561" s="33" t="str">
        <f aca="false">IF($G561="","",IF(H561&gt;0,IF(I561&gt;0,MIN(H561,I561),H561),IF(I561&gt;0,I561,تاريخ_الاحتساب)))</f>
        <v/>
      </c>
      <c r="K561" s="34" t="str">
        <f aca="false">IF($G561="","",IF(AND(H561=0,I561=0),"جارية","مغلقة"))</f>
        <v/>
      </c>
      <c r="L561" s="26" t="str">
        <f aca="false">IF($G561="","",MAX(0,NETWORKDAYS.INTL($E561,J561,رمز_العطلة,أيام_الأجازات)-1))</f>
        <v/>
      </c>
      <c r="M561" s="26" t="str">
        <f aca="false">IF($G561="","",MAX(0,L561-مهلة_المراجعة))</f>
        <v/>
      </c>
      <c r="N561" s="30" t="str">
        <f aca="false">IF($A561="",IF(OR($D561&lt;&gt;"",$E561&lt;&gt;""),"رقم المخرج ناقص",""),IF(ISNA(MATCH($A561,قائمة_المخرجات,0)),"رقم مخرج غير موجود",IF($D561="","نوع الحركة ناقص",IF(NOT(ISNUMBER($E561)),"التاريخ ناقص",IF($E561&gt;تاريخ_الاحتساب,"تاريخ بعد تاريخ الاحتساب",IF(AND($D561&lt;&gt;"تسليم",COUNTIFS($A$5:$A$1504,$A561,$D$5:$D$1504,"تسليم",$E$5:$E$1504,"&lt;="&amp;$E561)=0),"لا يوجد تسليم قبل الحركة دي",""))))))</f>
        <v/>
      </c>
    </row>
    <row r="562" customFormat="false" ht="15" hidden="false" customHeight="false" outlineLevel="0" collapsed="false">
      <c r="A562" s="20"/>
      <c r="B562" s="35" t="str">
        <f aca="false">IF($A562="","",IFERROR(INDEX(مخرج_البند,MATCH($A562,قائمة_المخرجات,0)),""))</f>
        <v/>
      </c>
      <c r="C562" s="30" t="str">
        <f aca="false">IF($A562="","",IFERROR(INDEX(مخرج_الوصف,MATCH($A562,قائمة_المخرجات,0)),""))</f>
        <v/>
      </c>
      <c r="D562" s="20"/>
      <c r="E562" s="31"/>
      <c r="F562" s="22"/>
      <c r="G562" s="36" t="str">
        <f aca="false">IF(OR($A562="",$D562&lt;&gt;"تسليم",NOT(ISNUMBER($E562))),"",COUNTIFS($A$5:$A$1504,$A562,$D$5:$D$1504,"تسليم",$E$5:$E$1504,"&lt;"&amp;$E562)+1)</f>
        <v/>
      </c>
      <c r="H562" s="33" t="str">
        <f aca="false">IF($G562="","",_xlfn.MINIFS($E$5:$E$1504,$A$5:$A$1504,$A562,$D$5:$D$1504,"&lt;&gt;تسليم",$E$5:$E$1504,"&gt;="&amp;$E562))</f>
        <v/>
      </c>
      <c r="I562" s="33" t="str">
        <f aca="false">IF($G562="","",_xlfn.MINIFS($E$5:$E$1504,$A$5:$A$1504,$A562,$D$5:$D$1504,"تسليم",$E$5:$E$1504,"&gt;"&amp;$E562))</f>
        <v/>
      </c>
      <c r="J562" s="33" t="str">
        <f aca="false">IF($G562="","",IF(H562&gt;0,IF(I562&gt;0,MIN(H562,I562),H562),IF(I562&gt;0,I562,تاريخ_الاحتساب)))</f>
        <v/>
      </c>
      <c r="K562" s="34" t="str">
        <f aca="false">IF($G562="","",IF(AND(H562=0,I562=0),"جارية","مغلقة"))</f>
        <v/>
      </c>
      <c r="L562" s="26" t="str">
        <f aca="false">IF($G562="","",MAX(0,NETWORKDAYS.INTL($E562,J562,رمز_العطلة,أيام_الأجازات)-1))</f>
        <v/>
      </c>
      <c r="M562" s="26" t="str">
        <f aca="false">IF($G562="","",MAX(0,L562-مهلة_المراجعة))</f>
        <v/>
      </c>
      <c r="N562" s="30" t="str">
        <f aca="false">IF($A562="",IF(OR($D562&lt;&gt;"",$E562&lt;&gt;""),"رقم المخرج ناقص",""),IF(ISNA(MATCH($A562,قائمة_المخرجات,0)),"رقم مخرج غير موجود",IF($D562="","نوع الحركة ناقص",IF(NOT(ISNUMBER($E562)),"التاريخ ناقص",IF($E562&gt;تاريخ_الاحتساب,"تاريخ بعد تاريخ الاحتساب",IF(AND($D562&lt;&gt;"تسليم",COUNTIFS($A$5:$A$1504,$A562,$D$5:$D$1504,"تسليم",$E$5:$E$1504,"&lt;="&amp;$E562)=0),"لا يوجد تسليم قبل الحركة دي",""))))))</f>
        <v/>
      </c>
    </row>
    <row r="563" customFormat="false" ht="15" hidden="false" customHeight="false" outlineLevel="0" collapsed="false">
      <c r="A563" s="20"/>
      <c r="B563" s="35" t="str">
        <f aca="false">IF($A563="","",IFERROR(INDEX(مخرج_البند,MATCH($A563,قائمة_المخرجات,0)),""))</f>
        <v/>
      </c>
      <c r="C563" s="30" t="str">
        <f aca="false">IF($A563="","",IFERROR(INDEX(مخرج_الوصف,MATCH($A563,قائمة_المخرجات,0)),""))</f>
        <v/>
      </c>
      <c r="D563" s="20"/>
      <c r="E563" s="31"/>
      <c r="F563" s="22"/>
      <c r="G563" s="36" t="str">
        <f aca="false">IF(OR($A563="",$D563&lt;&gt;"تسليم",NOT(ISNUMBER($E563))),"",COUNTIFS($A$5:$A$1504,$A563,$D$5:$D$1504,"تسليم",$E$5:$E$1504,"&lt;"&amp;$E563)+1)</f>
        <v/>
      </c>
      <c r="H563" s="33" t="str">
        <f aca="false">IF($G563="","",_xlfn.MINIFS($E$5:$E$1504,$A$5:$A$1504,$A563,$D$5:$D$1504,"&lt;&gt;تسليم",$E$5:$E$1504,"&gt;="&amp;$E563))</f>
        <v/>
      </c>
      <c r="I563" s="33" t="str">
        <f aca="false">IF($G563="","",_xlfn.MINIFS($E$5:$E$1504,$A$5:$A$1504,$A563,$D$5:$D$1504,"تسليم",$E$5:$E$1504,"&gt;"&amp;$E563))</f>
        <v/>
      </c>
      <c r="J563" s="33" t="str">
        <f aca="false">IF($G563="","",IF(H563&gt;0,IF(I563&gt;0,MIN(H563,I563),H563),IF(I563&gt;0,I563,تاريخ_الاحتساب)))</f>
        <v/>
      </c>
      <c r="K563" s="34" t="str">
        <f aca="false">IF($G563="","",IF(AND(H563=0,I563=0),"جارية","مغلقة"))</f>
        <v/>
      </c>
      <c r="L563" s="26" t="str">
        <f aca="false">IF($G563="","",MAX(0,NETWORKDAYS.INTL($E563,J563,رمز_العطلة,أيام_الأجازات)-1))</f>
        <v/>
      </c>
      <c r="M563" s="26" t="str">
        <f aca="false">IF($G563="","",MAX(0,L563-مهلة_المراجعة))</f>
        <v/>
      </c>
      <c r="N563" s="30" t="str">
        <f aca="false">IF($A563="",IF(OR($D563&lt;&gt;"",$E563&lt;&gt;""),"رقم المخرج ناقص",""),IF(ISNA(MATCH($A563,قائمة_المخرجات,0)),"رقم مخرج غير موجود",IF($D563="","نوع الحركة ناقص",IF(NOT(ISNUMBER($E563)),"التاريخ ناقص",IF($E563&gt;تاريخ_الاحتساب,"تاريخ بعد تاريخ الاحتساب",IF(AND($D563&lt;&gt;"تسليم",COUNTIFS($A$5:$A$1504,$A563,$D$5:$D$1504,"تسليم",$E$5:$E$1504,"&lt;="&amp;$E563)=0),"لا يوجد تسليم قبل الحركة دي",""))))))</f>
        <v/>
      </c>
    </row>
    <row r="564" customFormat="false" ht="15" hidden="false" customHeight="false" outlineLevel="0" collapsed="false">
      <c r="A564" s="20"/>
      <c r="B564" s="35" t="str">
        <f aca="false">IF($A564="","",IFERROR(INDEX(مخرج_البند,MATCH($A564,قائمة_المخرجات,0)),""))</f>
        <v/>
      </c>
      <c r="C564" s="30" t="str">
        <f aca="false">IF($A564="","",IFERROR(INDEX(مخرج_الوصف,MATCH($A564,قائمة_المخرجات,0)),""))</f>
        <v/>
      </c>
      <c r="D564" s="20"/>
      <c r="E564" s="31"/>
      <c r="F564" s="22"/>
      <c r="G564" s="36" t="str">
        <f aca="false">IF(OR($A564="",$D564&lt;&gt;"تسليم",NOT(ISNUMBER($E564))),"",COUNTIFS($A$5:$A$1504,$A564,$D$5:$D$1504,"تسليم",$E$5:$E$1504,"&lt;"&amp;$E564)+1)</f>
        <v/>
      </c>
      <c r="H564" s="33" t="str">
        <f aca="false">IF($G564="","",_xlfn.MINIFS($E$5:$E$1504,$A$5:$A$1504,$A564,$D$5:$D$1504,"&lt;&gt;تسليم",$E$5:$E$1504,"&gt;="&amp;$E564))</f>
        <v/>
      </c>
      <c r="I564" s="33" t="str">
        <f aca="false">IF($G564="","",_xlfn.MINIFS($E$5:$E$1504,$A$5:$A$1504,$A564,$D$5:$D$1504,"تسليم",$E$5:$E$1504,"&gt;"&amp;$E564))</f>
        <v/>
      </c>
      <c r="J564" s="33" t="str">
        <f aca="false">IF($G564="","",IF(H564&gt;0,IF(I564&gt;0,MIN(H564,I564),H564),IF(I564&gt;0,I564,تاريخ_الاحتساب)))</f>
        <v/>
      </c>
      <c r="K564" s="34" t="str">
        <f aca="false">IF($G564="","",IF(AND(H564=0,I564=0),"جارية","مغلقة"))</f>
        <v/>
      </c>
      <c r="L564" s="26" t="str">
        <f aca="false">IF($G564="","",MAX(0,NETWORKDAYS.INTL($E564,J564,رمز_العطلة,أيام_الأجازات)-1))</f>
        <v/>
      </c>
      <c r="M564" s="26" t="str">
        <f aca="false">IF($G564="","",MAX(0,L564-مهلة_المراجعة))</f>
        <v/>
      </c>
      <c r="N564" s="30" t="str">
        <f aca="false">IF($A564="",IF(OR($D564&lt;&gt;"",$E564&lt;&gt;""),"رقم المخرج ناقص",""),IF(ISNA(MATCH($A564,قائمة_المخرجات,0)),"رقم مخرج غير موجود",IF($D564="","نوع الحركة ناقص",IF(NOT(ISNUMBER($E564)),"التاريخ ناقص",IF($E564&gt;تاريخ_الاحتساب,"تاريخ بعد تاريخ الاحتساب",IF(AND($D564&lt;&gt;"تسليم",COUNTIFS($A$5:$A$1504,$A564,$D$5:$D$1504,"تسليم",$E$5:$E$1504,"&lt;="&amp;$E564)=0),"لا يوجد تسليم قبل الحركة دي",""))))))</f>
        <v/>
      </c>
    </row>
    <row r="565" customFormat="false" ht="15" hidden="false" customHeight="false" outlineLevel="0" collapsed="false">
      <c r="A565" s="20"/>
      <c r="B565" s="35" t="str">
        <f aca="false">IF($A565="","",IFERROR(INDEX(مخرج_البند,MATCH($A565,قائمة_المخرجات,0)),""))</f>
        <v/>
      </c>
      <c r="C565" s="30" t="str">
        <f aca="false">IF($A565="","",IFERROR(INDEX(مخرج_الوصف,MATCH($A565,قائمة_المخرجات,0)),""))</f>
        <v/>
      </c>
      <c r="D565" s="20"/>
      <c r="E565" s="31"/>
      <c r="F565" s="22"/>
      <c r="G565" s="36" t="str">
        <f aca="false">IF(OR($A565="",$D565&lt;&gt;"تسليم",NOT(ISNUMBER($E565))),"",COUNTIFS($A$5:$A$1504,$A565,$D$5:$D$1504,"تسليم",$E$5:$E$1504,"&lt;"&amp;$E565)+1)</f>
        <v/>
      </c>
      <c r="H565" s="33" t="str">
        <f aca="false">IF($G565="","",_xlfn.MINIFS($E$5:$E$1504,$A$5:$A$1504,$A565,$D$5:$D$1504,"&lt;&gt;تسليم",$E$5:$E$1504,"&gt;="&amp;$E565))</f>
        <v/>
      </c>
      <c r="I565" s="33" t="str">
        <f aca="false">IF($G565="","",_xlfn.MINIFS($E$5:$E$1504,$A$5:$A$1504,$A565,$D$5:$D$1504,"تسليم",$E$5:$E$1504,"&gt;"&amp;$E565))</f>
        <v/>
      </c>
      <c r="J565" s="33" t="str">
        <f aca="false">IF($G565="","",IF(H565&gt;0,IF(I565&gt;0,MIN(H565,I565),H565),IF(I565&gt;0,I565,تاريخ_الاحتساب)))</f>
        <v/>
      </c>
      <c r="K565" s="34" t="str">
        <f aca="false">IF($G565="","",IF(AND(H565=0,I565=0),"جارية","مغلقة"))</f>
        <v/>
      </c>
      <c r="L565" s="26" t="str">
        <f aca="false">IF($G565="","",MAX(0,NETWORKDAYS.INTL($E565,J565,رمز_العطلة,أيام_الأجازات)-1))</f>
        <v/>
      </c>
      <c r="M565" s="26" t="str">
        <f aca="false">IF($G565="","",MAX(0,L565-مهلة_المراجعة))</f>
        <v/>
      </c>
      <c r="N565" s="30" t="str">
        <f aca="false">IF($A565="",IF(OR($D565&lt;&gt;"",$E565&lt;&gt;""),"رقم المخرج ناقص",""),IF(ISNA(MATCH($A565,قائمة_المخرجات,0)),"رقم مخرج غير موجود",IF($D565="","نوع الحركة ناقص",IF(NOT(ISNUMBER($E565)),"التاريخ ناقص",IF($E565&gt;تاريخ_الاحتساب,"تاريخ بعد تاريخ الاحتساب",IF(AND($D565&lt;&gt;"تسليم",COUNTIFS($A$5:$A$1504,$A565,$D$5:$D$1504,"تسليم",$E$5:$E$1504,"&lt;="&amp;$E565)=0),"لا يوجد تسليم قبل الحركة دي",""))))))</f>
        <v/>
      </c>
    </row>
    <row r="566" customFormat="false" ht="15" hidden="false" customHeight="false" outlineLevel="0" collapsed="false">
      <c r="A566" s="20"/>
      <c r="B566" s="35" t="str">
        <f aca="false">IF($A566="","",IFERROR(INDEX(مخرج_البند,MATCH($A566,قائمة_المخرجات,0)),""))</f>
        <v/>
      </c>
      <c r="C566" s="30" t="str">
        <f aca="false">IF($A566="","",IFERROR(INDEX(مخرج_الوصف,MATCH($A566,قائمة_المخرجات,0)),""))</f>
        <v/>
      </c>
      <c r="D566" s="20"/>
      <c r="E566" s="31"/>
      <c r="F566" s="22"/>
      <c r="G566" s="36" t="str">
        <f aca="false">IF(OR($A566="",$D566&lt;&gt;"تسليم",NOT(ISNUMBER($E566))),"",COUNTIFS($A$5:$A$1504,$A566,$D$5:$D$1504,"تسليم",$E$5:$E$1504,"&lt;"&amp;$E566)+1)</f>
        <v/>
      </c>
      <c r="H566" s="33" t="str">
        <f aca="false">IF($G566="","",_xlfn.MINIFS($E$5:$E$1504,$A$5:$A$1504,$A566,$D$5:$D$1504,"&lt;&gt;تسليم",$E$5:$E$1504,"&gt;="&amp;$E566))</f>
        <v/>
      </c>
      <c r="I566" s="33" t="str">
        <f aca="false">IF($G566="","",_xlfn.MINIFS($E$5:$E$1504,$A$5:$A$1504,$A566,$D$5:$D$1504,"تسليم",$E$5:$E$1504,"&gt;"&amp;$E566))</f>
        <v/>
      </c>
      <c r="J566" s="33" t="str">
        <f aca="false">IF($G566="","",IF(H566&gt;0,IF(I566&gt;0,MIN(H566,I566),H566),IF(I566&gt;0,I566,تاريخ_الاحتساب)))</f>
        <v/>
      </c>
      <c r="K566" s="34" t="str">
        <f aca="false">IF($G566="","",IF(AND(H566=0,I566=0),"جارية","مغلقة"))</f>
        <v/>
      </c>
      <c r="L566" s="26" t="str">
        <f aca="false">IF($G566="","",MAX(0,NETWORKDAYS.INTL($E566,J566,رمز_العطلة,أيام_الأجازات)-1))</f>
        <v/>
      </c>
      <c r="M566" s="26" t="str">
        <f aca="false">IF($G566="","",MAX(0,L566-مهلة_المراجعة))</f>
        <v/>
      </c>
      <c r="N566" s="30" t="str">
        <f aca="false">IF($A566="",IF(OR($D566&lt;&gt;"",$E566&lt;&gt;""),"رقم المخرج ناقص",""),IF(ISNA(MATCH($A566,قائمة_المخرجات,0)),"رقم مخرج غير موجود",IF($D566="","نوع الحركة ناقص",IF(NOT(ISNUMBER($E566)),"التاريخ ناقص",IF($E566&gt;تاريخ_الاحتساب,"تاريخ بعد تاريخ الاحتساب",IF(AND($D566&lt;&gt;"تسليم",COUNTIFS($A$5:$A$1504,$A566,$D$5:$D$1504,"تسليم",$E$5:$E$1504,"&lt;="&amp;$E566)=0),"لا يوجد تسليم قبل الحركة دي",""))))))</f>
        <v/>
      </c>
    </row>
    <row r="567" customFormat="false" ht="15" hidden="false" customHeight="false" outlineLevel="0" collapsed="false">
      <c r="A567" s="20"/>
      <c r="B567" s="35" t="str">
        <f aca="false">IF($A567="","",IFERROR(INDEX(مخرج_البند,MATCH($A567,قائمة_المخرجات,0)),""))</f>
        <v/>
      </c>
      <c r="C567" s="30" t="str">
        <f aca="false">IF($A567="","",IFERROR(INDEX(مخرج_الوصف,MATCH($A567,قائمة_المخرجات,0)),""))</f>
        <v/>
      </c>
      <c r="D567" s="20"/>
      <c r="E567" s="31"/>
      <c r="F567" s="22"/>
      <c r="G567" s="36" t="str">
        <f aca="false">IF(OR($A567="",$D567&lt;&gt;"تسليم",NOT(ISNUMBER($E567))),"",COUNTIFS($A$5:$A$1504,$A567,$D$5:$D$1504,"تسليم",$E$5:$E$1504,"&lt;"&amp;$E567)+1)</f>
        <v/>
      </c>
      <c r="H567" s="33" t="str">
        <f aca="false">IF($G567="","",_xlfn.MINIFS($E$5:$E$1504,$A$5:$A$1504,$A567,$D$5:$D$1504,"&lt;&gt;تسليم",$E$5:$E$1504,"&gt;="&amp;$E567))</f>
        <v/>
      </c>
      <c r="I567" s="33" t="str">
        <f aca="false">IF($G567="","",_xlfn.MINIFS($E$5:$E$1504,$A$5:$A$1504,$A567,$D$5:$D$1504,"تسليم",$E$5:$E$1504,"&gt;"&amp;$E567))</f>
        <v/>
      </c>
      <c r="J567" s="33" t="str">
        <f aca="false">IF($G567="","",IF(H567&gt;0,IF(I567&gt;0,MIN(H567,I567),H567),IF(I567&gt;0,I567,تاريخ_الاحتساب)))</f>
        <v/>
      </c>
      <c r="K567" s="34" t="str">
        <f aca="false">IF($G567="","",IF(AND(H567=0,I567=0),"جارية","مغلقة"))</f>
        <v/>
      </c>
      <c r="L567" s="26" t="str">
        <f aca="false">IF($G567="","",MAX(0,NETWORKDAYS.INTL($E567,J567,رمز_العطلة,أيام_الأجازات)-1))</f>
        <v/>
      </c>
      <c r="M567" s="26" t="str">
        <f aca="false">IF($G567="","",MAX(0,L567-مهلة_المراجعة))</f>
        <v/>
      </c>
      <c r="N567" s="30" t="str">
        <f aca="false">IF($A567="",IF(OR($D567&lt;&gt;"",$E567&lt;&gt;""),"رقم المخرج ناقص",""),IF(ISNA(MATCH($A567,قائمة_المخرجات,0)),"رقم مخرج غير موجود",IF($D567="","نوع الحركة ناقص",IF(NOT(ISNUMBER($E567)),"التاريخ ناقص",IF($E567&gt;تاريخ_الاحتساب,"تاريخ بعد تاريخ الاحتساب",IF(AND($D567&lt;&gt;"تسليم",COUNTIFS($A$5:$A$1504,$A567,$D$5:$D$1504,"تسليم",$E$5:$E$1504,"&lt;="&amp;$E567)=0),"لا يوجد تسليم قبل الحركة دي",""))))))</f>
        <v/>
      </c>
    </row>
    <row r="568" customFormat="false" ht="15" hidden="false" customHeight="false" outlineLevel="0" collapsed="false">
      <c r="A568" s="20"/>
      <c r="B568" s="35" t="str">
        <f aca="false">IF($A568="","",IFERROR(INDEX(مخرج_البند,MATCH($A568,قائمة_المخرجات,0)),""))</f>
        <v/>
      </c>
      <c r="C568" s="30" t="str">
        <f aca="false">IF($A568="","",IFERROR(INDEX(مخرج_الوصف,MATCH($A568,قائمة_المخرجات,0)),""))</f>
        <v/>
      </c>
      <c r="D568" s="20"/>
      <c r="E568" s="31"/>
      <c r="F568" s="22"/>
      <c r="G568" s="36" t="str">
        <f aca="false">IF(OR($A568="",$D568&lt;&gt;"تسليم",NOT(ISNUMBER($E568))),"",COUNTIFS($A$5:$A$1504,$A568,$D$5:$D$1504,"تسليم",$E$5:$E$1504,"&lt;"&amp;$E568)+1)</f>
        <v/>
      </c>
      <c r="H568" s="33" t="str">
        <f aca="false">IF($G568="","",_xlfn.MINIFS($E$5:$E$1504,$A$5:$A$1504,$A568,$D$5:$D$1504,"&lt;&gt;تسليم",$E$5:$E$1504,"&gt;="&amp;$E568))</f>
        <v/>
      </c>
      <c r="I568" s="33" t="str">
        <f aca="false">IF($G568="","",_xlfn.MINIFS($E$5:$E$1504,$A$5:$A$1504,$A568,$D$5:$D$1504,"تسليم",$E$5:$E$1504,"&gt;"&amp;$E568))</f>
        <v/>
      </c>
      <c r="J568" s="33" t="str">
        <f aca="false">IF($G568="","",IF(H568&gt;0,IF(I568&gt;0,MIN(H568,I568),H568),IF(I568&gt;0,I568,تاريخ_الاحتساب)))</f>
        <v/>
      </c>
      <c r="K568" s="34" t="str">
        <f aca="false">IF($G568="","",IF(AND(H568=0,I568=0),"جارية","مغلقة"))</f>
        <v/>
      </c>
      <c r="L568" s="26" t="str">
        <f aca="false">IF($G568="","",MAX(0,NETWORKDAYS.INTL($E568,J568,رمز_العطلة,أيام_الأجازات)-1))</f>
        <v/>
      </c>
      <c r="M568" s="26" t="str">
        <f aca="false">IF($G568="","",MAX(0,L568-مهلة_المراجعة))</f>
        <v/>
      </c>
      <c r="N568" s="30" t="str">
        <f aca="false">IF($A568="",IF(OR($D568&lt;&gt;"",$E568&lt;&gt;""),"رقم المخرج ناقص",""),IF(ISNA(MATCH($A568,قائمة_المخرجات,0)),"رقم مخرج غير موجود",IF($D568="","نوع الحركة ناقص",IF(NOT(ISNUMBER($E568)),"التاريخ ناقص",IF($E568&gt;تاريخ_الاحتساب,"تاريخ بعد تاريخ الاحتساب",IF(AND($D568&lt;&gt;"تسليم",COUNTIFS($A$5:$A$1504,$A568,$D$5:$D$1504,"تسليم",$E$5:$E$1504,"&lt;="&amp;$E568)=0),"لا يوجد تسليم قبل الحركة دي",""))))))</f>
        <v/>
      </c>
    </row>
    <row r="569" customFormat="false" ht="15" hidden="false" customHeight="false" outlineLevel="0" collapsed="false">
      <c r="A569" s="20"/>
      <c r="B569" s="35" t="str">
        <f aca="false">IF($A569="","",IFERROR(INDEX(مخرج_البند,MATCH($A569,قائمة_المخرجات,0)),""))</f>
        <v/>
      </c>
      <c r="C569" s="30" t="str">
        <f aca="false">IF($A569="","",IFERROR(INDEX(مخرج_الوصف,MATCH($A569,قائمة_المخرجات,0)),""))</f>
        <v/>
      </c>
      <c r="D569" s="20"/>
      <c r="E569" s="31"/>
      <c r="F569" s="22"/>
      <c r="G569" s="36" t="str">
        <f aca="false">IF(OR($A569="",$D569&lt;&gt;"تسليم",NOT(ISNUMBER($E569))),"",COUNTIFS($A$5:$A$1504,$A569,$D$5:$D$1504,"تسليم",$E$5:$E$1504,"&lt;"&amp;$E569)+1)</f>
        <v/>
      </c>
      <c r="H569" s="33" t="str">
        <f aca="false">IF($G569="","",_xlfn.MINIFS($E$5:$E$1504,$A$5:$A$1504,$A569,$D$5:$D$1504,"&lt;&gt;تسليم",$E$5:$E$1504,"&gt;="&amp;$E569))</f>
        <v/>
      </c>
      <c r="I569" s="33" t="str">
        <f aca="false">IF($G569="","",_xlfn.MINIFS($E$5:$E$1504,$A$5:$A$1504,$A569,$D$5:$D$1504,"تسليم",$E$5:$E$1504,"&gt;"&amp;$E569))</f>
        <v/>
      </c>
      <c r="J569" s="33" t="str">
        <f aca="false">IF($G569="","",IF(H569&gt;0,IF(I569&gt;0,MIN(H569,I569),H569),IF(I569&gt;0,I569,تاريخ_الاحتساب)))</f>
        <v/>
      </c>
      <c r="K569" s="34" t="str">
        <f aca="false">IF($G569="","",IF(AND(H569=0,I569=0),"جارية","مغلقة"))</f>
        <v/>
      </c>
      <c r="L569" s="26" t="str">
        <f aca="false">IF($G569="","",MAX(0,NETWORKDAYS.INTL($E569,J569,رمز_العطلة,أيام_الأجازات)-1))</f>
        <v/>
      </c>
      <c r="M569" s="26" t="str">
        <f aca="false">IF($G569="","",MAX(0,L569-مهلة_المراجعة))</f>
        <v/>
      </c>
      <c r="N569" s="30" t="str">
        <f aca="false">IF($A569="",IF(OR($D569&lt;&gt;"",$E569&lt;&gt;""),"رقم المخرج ناقص",""),IF(ISNA(MATCH($A569,قائمة_المخرجات,0)),"رقم مخرج غير موجود",IF($D569="","نوع الحركة ناقص",IF(NOT(ISNUMBER($E569)),"التاريخ ناقص",IF($E569&gt;تاريخ_الاحتساب,"تاريخ بعد تاريخ الاحتساب",IF(AND($D569&lt;&gt;"تسليم",COUNTIFS($A$5:$A$1504,$A569,$D$5:$D$1504,"تسليم",$E$5:$E$1504,"&lt;="&amp;$E569)=0),"لا يوجد تسليم قبل الحركة دي",""))))))</f>
        <v/>
      </c>
    </row>
    <row r="570" customFormat="false" ht="15" hidden="false" customHeight="false" outlineLevel="0" collapsed="false">
      <c r="A570" s="20"/>
      <c r="B570" s="35" t="str">
        <f aca="false">IF($A570="","",IFERROR(INDEX(مخرج_البند,MATCH($A570,قائمة_المخرجات,0)),""))</f>
        <v/>
      </c>
      <c r="C570" s="30" t="str">
        <f aca="false">IF($A570="","",IFERROR(INDEX(مخرج_الوصف,MATCH($A570,قائمة_المخرجات,0)),""))</f>
        <v/>
      </c>
      <c r="D570" s="20"/>
      <c r="E570" s="31"/>
      <c r="F570" s="22"/>
      <c r="G570" s="36" t="str">
        <f aca="false">IF(OR($A570="",$D570&lt;&gt;"تسليم",NOT(ISNUMBER($E570))),"",COUNTIFS($A$5:$A$1504,$A570,$D$5:$D$1504,"تسليم",$E$5:$E$1504,"&lt;"&amp;$E570)+1)</f>
        <v/>
      </c>
      <c r="H570" s="33" t="str">
        <f aca="false">IF($G570="","",_xlfn.MINIFS($E$5:$E$1504,$A$5:$A$1504,$A570,$D$5:$D$1504,"&lt;&gt;تسليم",$E$5:$E$1504,"&gt;="&amp;$E570))</f>
        <v/>
      </c>
      <c r="I570" s="33" t="str">
        <f aca="false">IF($G570="","",_xlfn.MINIFS($E$5:$E$1504,$A$5:$A$1504,$A570,$D$5:$D$1504,"تسليم",$E$5:$E$1504,"&gt;"&amp;$E570))</f>
        <v/>
      </c>
      <c r="J570" s="33" t="str">
        <f aca="false">IF($G570="","",IF(H570&gt;0,IF(I570&gt;0,MIN(H570,I570),H570),IF(I570&gt;0,I570,تاريخ_الاحتساب)))</f>
        <v/>
      </c>
      <c r="K570" s="34" t="str">
        <f aca="false">IF($G570="","",IF(AND(H570=0,I570=0),"جارية","مغلقة"))</f>
        <v/>
      </c>
      <c r="L570" s="26" t="str">
        <f aca="false">IF($G570="","",MAX(0,NETWORKDAYS.INTL($E570,J570,رمز_العطلة,أيام_الأجازات)-1))</f>
        <v/>
      </c>
      <c r="M570" s="26" t="str">
        <f aca="false">IF($G570="","",MAX(0,L570-مهلة_المراجعة))</f>
        <v/>
      </c>
      <c r="N570" s="30" t="str">
        <f aca="false">IF($A570="",IF(OR($D570&lt;&gt;"",$E570&lt;&gt;""),"رقم المخرج ناقص",""),IF(ISNA(MATCH($A570,قائمة_المخرجات,0)),"رقم مخرج غير موجود",IF($D570="","نوع الحركة ناقص",IF(NOT(ISNUMBER($E570)),"التاريخ ناقص",IF($E570&gt;تاريخ_الاحتساب,"تاريخ بعد تاريخ الاحتساب",IF(AND($D570&lt;&gt;"تسليم",COUNTIFS($A$5:$A$1504,$A570,$D$5:$D$1504,"تسليم",$E$5:$E$1504,"&lt;="&amp;$E570)=0),"لا يوجد تسليم قبل الحركة دي",""))))))</f>
        <v/>
      </c>
    </row>
    <row r="571" customFormat="false" ht="15" hidden="false" customHeight="false" outlineLevel="0" collapsed="false">
      <c r="A571" s="20"/>
      <c r="B571" s="35" t="str">
        <f aca="false">IF($A571="","",IFERROR(INDEX(مخرج_البند,MATCH($A571,قائمة_المخرجات,0)),""))</f>
        <v/>
      </c>
      <c r="C571" s="30" t="str">
        <f aca="false">IF($A571="","",IFERROR(INDEX(مخرج_الوصف,MATCH($A571,قائمة_المخرجات,0)),""))</f>
        <v/>
      </c>
      <c r="D571" s="20"/>
      <c r="E571" s="31"/>
      <c r="F571" s="22"/>
      <c r="G571" s="36" t="str">
        <f aca="false">IF(OR($A571="",$D571&lt;&gt;"تسليم",NOT(ISNUMBER($E571))),"",COUNTIFS($A$5:$A$1504,$A571,$D$5:$D$1504,"تسليم",$E$5:$E$1504,"&lt;"&amp;$E571)+1)</f>
        <v/>
      </c>
      <c r="H571" s="33" t="str">
        <f aca="false">IF($G571="","",_xlfn.MINIFS($E$5:$E$1504,$A$5:$A$1504,$A571,$D$5:$D$1504,"&lt;&gt;تسليم",$E$5:$E$1504,"&gt;="&amp;$E571))</f>
        <v/>
      </c>
      <c r="I571" s="33" t="str">
        <f aca="false">IF($G571="","",_xlfn.MINIFS($E$5:$E$1504,$A$5:$A$1504,$A571,$D$5:$D$1504,"تسليم",$E$5:$E$1504,"&gt;"&amp;$E571))</f>
        <v/>
      </c>
      <c r="J571" s="33" t="str">
        <f aca="false">IF($G571="","",IF(H571&gt;0,IF(I571&gt;0,MIN(H571,I571),H571),IF(I571&gt;0,I571,تاريخ_الاحتساب)))</f>
        <v/>
      </c>
      <c r="K571" s="34" t="str">
        <f aca="false">IF($G571="","",IF(AND(H571=0,I571=0),"جارية","مغلقة"))</f>
        <v/>
      </c>
      <c r="L571" s="26" t="str">
        <f aca="false">IF($G571="","",MAX(0,NETWORKDAYS.INTL($E571,J571,رمز_العطلة,أيام_الأجازات)-1))</f>
        <v/>
      </c>
      <c r="M571" s="26" t="str">
        <f aca="false">IF($G571="","",MAX(0,L571-مهلة_المراجعة))</f>
        <v/>
      </c>
      <c r="N571" s="30" t="str">
        <f aca="false">IF($A571="",IF(OR($D571&lt;&gt;"",$E571&lt;&gt;""),"رقم المخرج ناقص",""),IF(ISNA(MATCH($A571,قائمة_المخرجات,0)),"رقم مخرج غير موجود",IF($D571="","نوع الحركة ناقص",IF(NOT(ISNUMBER($E571)),"التاريخ ناقص",IF($E571&gt;تاريخ_الاحتساب,"تاريخ بعد تاريخ الاحتساب",IF(AND($D571&lt;&gt;"تسليم",COUNTIFS($A$5:$A$1504,$A571,$D$5:$D$1504,"تسليم",$E$5:$E$1504,"&lt;="&amp;$E571)=0),"لا يوجد تسليم قبل الحركة دي",""))))))</f>
        <v/>
      </c>
    </row>
    <row r="572" customFormat="false" ht="15" hidden="false" customHeight="false" outlineLevel="0" collapsed="false">
      <c r="A572" s="20"/>
      <c r="B572" s="35" t="str">
        <f aca="false">IF($A572="","",IFERROR(INDEX(مخرج_البند,MATCH($A572,قائمة_المخرجات,0)),""))</f>
        <v/>
      </c>
      <c r="C572" s="30" t="str">
        <f aca="false">IF($A572="","",IFERROR(INDEX(مخرج_الوصف,MATCH($A572,قائمة_المخرجات,0)),""))</f>
        <v/>
      </c>
      <c r="D572" s="20"/>
      <c r="E572" s="31"/>
      <c r="F572" s="22"/>
      <c r="G572" s="36" t="str">
        <f aca="false">IF(OR($A572="",$D572&lt;&gt;"تسليم",NOT(ISNUMBER($E572))),"",COUNTIFS($A$5:$A$1504,$A572,$D$5:$D$1504,"تسليم",$E$5:$E$1504,"&lt;"&amp;$E572)+1)</f>
        <v/>
      </c>
      <c r="H572" s="33" t="str">
        <f aca="false">IF($G572="","",_xlfn.MINIFS($E$5:$E$1504,$A$5:$A$1504,$A572,$D$5:$D$1504,"&lt;&gt;تسليم",$E$5:$E$1504,"&gt;="&amp;$E572))</f>
        <v/>
      </c>
      <c r="I572" s="33" t="str">
        <f aca="false">IF($G572="","",_xlfn.MINIFS($E$5:$E$1504,$A$5:$A$1504,$A572,$D$5:$D$1504,"تسليم",$E$5:$E$1504,"&gt;"&amp;$E572))</f>
        <v/>
      </c>
      <c r="J572" s="33" t="str">
        <f aca="false">IF($G572="","",IF(H572&gt;0,IF(I572&gt;0,MIN(H572,I572),H572),IF(I572&gt;0,I572,تاريخ_الاحتساب)))</f>
        <v/>
      </c>
      <c r="K572" s="34" t="str">
        <f aca="false">IF($G572="","",IF(AND(H572=0,I572=0),"جارية","مغلقة"))</f>
        <v/>
      </c>
      <c r="L572" s="26" t="str">
        <f aca="false">IF($G572="","",MAX(0,NETWORKDAYS.INTL($E572,J572,رمز_العطلة,أيام_الأجازات)-1))</f>
        <v/>
      </c>
      <c r="M572" s="26" t="str">
        <f aca="false">IF($G572="","",MAX(0,L572-مهلة_المراجعة))</f>
        <v/>
      </c>
      <c r="N572" s="30" t="str">
        <f aca="false">IF($A572="",IF(OR($D572&lt;&gt;"",$E572&lt;&gt;""),"رقم المخرج ناقص",""),IF(ISNA(MATCH($A572,قائمة_المخرجات,0)),"رقم مخرج غير موجود",IF($D572="","نوع الحركة ناقص",IF(NOT(ISNUMBER($E572)),"التاريخ ناقص",IF($E572&gt;تاريخ_الاحتساب,"تاريخ بعد تاريخ الاحتساب",IF(AND($D572&lt;&gt;"تسليم",COUNTIFS($A$5:$A$1504,$A572,$D$5:$D$1504,"تسليم",$E$5:$E$1504,"&lt;="&amp;$E572)=0),"لا يوجد تسليم قبل الحركة دي",""))))))</f>
        <v/>
      </c>
    </row>
    <row r="573" customFormat="false" ht="15" hidden="false" customHeight="false" outlineLevel="0" collapsed="false">
      <c r="A573" s="20"/>
      <c r="B573" s="35" t="str">
        <f aca="false">IF($A573="","",IFERROR(INDEX(مخرج_البند,MATCH($A573,قائمة_المخرجات,0)),""))</f>
        <v/>
      </c>
      <c r="C573" s="30" t="str">
        <f aca="false">IF($A573="","",IFERROR(INDEX(مخرج_الوصف,MATCH($A573,قائمة_المخرجات,0)),""))</f>
        <v/>
      </c>
      <c r="D573" s="20"/>
      <c r="E573" s="31"/>
      <c r="F573" s="22"/>
      <c r="G573" s="36" t="str">
        <f aca="false">IF(OR($A573="",$D573&lt;&gt;"تسليم",NOT(ISNUMBER($E573))),"",COUNTIFS($A$5:$A$1504,$A573,$D$5:$D$1504,"تسليم",$E$5:$E$1504,"&lt;"&amp;$E573)+1)</f>
        <v/>
      </c>
      <c r="H573" s="33" t="str">
        <f aca="false">IF($G573="","",_xlfn.MINIFS($E$5:$E$1504,$A$5:$A$1504,$A573,$D$5:$D$1504,"&lt;&gt;تسليم",$E$5:$E$1504,"&gt;="&amp;$E573))</f>
        <v/>
      </c>
      <c r="I573" s="33" t="str">
        <f aca="false">IF($G573="","",_xlfn.MINIFS($E$5:$E$1504,$A$5:$A$1504,$A573,$D$5:$D$1504,"تسليم",$E$5:$E$1504,"&gt;"&amp;$E573))</f>
        <v/>
      </c>
      <c r="J573" s="33" t="str">
        <f aca="false">IF($G573="","",IF(H573&gt;0,IF(I573&gt;0,MIN(H573,I573),H573),IF(I573&gt;0,I573,تاريخ_الاحتساب)))</f>
        <v/>
      </c>
      <c r="K573" s="34" t="str">
        <f aca="false">IF($G573="","",IF(AND(H573=0,I573=0),"جارية","مغلقة"))</f>
        <v/>
      </c>
      <c r="L573" s="26" t="str">
        <f aca="false">IF($G573="","",MAX(0,NETWORKDAYS.INTL($E573,J573,رمز_العطلة,أيام_الأجازات)-1))</f>
        <v/>
      </c>
      <c r="M573" s="26" t="str">
        <f aca="false">IF($G573="","",MAX(0,L573-مهلة_المراجعة))</f>
        <v/>
      </c>
      <c r="N573" s="30" t="str">
        <f aca="false">IF($A573="",IF(OR($D573&lt;&gt;"",$E573&lt;&gt;""),"رقم المخرج ناقص",""),IF(ISNA(MATCH($A573,قائمة_المخرجات,0)),"رقم مخرج غير موجود",IF($D573="","نوع الحركة ناقص",IF(NOT(ISNUMBER($E573)),"التاريخ ناقص",IF($E573&gt;تاريخ_الاحتساب,"تاريخ بعد تاريخ الاحتساب",IF(AND($D573&lt;&gt;"تسليم",COUNTIFS($A$5:$A$1504,$A573,$D$5:$D$1504,"تسليم",$E$5:$E$1504,"&lt;="&amp;$E573)=0),"لا يوجد تسليم قبل الحركة دي",""))))))</f>
        <v/>
      </c>
    </row>
    <row r="574" customFormat="false" ht="15" hidden="false" customHeight="false" outlineLevel="0" collapsed="false">
      <c r="A574" s="20"/>
      <c r="B574" s="35" t="str">
        <f aca="false">IF($A574="","",IFERROR(INDEX(مخرج_البند,MATCH($A574,قائمة_المخرجات,0)),""))</f>
        <v/>
      </c>
      <c r="C574" s="30" t="str">
        <f aca="false">IF($A574="","",IFERROR(INDEX(مخرج_الوصف,MATCH($A574,قائمة_المخرجات,0)),""))</f>
        <v/>
      </c>
      <c r="D574" s="20"/>
      <c r="E574" s="31"/>
      <c r="F574" s="22"/>
      <c r="G574" s="36" t="str">
        <f aca="false">IF(OR($A574="",$D574&lt;&gt;"تسليم",NOT(ISNUMBER($E574))),"",COUNTIFS($A$5:$A$1504,$A574,$D$5:$D$1504,"تسليم",$E$5:$E$1504,"&lt;"&amp;$E574)+1)</f>
        <v/>
      </c>
      <c r="H574" s="33" t="str">
        <f aca="false">IF($G574="","",_xlfn.MINIFS($E$5:$E$1504,$A$5:$A$1504,$A574,$D$5:$D$1504,"&lt;&gt;تسليم",$E$5:$E$1504,"&gt;="&amp;$E574))</f>
        <v/>
      </c>
      <c r="I574" s="33" t="str">
        <f aca="false">IF($G574="","",_xlfn.MINIFS($E$5:$E$1504,$A$5:$A$1504,$A574,$D$5:$D$1504,"تسليم",$E$5:$E$1504,"&gt;"&amp;$E574))</f>
        <v/>
      </c>
      <c r="J574" s="33" t="str">
        <f aca="false">IF($G574="","",IF(H574&gt;0,IF(I574&gt;0,MIN(H574,I574),H574),IF(I574&gt;0,I574,تاريخ_الاحتساب)))</f>
        <v/>
      </c>
      <c r="K574" s="34" t="str">
        <f aca="false">IF($G574="","",IF(AND(H574=0,I574=0),"جارية","مغلقة"))</f>
        <v/>
      </c>
      <c r="L574" s="26" t="str">
        <f aca="false">IF($G574="","",MAX(0,NETWORKDAYS.INTL($E574,J574,رمز_العطلة,أيام_الأجازات)-1))</f>
        <v/>
      </c>
      <c r="M574" s="26" t="str">
        <f aca="false">IF($G574="","",MAX(0,L574-مهلة_المراجعة))</f>
        <v/>
      </c>
      <c r="N574" s="30" t="str">
        <f aca="false">IF($A574="",IF(OR($D574&lt;&gt;"",$E574&lt;&gt;""),"رقم المخرج ناقص",""),IF(ISNA(MATCH($A574,قائمة_المخرجات,0)),"رقم مخرج غير موجود",IF($D574="","نوع الحركة ناقص",IF(NOT(ISNUMBER($E574)),"التاريخ ناقص",IF($E574&gt;تاريخ_الاحتساب,"تاريخ بعد تاريخ الاحتساب",IF(AND($D574&lt;&gt;"تسليم",COUNTIFS($A$5:$A$1504,$A574,$D$5:$D$1504,"تسليم",$E$5:$E$1504,"&lt;="&amp;$E574)=0),"لا يوجد تسليم قبل الحركة دي",""))))))</f>
        <v/>
      </c>
    </row>
    <row r="575" customFormat="false" ht="15" hidden="false" customHeight="false" outlineLevel="0" collapsed="false">
      <c r="A575" s="20"/>
      <c r="B575" s="35" t="str">
        <f aca="false">IF($A575="","",IFERROR(INDEX(مخرج_البند,MATCH($A575,قائمة_المخرجات,0)),""))</f>
        <v/>
      </c>
      <c r="C575" s="30" t="str">
        <f aca="false">IF($A575="","",IFERROR(INDEX(مخرج_الوصف,MATCH($A575,قائمة_المخرجات,0)),""))</f>
        <v/>
      </c>
      <c r="D575" s="20"/>
      <c r="E575" s="31"/>
      <c r="F575" s="22"/>
      <c r="G575" s="36" t="str">
        <f aca="false">IF(OR($A575="",$D575&lt;&gt;"تسليم",NOT(ISNUMBER($E575))),"",COUNTIFS($A$5:$A$1504,$A575,$D$5:$D$1504,"تسليم",$E$5:$E$1504,"&lt;"&amp;$E575)+1)</f>
        <v/>
      </c>
      <c r="H575" s="33" t="str">
        <f aca="false">IF($G575="","",_xlfn.MINIFS($E$5:$E$1504,$A$5:$A$1504,$A575,$D$5:$D$1504,"&lt;&gt;تسليم",$E$5:$E$1504,"&gt;="&amp;$E575))</f>
        <v/>
      </c>
      <c r="I575" s="33" t="str">
        <f aca="false">IF($G575="","",_xlfn.MINIFS($E$5:$E$1504,$A$5:$A$1504,$A575,$D$5:$D$1504,"تسليم",$E$5:$E$1504,"&gt;"&amp;$E575))</f>
        <v/>
      </c>
      <c r="J575" s="33" t="str">
        <f aca="false">IF($G575="","",IF(H575&gt;0,IF(I575&gt;0,MIN(H575,I575),H575),IF(I575&gt;0,I575,تاريخ_الاحتساب)))</f>
        <v/>
      </c>
      <c r="K575" s="34" t="str">
        <f aca="false">IF($G575="","",IF(AND(H575=0,I575=0),"جارية","مغلقة"))</f>
        <v/>
      </c>
      <c r="L575" s="26" t="str">
        <f aca="false">IF($G575="","",MAX(0,NETWORKDAYS.INTL($E575,J575,رمز_العطلة,أيام_الأجازات)-1))</f>
        <v/>
      </c>
      <c r="M575" s="26" t="str">
        <f aca="false">IF($G575="","",MAX(0,L575-مهلة_المراجعة))</f>
        <v/>
      </c>
      <c r="N575" s="30" t="str">
        <f aca="false">IF($A575="",IF(OR($D575&lt;&gt;"",$E575&lt;&gt;""),"رقم المخرج ناقص",""),IF(ISNA(MATCH($A575,قائمة_المخرجات,0)),"رقم مخرج غير موجود",IF($D575="","نوع الحركة ناقص",IF(NOT(ISNUMBER($E575)),"التاريخ ناقص",IF($E575&gt;تاريخ_الاحتساب,"تاريخ بعد تاريخ الاحتساب",IF(AND($D575&lt;&gt;"تسليم",COUNTIFS($A$5:$A$1504,$A575,$D$5:$D$1504,"تسليم",$E$5:$E$1504,"&lt;="&amp;$E575)=0),"لا يوجد تسليم قبل الحركة دي",""))))))</f>
        <v/>
      </c>
    </row>
    <row r="576" customFormat="false" ht="15" hidden="false" customHeight="false" outlineLevel="0" collapsed="false">
      <c r="A576" s="20"/>
      <c r="B576" s="35" t="str">
        <f aca="false">IF($A576="","",IFERROR(INDEX(مخرج_البند,MATCH($A576,قائمة_المخرجات,0)),""))</f>
        <v/>
      </c>
      <c r="C576" s="30" t="str">
        <f aca="false">IF($A576="","",IFERROR(INDEX(مخرج_الوصف,MATCH($A576,قائمة_المخرجات,0)),""))</f>
        <v/>
      </c>
      <c r="D576" s="20"/>
      <c r="E576" s="31"/>
      <c r="F576" s="22"/>
      <c r="G576" s="36" t="str">
        <f aca="false">IF(OR($A576="",$D576&lt;&gt;"تسليم",NOT(ISNUMBER($E576))),"",COUNTIFS($A$5:$A$1504,$A576,$D$5:$D$1504,"تسليم",$E$5:$E$1504,"&lt;"&amp;$E576)+1)</f>
        <v/>
      </c>
      <c r="H576" s="33" t="str">
        <f aca="false">IF($G576="","",_xlfn.MINIFS($E$5:$E$1504,$A$5:$A$1504,$A576,$D$5:$D$1504,"&lt;&gt;تسليم",$E$5:$E$1504,"&gt;="&amp;$E576))</f>
        <v/>
      </c>
      <c r="I576" s="33" t="str">
        <f aca="false">IF($G576="","",_xlfn.MINIFS($E$5:$E$1504,$A$5:$A$1504,$A576,$D$5:$D$1504,"تسليم",$E$5:$E$1504,"&gt;"&amp;$E576))</f>
        <v/>
      </c>
      <c r="J576" s="33" t="str">
        <f aca="false">IF($G576="","",IF(H576&gt;0,IF(I576&gt;0,MIN(H576,I576),H576),IF(I576&gt;0,I576,تاريخ_الاحتساب)))</f>
        <v/>
      </c>
      <c r="K576" s="34" t="str">
        <f aca="false">IF($G576="","",IF(AND(H576=0,I576=0),"جارية","مغلقة"))</f>
        <v/>
      </c>
      <c r="L576" s="26" t="str">
        <f aca="false">IF($G576="","",MAX(0,NETWORKDAYS.INTL($E576,J576,رمز_العطلة,أيام_الأجازات)-1))</f>
        <v/>
      </c>
      <c r="M576" s="26" t="str">
        <f aca="false">IF($G576="","",MAX(0,L576-مهلة_المراجعة))</f>
        <v/>
      </c>
      <c r="N576" s="30" t="str">
        <f aca="false">IF($A576="",IF(OR($D576&lt;&gt;"",$E576&lt;&gt;""),"رقم المخرج ناقص",""),IF(ISNA(MATCH($A576,قائمة_المخرجات,0)),"رقم مخرج غير موجود",IF($D576="","نوع الحركة ناقص",IF(NOT(ISNUMBER($E576)),"التاريخ ناقص",IF($E576&gt;تاريخ_الاحتساب,"تاريخ بعد تاريخ الاحتساب",IF(AND($D576&lt;&gt;"تسليم",COUNTIFS($A$5:$A$1504,$A576,$D$5:$D$1504,"تسليم",$E$5:$E$1504,"&lt;="&amp;$E576)=0),"لا يوجد تسليم قبل الحركة دي",""))))))</f>
        <v/>
      </c>
    </row>
    <row r="577" customFormat="false" ht="15" hidden="false" customHeight="false" outlineLevel="0" collapsed="false">
      <c r="A577" s="20"/>
      <c r="B577" s="35" t="str">
        <f aca="false">IF($A577="","",IFERROR(INDEX(مخرج_البند,MATCH($A577,قائمة_المخرجات,0)),""))</f>
        <v/>
      </c>
      <c r="C577" s="30" t="str">
        <f aca="false">IF($A577="","",IFERROR(INDEX(مخرج_الوصف,MATCH($A577,قائمة_المخرجات,0)),""))</f>
        <v/>
      </c>
      <c r="D577" s="20"/>
      <c r="E577" s="31"/>
      <c r="F577" s="22"/>
      <c r="G577" s="36" t="str">
        <f aca="false">IF(OR($A577="",$D577&lt;&gt;"تسليم",NOT(ISNUMBER($E577))),"",COUNTIFS($A$5:$A$1504,$A577,$D$5:$D$1504,"تسليم",$E$5:$E$1504,"&lt;"&amp;$E577)+1)</f>
        <v/>
      </c>
      <c r="H577" s="33" t="str">
        <f aca="false">IF($G577="","",_xlfn.MINIFS($E$5:$E$1504,$A$5:$A$1504,$A577,$D$5:$D$1504,"&lt;&gt;تسليم",$E$5:$E$1504,"&gt;="&amp;$E577))</f>
        <v/>
      </c>
      <c r="I577" s="33" t="str">
        <f aca="false">IF($G577="","",_xlfn.MINIFS($E$5:$E$1504,$A$5:$A$1504,$A577,$D$5:$D$1504,"تسليم",$E$5:$E$1504,"&gt;"&amp;$E577))</f>
        <v/>
      </c>
      <c r="J577" s="33" t="str">
        <f aca="false">IF($G577="","",IF(H577&gt;0,IF(I577&gt;0,MIN(H577,I577),H577),IF(I577&gt;0,I577,تاريخ_الاحتساب)))</f>
        <v/>
      </c>
      <c r="K577" s="34" t="str">
        <f aca="false">IF($G577="","",IF(AND(H577=0,I577=0),"جارية","مغلقة"))</f>
        <v/>
      </c>
      <c r="L577" s="26" t="str">
        <f aca="false">IF($G577="","",MAX(0,NETWORKDAYS.INTL($E577,J577,رمز_العطلة,أيام_الأجازات)-1))</f>
        <v/>
      </c>
      <c r="M577" s="26" t="str">
        <f aca="false">IF($G577="","",MAX(0,L577-مهلة_المراجعة))</f>
        <v/>
      </c>
      <c r="N577" s="30" t="str">
        <f aca="false">IF($A577="",IF(OR($D577&lt;&gt;"",$E577&lt;&gt;""),"رقم المخرج ناقص",""),IF(ISNA(MATCH($A577,قائمة_المخرجات,0)),"رقم مخرج غير موجود",IF($D577="","نوع الحركة ناقص",IF(NOT(ISNUMBER($E577)),"التاريخ ناقص",IF($E577&gt;تاريخ_الاحتساب,"تاريخ بعد تاريخ الاحتساب",IF(AND($D577&lt;&gt;"تسليم",COUNTIFS($A$5:$A$1504,$A577,$D$5:$D$1504,"تسليم",$E$5:$E$1504,"&lt;="&amp;$E577)=0),"لا يوجد تسليم قبل الحركة دي",""))))))</f>
        <v/>
      </c>
    </row>
    <row r="578" customFormat="false" ht="15" hidden="false" customHeight="false" outlineLevel="0" collapsed="false">
      <c r="A578" s="20"/>
      <c r="B578" s="35" t="str">
        <f aca="false">IF($A578="","",IFERROR(INDEX(مخرج_البند,MATCH($A578,قائمة_المخرجات,0)),""))</f>
        <v/>
      </c>
      <c r="C578" s="30" t="str">
        <f aca="false">IF($A578="","",IFERROR(INDEX(مخرج_الوصف,MATCH($A578,قائمة_المخرجات,0)),""))</f>
        <v/>
      </c>
      <c r="D578" s="20"/>
      <c r="E578" s="31"/>
      <c r="F578" s="22"/>
      <c r="G578" s="36" t="str">
        <f aca="false">IF(OR($A578="",$D578&lt;&gt;"تسليم",NOT(ISNUMBER($E578))),"",COUNTIFS($A$5:$A$1504,$A578,$D$5:$D$1504,"تسليم",$E$5:$E$1504,"&lt;"&amp;$E578)+1)</f>
        <v/>
      </c>
      <c r="H578" s="33" t="str">
        <f aca="false">IF($G578="","",_xlfn.MINIFS($E$5:$E$1504,$A$5:$A$1504,$A578,$D$5:$D$1504,"&lt;&gt;تسليم",$E$5:$E$1504,"&gt;="&amp;$E578))</f>
        <v/>
      </c>
      <c r="I578" s="33" t="str">
        <f aca="false">IF($G578="","",_xlfn.MINIFS($E$5:$E$1504,$A$5:$A$1504,$A578,$D$5:$D$1504,"تسليم",$E$5:$E$1504,"&gt;"&amp;$E578))</f>
        <v/>
      </c>
      <c r="J578" s="33" t="str">
        <f aca="false">IF($G578="","",IF(H578&gt;0,IF(I578&gt;0,MIN(H578,I578),H578),IF(I578&gt;0,I578,تاريخ_الاحتساب)))</f>
        <v/>
      </c>
      <c r="K578" s="34" t="str">
        <f aca="false">IF($G578="","",IF(AND(H578=0,I578=0),"جارية","مغلقة"))</f>
        <v/>
      </c>
      <c r="L578" s="26" t="str">
        <f aca="false">IF($G578="","",MAX(0,NETWORKDAYS.INTL($E578,J578,رمز_العطلة,أيام_الأجازات)-1))</f>
        <v/>
      </c>
      <c r="M578" s="26" t="str">
        <f aca="false">IF($G578="","",MAX(0,L578-مهلة_المراجعة))</f>
        <v/>
      </c>
      <c r="N578" s="30" t="str">
        <f aca="false">IF($A578="",IF(OR($D578&lt;&gt;"",$E578&lt;&gt;""),"رقم المخرج ناقص",""),IF(ISNA(MATCH($A578,قائمة_المخرجات,0)),"رقم مخرج غير موجود",IF($D578="","نوع الحركة ناقص",IF(NOT(ISNUMBER($E578)),"التاريخ ناقص",IF($E578&gt;تاريخ_الاحتساب,"تاريخ بعد تاريخ الاحتساب",IF(AND($D578&lt;&gt;"تسليم",COUNTIFS($A$5:$A$1504,$A578,$D$5:$D$1504,"تسليم",$E$5:$E$1504,"&lt;="&amp;$E578)=0),"لا يوجد تسليم قبل الحركة دي",""))))))</f>
        <v/>
      </c>
    </row>
    <row r="579" customFormat="false" ht="15" hidden="false" customHeight="false" outlineLevel="0" collapsed="false">
      <c r="A579" s="20"/>
      <c r="B579" s="35" t="str">
        <f aca="false">IF($A579="","",IFERROR(INDEX(مخرج_البند,MATCH($A579,قائمة_المخرجات,0)),""))</f>
        <v/>
      </c>
      <c r="C579" s="30" t="str">
        <f aca="false">IF($A579="","",IFERROR(INDEX(مخرج_الوصف,MATCH($A579,قائمة_المخرجات,0)),""))</f>
        <v/>
      </c>
      <c r="D579" s="20"/>
      <c r="E579" s="31"/>
      <c r="F579" s="22"/>
      <c r="G579" s="36" t="str">
        <f aca="false">IF(OR($A579="",$D579&lt;&gt;"تسليم",NOT(ISNUMBER($E579))),"",COUNTIFS($A$5:$A$1504,$A579,$D$5:$D$1504,"تسليم",$E$5:$E$1504,"&lt;"&amp;$E579)+1)</f>
        <v/>
      </c>
      <c r="H579" s="33" t="str">
        <f aca="false">IF($G579="","",_xlfn.MINIFS($E$5:$E$1504,$A$5:$A$1504,$A579,$D$5:$D$1504,"&lt;&gt;تسليم",$E$5:$E$1504,"&gt;="&amp;$E579))</f>
        <v/>
      </c>
      <c r="I579" s="33" t="str">
        <f aca="false">IF($G579="","",_xlfn.MINIFS($E$5:$E$1504,$A$5:$A$1504,$A579,$D$5:$D$1504,"تسليم",$E$5:$E$1504,"&gt;"&amp;$E579))</f>
        <v/>
      </c>
      <c r="J579" s="33" t="str">
        <f aca="false">IF($G579="","",IF(H579&gt;0,IF(I579&gt;0,MIN(H579,I579),H579),IF(I579&gt;0,I579,تاريخ_الاحتساب)))</f>
        <v/>
      </c>
      <c r="K579" s="34" t="str">
        <f aca="false">IF($G579="","",IF(AND(H579=0,I579=0),"جارية","مغلقة"))</f>
        <v/>
      </c>
      <c r="L579" s="26" t="str">
        <f aca="false">IF($G579="","",MAX(0,NETWORKDAYS.INTL($E579,J579,رمز_العطلة,أيام_الأجازات)-1))</f>
        <v/>
      </c>
      <c r="M579" s="26" t="str">
        <f aca="false">IF($G579="","",MAX(0,L579-مهلة_المراجعة))</f>
        <v/>
      </c>
      <c r="N579" s="30" t="str">
        <f aca="false">IF($A579="",IF(OR($D579&lt;&gt;"",$E579&lt;&gt;""),"رقم المخرج ناقص",""),IF(ISNA(MATCH($A579,قائمة_المخرجات,0)),"رقم مخرج غير موجود",IF($D579="","نوع الحركة ناقص",IF(NOT(ISNUMBER($E579)),"التاريخ ناقص",IF($E579&gt;تاريخ_الاحتساب,"تاريخ بعد تاريخ الاحتساب",IF(AND($D579&lt;&gt;"تسليم",COUNTIFS($A$5:$A$1504,$A579,$D$5:$D$1504,"تسليم",$E$5:$E$1504,"&lt;="&amp;$E579)=0),"لا يوجد تسليم قبل الحركة دي",""))))))</f>
        <v/>
      </c>
    </row>
    <row r="580" customFormat="false" ht="15" hidden="false" customHeight="false" outlineLevel="0" collapsed="false">
      <c r="A580" s="20"/>
      <c r="B580" s="35" t="str">
        <f aca="false">IF($A580="","",IFERROR(INDEX(مخرج_البند,MATCH($A580,قائمة_المخرجات,0)),""))</f>
        <v/>
      </c>
      <c r="C580" s="30" t="str">
        <f aca="false">IF($A580="","",IFERROR(INDEX(مخرج_الوصف,MATCH($A580,قائمة_المخرجات,0)),""))</f>
        <v/>
      </c>
      <c r="D580" s="20"/>
      <c r="E580" s="31"/>
      <c r="F580" s="22"/>
      <c r="G580" s="36" t="str">
        <f aca="false">IF(OR($A580="",$D580&lt;&gt;"تسليم",NOT(ISNUMBER($E580))),"",COUNTIFS($A$5:$A$1504,$A580,$D$5:$D$1504,"تسليم",$E$5:$E$1504,"&lt;"&amp;$E580)+1)</f>
        <v/>
      </c>
      <c r="H580" s="33" t="str">
        <f aca="false">IF($G580="","",_xlfn.MINIFS($E$5:$E$1504,$A$5:$A$1504,$A580,$D$5:$D$1504,"&lt;&gt;تسليم",$E$5:$E$1504,"&gt;="&amp;$E580))</f>
        <v/>
      </c>
      <c r="I580" s="33" t="str">
        <f aca="false">IF($G580="","",_xlfn.MINIFS($E$5:$E$1504,$A$5:$A$1504,$A580,$D$5:$D$1504,"تسليم",$E$5:$E$1504,"&gt;"&amp;$E580))</f>
        <v/>
      </c>
      <c r="J580" s="33" t="str">
        <f aca="false">IF($G580="","",IF(H580&gt;0,IF(I580&gt;0,MIN(H580,I580),H580),IF(I580&gt;0,I580,تاريخ_الاحتساب)))</f>
        <v/>
      </c>
      <c r="K580" s="34" t="str">
        <f aca="false">IF($G580="","",IF(AND(H580=0,I580=0),"جارية","مغلقة"))</f>
        <v/>
      </c>
      <c r="L580" s="26" t="str">
        <f aca="false">IF($G580="","",MAX(0,NETWORKDAYS.INTL($E580,J580,رمز_العطلة,أيام_الأجازات)-1))</f>
        <v/>
      </c>
      <c r="M580" s="26" t="str">
        <f aca="false">IF($G580="","",MAX(0,L580-مهلة_المراجعة))</f>
        <v/>
      </c>
      <c r="N580" s="30" t="str">
        <f aca="false">IF($A580="",IF(OR($D580&lt;&gt;"",$E580&lt;&gt;""),"رقم المخرج ناقص",""),IF(ISNA(MATCH($A580,قائمة_المخرجات,0)),"رقم مخرج غير موجود",IF($D580="","نوع الحركة ناقص",IF(NOT(ISNUMBER($E580)),"التاريخ ناقص",IF($E580&gt;تاريخ_الاحتساب,"تاريخ بعد تاريخ الاحتساب",IF(AND($D580&lt;&gt;"تسليم",COUNTIFS($A$5:$A$1504,$A580,$D$5:$D$1504,"تسليم",$E$5:$E$1504,"&lt;="&amp;$E580)=0),"لا يوجد تسليم قبل الحركة دي",""))))))</f>
        <v/>
      </c>
    </row>
    <row r="581" customFormat="false" ht="15" hidden="false" customHeight="false" outlineLevel="0" collapsed="false">
      <c r="A581" s="20"/>
      <c r="B581" s="35" t="str">
        <f aca="false">IF($A581="","",IFERROR(INDEX(مخرج_البند,MATCH($A581,قائمة_المخرجات,0)),""))</f>
        <v/>
      </c>
      <c r="C581" s="30" t="str">
        <f aca="false">IF($A581="","",IFERROR(INDEX(مخرج_الوصف,MATCH($A581,قائمة_المخرجات,0)),""))</f>
        <v/>
      </c>
      <c r="D581" s="20"/>
      <c r="E581" s="31"/>
      <c r="F581" s="22"/>
      <c r="G581" s="36" t="str">
        <f aca="false">IF(OR($A581="",$D581&lt;&gt;"تسليم",NOT(ISNUMBER($E581))),"",COUNTIFS($A$5:$A$1504,$A581,$D$5:$D$1504,"تسليم",$E$5:$E$1504,"&lt;"&amp;$E581)+1)</f>
        <v/>
      </c>
      <c r="H581" s="33" t="str">
        <f aca="false">IF($G581="","",_xlfn.MINIFS($E$5:$E$1504,$A$5:$A$1504,$A581,$D$5:$D$1504,"&lt;&gt;تسليم",$E$5:$E$1504,"&gt;="&amp;$E581))</f>
        <v/>
      </c>
      <c r="I581" s="33" t="str">
        <f aca="false">IF($G581="","",_xlfn.MINIFS($E$5:$E$1504,$A$5:$A$1504,$A581,$D$5:$D$1504,"تسليم",$E$5:$E$1504,"&gt;"&amp;$E581))</f>
        <v/>
      </c>
      <c r="J581" s="33" t="str">
        <f aca="false">IF($G581="","",IF(H581&gt;0,IF(I581&gt;0,MIN(H581,I581),H581),IF(I581&gt;0,I581,تاريخ_الاحتساب)))</f>
        <v/>
      </c>
      <c r="K581" s="34" t="str">
        <f aca="false">IF($G581="","",IF(AND(H581=0,I581=0),"جارية","مغلقة"))</f>
        <v/>
      </c>
      <c r="L581" s="26" t="str">
        <f aca="false">IF($G581="","",MAX(0,NETWORKDAYS.INTL($E581,J581,رمز_العطلة,أيام_الأجازات)-1))</f>
        <v/>
      </c>
      <c r="M581" s="26" t="str">
        <f aca="false">IF($G581="","",MAX(0,L581-مهلة_المراجعة))</f>
        <v/>
      </c>
      <c r="N581" s="30" t="str">
        <f aca="false">IF($A581="",IF(OR($D581&lt;&gt;"",$E581&lt;&gt;""),"رقم المخرج ناقص",""),IF(ISNA(MATCH($A581,قائمة_المخرجات,0)),"رقم مخرج غير موجود",IF($D581="","نوع الحركة ناقص",IF(NOT(ISNUMBER($E581)),"التاريخ ناقص",IF($E581&gt;تاريخ_الاحتساب,"تاريخ بعد تاريخ الاحتساب",IF(AND($D581&lt;&gt;"تسليم",COUNTIFS($A$5:$A$1504,$A581,$D$5:$D$1504,"تسليم",$E$5:$E$1504,"&lt;="&amp;$E581)=0),"لا يوجد تسليم قبل الحركة دي",""))))))</f>
        <v/>
      </c>
    </row>
    <row r="582" customFormat="false" ht="15" hidden="false" customHeight="false" outlineLevel="0" collapsed="false">
      <c r="A582" s="20"/>
      <c r="B582" s="35" t="str">
        <f aca="false">IF($A582="","",IFERROR(INDEX(مخرج_البند,MATCH($A582,قائمة_المخرجات,0)),""))</f>
        <v/>
      </c>
      <c r="C582" s="30" t="str">
        <f aca="false">IF($A582="","",IFERROR(INDEX(مخرج_الوصف,MATCH($A582,قائمة_المخرجات,0)),""))</f>
        <v/>
      </c>
      <c r="D582" s="20"/>
      <c r="E582" s="31"/>
      <c r="F582" s="22"/>
      <c r="G582" s="36" t="str">
        <f aca="false">IF(OR($A582="",$D582&lt;&gt;"تسليم",NOT(ISNUMBER($E582))),"",COUNTIFS($A$5:$A$1504,$A582,$D$5:$D$1504,"تسليم",$E$5:$E$1504,"&lt;"&amp;$E582)+1)</f>
        <v/>
      </c>
      <c r="H582" s="33" t="str">
        <f aca="false">IF($G582="","",_xlfn.MINIFS($E$5:$E$1504,$A$5:$A$1504,$A582,$D$5:$D$1504,"&lt;&gt;تسليم",$E$5:$E$1504,"&gt;="&amp;$E582))</f>
        <v/>
      </c>
      <c r="I582" s="33" t="str">
        <f aca="false">IF($G582="","",_xlfn.MINIFS($E$5:$E$1504,$A$5:$A$1504,$A582,$D$5:$D$1504,"تسليم",$E$5:$E$1504,"&gt;"&amp;$E582))</f>
        <v/>
      </c>
      <c r="J582" s="33" t="str">
        <f aca="false">IF($G582="","",IF(H582&gt;0,IF(I582&gt;0,MIN(H582,I582),H582),IF(I582&gt;0,I582,تاريخ_الاحتساب)))</f>
        <v/>
      </c>
      <c r="K582" s="34" t="str">
        <f aca="false">IF($G582="","",IF(AND(H582=0,I582=0),"جارية","مغلقة"))</f>
        <v/>
      </c>
      <c r="L582" s="26" t="str">
        <f aca="false">IF($G582="","",MAX(0,NETWORKDAYS.INTL($E582,J582,رمز_العطلة,أيام_الأجازات)-1))</f>
        <v/>
      </c>
      <c r="M582" s="26" t="str">
        <f aca="false">IF($G582="","",MAX(0,L582-مهلة_المراجعة))</f>
        <v/>
      </c>
      <c r="N582" s="30" t="str">
        <f aca="false">IF($A582="",IF(OR($D582&lt;&gt;"",$E582&lt;&gt;""),"رقم المخرج ناقص",""),IF(ISNA(MATCH($A582,قائمة_المخرجات,0)),"رقم مخرج غير موجود",IF($D582="","نوع الحركة ناقص",IF(NOT(ISNUMBER($E582)),"التاريخ ناقص",IF($E582&gt;تاريخ_الاحتساب,"تاريخ بعد تاريخ الاحتساب",IF(AND($D582&lt;&gt;"تسليم",COUNTIFS($A$5:$A$1504,$A582,$D$5:$D$1504,"تسليم",$E$5:$E$1504,"&lt;="&amp;$E582)=0),"لا يوجد تسليم قبل الحركة دي",""))))))</f>
        <v/>
      </c>
    </row>
    <row r="583" customFormat="false" ht="15" hidden="false" customHeight="false" outlineLevel="0" collapsed="false">
      <c r="A583" s="20"/>
      <c r="B583" s="35" t="str">
        <f aca="false">IF($A583="","",IFERROR(INDEX(مخرج_البند,MATCH($A583,قائمة_المخرجات,0)),""))</f>
        <v/>
      </c>
      <c r="C583" s="30" t="str">
        <f aca="false">IF($A583="","",IFERROR(INDEX(مخرج_الوصف,MATCH($A583,قائمة_المخرجات,0)),""))</f>
        <v/>
      </c>
      <c r="D583" s="20"/>
      <c r="E583" s="31"/>
      <c r="F583" s="22"/>
      <c r="G583" s="36" t="str">
        <f aca="false">IF(OR($A583="",$D583&lt;&gt;"تسليم",NOT(ISNUMBER($E583))),"",COUNTIFS($A$5:$A$1504,$A583,$D$5:$D$1504,"تسليم",$E$5:$E$1504,"&lt;"&amp;$E583)+1)</f>
        <v/>
      </c>
      <c r="H583" s="33" t="str">
        <f aca="false">IF($G583="","",_xlfn.MINIFS($E$5:$E$1504,$A$5:$A$1504,$A583,$D$5:$D$1504,"&lt;&gt;تسليم",$E$5:$E$1504,"&gt;="&amp;$E583))</f>
        <v/>
      </c>
      <c r="I583" s="33" t="str">
        <f aca="false">IF($G583="","",_xlfn.MINIFS($E$5:$E$1504,$A$5:$A$1504,$A583,$D$5:$D$1504,"تسليم",$E$5:$E$1504,"&gt;"&amp;$E583))</f>
        <v/>
      </c>
      <c r="J583" s="33" t="str">
        <f aca="false">IF($G583="","",IF(H583&gt;0,IF(I583&gt;0,MIN(H583,I583),H583),IF(I583&gt;0,I583,تاريخ_الاحتساب)))</f>
        <v/>
      </c>
      <c r="K583" s="34" t="str">
        <f aca="false">IF($G583="","",IF(AND(H583=0,I583=0),"جارية","مغلقة"))</f>
        <v/>
      </c>
      <c r="L583" s="26" t="str">
        <f aca="false">IF($G583="","",MAX(0,NETWORKDAYS.INTL($E583,J583,رمز_العطلة,أيام_الأجازات)-1))</f>
        <v/>
      </c>
      <c r="M583" s="26" t="str">
        <f aca="false">IF($G583="","",MAX(0,L583-مهلة_المراجعة))</f>
        <v/>
      </c>
      <c r="N583" s="30" t="str">
        <f aca="false">IF($A583="",IF(OR($D583&lt;&gt;"",$E583&lt;&gt;""),"رقم المخرج ناقص",""),IF(ISNA(MATCH($A583,قائمة_المخرجات,0)),"رقم مخرج غير موجود",IF($D583="","نوع الحركة ناقص",IF(NOT(ISNUMBER($E583)),"التاريخ ناقص",IF($E583&gt;تاريخ_الاحتساب,"تاريخ بعد تاريخ الاحتساب",IF(AND($D583&lt;&gt;"تسليم",COUNTIFS($A$5:$A$1504,$A583,$D$5:$D$1504,"تسليم",$E$5:$E$1504,"&lt;="&amp;$E583)=0),"لا يوجد تسليم قبل الحركة دي",""))))))</f>
        <v/>
      </c>
    </row>
    <row r="584" customFormat="false" ht="15" hidden="false" customHeight="false" outlineLevel="0" collapsed="false">
      <c r="A584" s="20"/>
      <c r="B584" s="35" t="str">
        <f aca="false">IF($A584="","",IFERROR(INDEX(مخرج_البند,MATCH($A584,قائمة_المخرجات,0)),""))</f>
        <v/>
      </c>
      <c r="C584" s="30" t="str">
        <f aca="false">IF($A584="","",IFERROR(INDEX(مخرج_الوصف,MATCH($A584,قائمة_المخرجات,0)),""))</f>
        <v/>
      </c>
      <c r="D584" s="20"/>
      <c r="E584" s="31"/>
      <c r="F584" s="22"/>
      <c r="G584" s="36" t="str">
        <f aca="false">IF(OR($A584="",$D584&lt;&gt;"تسليم",NOT(ISNUMBER($E584))),"",COUNTIFS($A$5:$A$1504,$A584,$D$5:$D$1504,"تسليم",$E$5:$E$1504,"&lt;"&amp;$E584)+1)</f>
        <v/>
      </c>
      <c r="H584" s="33" t="str">
        <f aca="false">IF($G584="","",_xlfn.MINIFS($E$5:$E$1504,$A$5:$A$1504,$A584,$D$5:$D$1504,"&lt;&gt;تسليم",$E$5:$E$1504,"&gt;="&amp;$E584))</f>
        <v/>
      </c>
      <c r="I584" s="33" t="str">
        <f aca="false">IF($G584="","",_xlfn.MINIFS($E$5:$E$1504,$A$5:$A$1504,$A584,$D$5:$D$1504,"تسليم",$E$5:$E$1504,"&gt;"&amp;$E584))</f>
        <v/>
      </c>
      <c r="J584" s="33" t="str">
        <f aca="false">IF($G584="","",IF(H584&gt;0,IF(I584&gt;0,MIN(H584,I584),H584),IF(I584&gt;0,I584,تاريخ_الاحتساب)))</f>
        <v/>
      </c>
      <c r="K584" s="34" t="str">
        <f aca="false">IF($G584="","",IF(AND(H584=0,I584=0),"جارية","مغلقة"))</f>
        <v/>
      </c>
      <c r="L584" s="26" t="str">
        <f aca="false">IF($G584="","",MAX(0,NETWORKDAYS.INTL($E584,J584,رمز_العطلة,أيام_الأجازات)-1))</f>
        <v/>
      </c>
      <c r="M584" s="26" t="str">
        <f aca="false">IF($G584="","",MAX(0,L584-مهلة_المراجعة))</f>
        <v/>
      </c>
      <c r="N584" s="30" t="str">
        <f aca="false">IF($A584="",IF(OR($D584&lt;&gt;"",$E584&lt;&gt;""),"رقم المخرج ناقص",""),IF(ISNA(MATCH($A584,قائمة_المخرجات,0)),"رقم مخرج غير موجود",IF($D584="","نوع الحركة ناقص",IF(NOT(ISNUMBER($E584)),"التاريخ ناقص",IF($E584&gt;تاريخ_الاحتساب,"تاريخ بعد تاريخ الاحتساب",IF(AND($D584&lt;&gt;"تسليم",COUNTIFS($A$5:$A$1504,$A584,$D$5:$D$1504,"تسليم",$E$5:$E$1504,"&lt;="&amp;$E584)=0),"لا يوجد تسليم قبل الحركة دي",""))))))</f>
        <v/>
      </c>
    </row>
    <row r="585" customFormat="false" ht="15" hidden="false" customHeight="false" outlineLevel="0" collapsed="false">
      <c r="A585" s="20"/>
      <c r="B585" s="35" t="str">
        <f aca="false">IF($A585="","",IFERROR(INDEX(مخرج_البند,MATCH($A585,قائمة_المخرجات,0)),""))</f>
        <v/>
      </c>
      <c r="C585" s="30" t="str">
        <f aca="false">IF($A585="","",IFERROR(INDEX(مخرج_الوصف,MATCH($A585,قائمة_المخرجات,0)),""))</f>
        <v/>
      </c>
      <c r="D585" s="20"/>
      <c r="E585" s="31"/>
      <c r="F585" s="22"/>
      <c r="G585" s="36" t="str">
        <f aca="false">IF(OR($A585="",$D585&lt;&gt;"تسليم",NOT(ISNUMBER($E585))),"",COUNTIFS($A$5:$A$1504,$A585,$D$5:$D$1504,"تسليم",$E$5:$E$1504,"&lt;"&amp;$E585)+1)</f>
        <v/>
      </c>
      <c r="H585" s="33" t="str">
        <f aca="false">IF($G585="","",_xlfn.MINIFS($E$5:$E$1504,$A$5:$A$1504,$A585,$D$5:$D$1504,"&lt;&gt;تسليم",$E$5:$E$1504,"&gt;="&amp;$E585))</f>
        <v/>
      </c>
      <c r="I585" s="33" t="str">
        <f aca="false">IF($G585="","",_xlfn.MINIFS($E$5:$E$1504,$A$5:$A$1504,$A585,$D$5:$D$1504,"تسليم",$E$5:$E$1504,"&gt;"&amp;$E585))</f>
        <v/>
      </c>
      <c r="J585" s="33" t="str">
        <f aca="false">IF($G585="","",IF(H585&gt;0,IF(I585&gt;0,MIN(H585,I585),H585),IF(I585&gt;0,I585,تاريخ_الاحتساب)))</f>
        <v/>
      </c>
      <c r="K585" s="34" t="str">
        <f aca="false">IF($G585="","",IF(AND(H585=0,I585=0),"جارية","مغلقة"))</f>
        <v/>
      </c>
      <c r="L585" s="26" t="str">
        <f aca="false">IF($G585="","",MAX(0,NETWORKDAYS.INTL($E585,J585,رمز_العطلة,أيام_الأجازات)-1))</f>
        <v/>
      </c>
      <c r="M585" s="26" t="str">
        <f aca="false">IF($G585="","",MAX(0,L585-مهلة_المراجعة))</f>
        <v/>
      </c>
      <c r="N585" s="30" t="str">
        <f aca="false">IF($A585="",IF(OR($D585&lt;&gt;"",$E585&lt;&gt;""),"رقم المخرج ناقص",""),IF(ISNA(MATCH($A585,قائمة_المخرجات,0)),"رقم مخرج غير موجود",IF($D585="","نوع الحركة ناقص",IF(NOT(ISNUMBER($E585)),"التاريخ ناقص",IF($E585&gt;تاريخ_الاحتساب,"تاريخ بعد تاريخ الاحتساب",IF(AND($D585&lt;&gt;"تسليم",COUNTIFS($A$5:$A$1504,$A585,$D$5:$D$1504,"تسليم",$E$5:$E$1504,"&lt;="&amp;$E585)=0),"لا يوجد تسليم قبل الحركة دي",""))))))</f>
        <v/>
      </c>
    </row>
    <row r="586" customFormat="false" ht="15" hidden="false" customHeight="false" outlineLevel="0" collapsed="false">
      <c r="A586" s="20"/>
      <c r="B586" s="35" t="str">
        <f aca="false">IF($A586="","",IFERROR(INDEX(مخرج_البند,MATCH($A586,قائمة_المخرجات,0)),""))</f>
        <v/>
      </c>
      <c r="C586" s="30" t="str">
        <f aca="false">IF($A586="","",IFERROR(INDEX(مخرج_الوصف,MATCH($A586,قائمة_المخرجات,0)),""))</f>
        <v/>
      </c>
      <c r="D586" s="20"/>
      <c r="E586" s="31"/>
      <c r="F586" s="22"/>
      <c r="G586" s="36" t="str">
        <f aca="false">IF(OR($A586="",$D586&lt;&gt;"تسليم",NOT(ISNUMBER($E586))),"",COUNTIFS($A$5:$A$1504,$A586,$D$5:$D$1504,"تسليم",$E$5:$E$1504,"&lt;"&amp;$E586)+1)</f>
        <v/>
      </c>
      <c r="H586" s="33" t="str">
        <f aca="false">IF($G586="","",_xlfn.MINIFS($E$5:$E$1504,$A$5:$A$1504,$A586,$D$5:$D$1504,"&lt;&gt;تسليم",$E$5:$E$1504,"&gt;="&amp;$E586))</f>
        <v/>
      </c>
      <c r="I586" s="33" t="str">
        <f aca="false">IF($G586="","",_xlfn.MINIFS($E$5:$E$1504,$A$5:$A$1504,$A586,$D$5:$D$1504,"تسليم",$E$5:$E$1504,"&gt;"&amp;$E586))</f>
        <v/>
      </c>
      <c r="J586" s="33" t="str">
        <f aca="false">IF($G586="","",IF(H586&gt;0,IF(I586&gt;0,MIN(H586,I586),H586),IF(I586&gt;0,I586,تاريخ_الاحتساب)))</f>
        <v/>
      </c>
      <c r="K586" s="34" t="str">
        <f aca="false">IF($G586="","",IF(AND(H586=0,I586=0),"جارية","مغلقة"))</f>
        <v/>
      </c>
      <c r="L586" s="26" t="str">
        <f aca="false">IF($G586="","",MAX(0,NETWORKDAYS.INTL($E586,J586,رمز_العطلة,أيام_الأجازات)-1))</f>
        <v/>
      </c>
      <c r="M586" s="26" t="str">
        <f aca="false">IF($G586="","",MAX(0,L586-مهلة_المراجعة))</f>
        <v/>
      </c>
      <c r="N586" s="30" t="str">
        <f aca="false">IF($A586="",IF(OR($D586&lt;&gt;"",$E586&lt;&gt;""),"رقم المخرج ناقص",""),IF(ISNA(MATCH($A586,قائمة_المخرجات,0)),"رقم مخرج غير موجود",IF($D586="","نوع الحركة ناقص",IF(NOT(ISNUMBER($E586)),"التاريخ ناقص",IF($E586&gt;تاريخ_الاحتساب,"تاريخ بعد تاريخ الاحتساب",IF(AND($D586&lt;&gt;"تسليم",COUNTIFS($A$5:$A$1504,$A586,$D$5:$D$1504,"تسليم",$E$5:$E$1504,"&lt;="&amp;$E586)=0),"لا يوجد تسليم قبل الحركة دي",""))))))</f>
        <v/>
      </c>
    </row>
    <row r="587" customFormat="false" ht="15" hidden="false" customHeight="false" outlineLevel="0" collapsed="false">
      <c r="A587" s="20"/>
      <c r="B587" s="35" t="str">
        <f aca="false">IF($A587="","",IFERROR(INDEX(مخرج_البند,MATCH($A587,قائمة_المخرجات,0)),""))</f>
        <v/>
      </c>
      <c r="C587" s="30" t="str">
        <f aca="false">IF($A587="","",IFERROR(INDEX(مخرج_الوصف,MATCH($A587,قائمة_المخرجات,0)),""))</f>
        <v/>
      </c>
      <c r="D587" s="20"/>
      <c r="E587" s="31"/>
      <c r="F587" s="22"/>
      <c r="G587" s="36" t="str">
        <f aca="false">IF(OR($A587="",$D587&lt;&gt;"تسليم",NOT(ISNUMBER($E587))),"",COUNTIFS($A$5:$A$1504,$A587,$D$5:$D$1504,"تسليم",$E$5:$E$1504,"&lt;"&amp;$E587)+1)</f>
        <v/>
      </c>
      <c r="H587" s="33" t="str">
        <f aca="false">IF($G587="","",_xlfn.MINIFS($E$5:$E$1504,$A$5:$A$1504,$A587,$D$5:$D$1504,"&lt;&gt;تسليم",$E$5:$E$1504,"&gt;="&amp;$E587))</f>
        <v/>
      </c>
      <c r="I587" s="33" t="str">
        <f aca="false">IF($G587="","",_xlfn.MINIFS($E$5:$E$1504,$A$5:$A$1504,$A587,$D$5:$D$1504,"تسليم",$E$5:$E$1504,"&gt;"&amp;$E587))</f>
        <v/>
      </c>
      <c r="J587" s="33" t="str">
        <f aca="false">IF($G587="","",IF(H587&gt;0,IF(I587&gt;0,MIN(H587,I587),H587),IF(I587&gt;0,I587,تاريخ_الاحتساب)))</f>
        <v/>
      </c>
      <c r="K587" s="34" t="str">
        <f aca="false">IF($G587="","",IF(AND(H587=0,I587=0),"جارية","مغلقة"))</f>
        <v/>
      </c>
      <c r="L587" s="26" t="str">
        <f aca="false">IF($G587="","",MAX(0,NETWORKDAYS.INTL($E587,J587,رمز_العطلة,أيام_الأجازات)-1))</f>
        <v/>
      </c>
      <c r="M587" s="26" t="str">
        <f aca="false">IF($G587="","",MAX(0,L587-مهلة_المراجعة))</f>
        <v/>
      </c>
      <c r="N587" s="30" t="str">
        <f aca="false">IF($A587="",IF(OR($D587&lt;&gt;"",$E587&lt;&gt;""),"رقم المخرج ناقص",""),IF(ISNA(MATCH($A587,قائمة_المخرجات,0)),"رقم مخرج غير موجود",IF($D587="","نوع الحركة ناقص",IF(NOT(ISNUMBER($E587)),"التاريخ ناقص",IF($E587&gt;تاريخ_الاحتساب,"تاريخ بعد تاريخ الاحتساب",IF(AND($D587&lt;&gt;"تسليم",COUNTIFS($A$5:$A$1504,$A587,$D$5:$D$1504,"تسليم",$E$5:$E$1504,"&lt;="&amp;$E587)=0),"لا يوجد تسليم قبل الحركة دي",""))))))</f>
        <v/>
      </c>
    </row>
    <row r="588" customFormat="false" ht="15" hidden="false" customHeight="false" outlineLevel="0" collapsed="false">
      <c r="A588" s="20"/>
      <c r="B588" s="35" t="str">
        <f aca="false">IF($A588="","",IFERROR(INDEX(مخرج_البند,MATCH($A588,قائمة_المخرجات,0)),""))</f>
        <v/>
      </c>
      <c r="C588" s="30" t="str">
        <f aca="false">IF($A588="","",IFERROR(INDEX(مخرج_الوصف,MATCH($A588,قائمة_المخرجات,0)),""))</f>
        <v/>
      </c>
      <c r="D588" s="20"/>
      <c r="E588" s="31"/>
      <c r="F588" s="22"/>
      <c r="G588" s="36" t="str">
        <f aca="false">IF(OR($A588="",$D588&lt;&gt;"تسليم",NOT(ISNUMBER($E588))),"",COUNTIFS($A$5:$A$1504,$A588,$D$5:$D$1504,"تسليم",$E$5:$E$1504,"&lt;"&amp;$E588)+1)</f>
        <v/>
      </c>
      <c r="H588" s="33" t="str">
        <f aca="false">IF($G588="","",_xlfn.MINIFS($E$5:$E$1504,$A$5:$A$1504,$A588,$D$5:$D$1504,"&lt;&gt;تسليم",$E$5:$E$1504,"&gt;="&amp;$E588))</f>
        <v/>
      </c>
      <c r="I588" s="33" t="str">
        <f aca="false">IF($G588="","",_xlfn.MINIFS($E$5:$E$1504,$A$5:$A$1504,$A588,$D$5:$D$1504,"تسليم",$E$5:$E$1504,"&gt;"&amp;$E588))</f>
        <v/>
      </c>
      <c r="J588" s="33" t="str">
        <f aca="false">IF($G588="","",IF(H588&gt;0,IF(I588&gt;0,MIN(H588,I588),H588),IF(I588&gt;0,I588,تاريخ_الاحتساب)))</f>
        <v/>
      </c>
      <c r="K588" s="34" t="str">
        <f aca="false">IF($G588="","",IF(AND(H588=0,I588=0),"جارية","مغلقة"))</f>
        <v/>
      </c>
      <c r="L588" s="26" t="str">
        <f aca="false">IF($G588="","",MAX(0,NETWORKDAYS.INTL($E588,J588,رمز_العطلة,أيام_الأجازات)-1))</f>
        <v/>
      </c>
      <c r="M588" s="26" t="str">
        <f aca="false">IF($G588="","",MAX(0,L588-مهلة_المراجعة))</f>
        <v/>
      </c>
      <c r="N588" s="30" t="str">
        <f aca="false">IF($A588="",IF(OR($D588&lt;&gt;"",$E588&lt;&gt;""),"رقم المخرج ناقص",""),IF(ISNA(MATCH($A588,قائمة_المخرجات,0)),"رقم مخرج غير موجود",IF($D588="","نوع الحركة ناقص",IF(NOT(ISNUMBER($E588)),"التاريخ ناقص",IF($E588&gt;تاريخ_الاحتساب,"تاريخ بعد تاريخ الاحتساب",IF(AND($D588&lt;&gt;"تسليم",COUNTIFS($A$5:$A$1504,$A588,$D$5:$D$1504,"تسليم",$E$5:$E$1504,"&lt;="&amp;$E588)=0),"لا يوجد تسليم قبل الحركة دي",""))))))</f>
        <v/>
      </c>
    </row>
    <row r="589" customFormat="false" ht="15" hidden="false" customHeight="false" outlineLevel="0" collapsed="false">
      <c r="A589" s="20"/>
      <c r="B589" s="35" t="str">
        <f aca="false">IF($A589="","",IFERROR(INDEX(مخرج_البند,MATCH($A589,قائمة_المخرجات,0)),""))</f>
        <v/>
      </c>
      <c r="C589" s="30" t="str">
        <f aca="false">IF($A589="","",IFERROR(INDEX(مخرج_الوصف,MATCH($A589,قائمة_المخرجات,0)),""))</f>
        <v/>
      </c>
      <c r="D589" s="20"/>
      <c r="E589" s="31"/>
      <c r="F589" s="22"/>
      <c r="G589" s="36" t="str">
        <f aca="false">IF(OR($A589="",$D589&lt;&gt;"تسليم",NOT(ISNUMBER($E589))),"",COUNTIFS($A$5:$A$1504,$A589,$D$5:$D$1504,"تسليم",$E$5:$E$1504,"&lt;"&amp;$E589)+1)</f>
        <v/>
      </c>
      <c r="H589" s="33" t="str">
        <f aca="false">IF($G589="","",_xlfn.MINIFS($E$5:$E$1504,$A$5:$A$1504,$A589,$D$5:$D$1504,"&lt;&gt;تسليم",$E$5:$E$1504,"&gt;="&amp;$E589))</f>
        <v/>
      </c>
      <c r="I589" s="33" t="str">
        <f aca="false">IF($G589="","",_xlfn.MINIFS($E$5:$E$1504,$A$5:$A$1504,$A589,$D$5:$D$1504,"تسليم",$E$5:$E$1504,"&gt;"&amp;$E589))</f>
        <v/>
      </c>
      <c r="J589" s="33" t="str">
        <f aca="false">IF($G589="","",IF(H589&gt;0,IF(I589&gt;0,MIN(H589,I589),H589),IF(I589&gt;0,I589,تاريخ_الاحتساب)))</f>
        <v/>
      </c>
      <c r="K589" s="34" t="str">
        <f aca="false">IF($G589="","",IF(AND(H589=0,I589=0),"جارية","مغلقة"))</f>
        <v/>
      </c>
      <c r="L589" s="26" t="str">
        <f aca="false">IF($G589="","",MAX(0,NETWORKDAYS.INTL($E589,J589,رمز_العطلة,أيام_الأجازات)-1))</f>
        <v/>
      </c>
      <c r="M589" s="26" t="str">
        <f aca="false">IF($G589="","",MAX(0,L589-مهلة_المراجعة))</f>
        <v/>
      </c>
      <c r="N589" s="30" t="str">
        <f aca="false">IF($A589="",IF(OR($D589&lt;&gt;"",$E589&lt;&gt;""),"رقم المخرج ناقص",""),IF(ISNA(MATCH($A589,قائمة_المخرجات,0)),"رقم مخرج غير موجود",IF($D589="","نوع الحركة ناقص",IF(NOT(ISNUMBER($E589)),"التاريخ ناقص",IF($E589&gt;تاريخ_الاحتساب,"تاريخ بعد تاريخ الاحتساب",IF(AND($D589&lt;&gt;"تسليم",COUNTIFS($A$5:$A$1504,$A589,$D$5:$D$1504,"تسليم",$E$5:$E$1504,"&lt;="&amp;$E589)=0),"لا يوجد تسليم قبل الحركة دي",""))))))</f>
        <v/>
      </c>
    </row>
    <row r="590" customFormat="false" ht="15" hidden="false" customHeight="false" outlineLevel="0" collapsed="false">
      <c r="A590" s="20"/>
      <c r="B590" s="35" t="str">
        <f aca="false">IF($A590="","",IFERROR(INDEX(مخرج_البند,MATCH($A590,قائمة_المخرجات,0)),""))</f>
        <v/>
      </c>
      <c r="C590" s="30" t="str">
        <f aca="false">IF($A590="","",IFERROR(INDEX(مخرج_الوصف,MATCH($A590,قائمة_المخرجات,0)),""))</f>
        <v/>
      </c>
      <c r="D590" s="20"/>
      <c r="E590" s="31"/>
      <c r="F590" s="22"/>
      <c r="G590" s="36" t="str">
        <f aca="false">IF(OR($A590="",$D590&lt;&gt;"تسليم",NOT(ISNUMBER($E590))),"",COUNTIFS($A$5:$A$1504,$A590,$D$5:$D$1504,"تسليم",$E$5:$E$1504,"&lt;"&amp;$E590)+1)</f>
        <v/>
      </c>
      <c r="H590" s="33" t="str">
        <f aca="false">IF($G590="","",_xlfn.MINIFS($E$5:$E$1504,$A$5:$A$1504,$A590,$D$5:$D$1504,"&lt;&gt;تسليم",$E$5:$E$1504,"&gt;="&amp;$E590))</f>
        <v/>
      </c>
      <c r="I590" s="33" t="str">
        <f aca="false">IF($G590="","",_xlfn.MINIFS($E$5:$E$1504,$A$5:$A$1504,$A590,$D$5:$D$1504,"تسليم",$E$5:$E$1504,"&gt;"&amp;$E590))</f>
        <v/>
      </c>
      <c r="J590" s="33" t="str">
        <f aca="false">IF($G590="","",IF(H590&gt;0,IF(I590&gt;0,MIN(H590,I590),H590),IF(I590&gt;0,I590,تاريخ_الاحتساب)))</f>
        <v/>
      </c>
      <c r="K590" s="34" t="str">
        <f aca="false">IF($G590="","",IF(AND(H590=0,I590=0),"جارية","مغلقة"))</f>
        <v/>
      </c>
      <c r="L590" s="26" t="str">
        <f aca="false">IF($G590="","",MAX(0,NETWORKDAYS.INTL($E590,J590,رمز_العطلة,أيام_الأجازات)-1))</f>
        <v/>
      </c>
      <c r="M590" s="26" t="str">
        <f aca="false">IF($G590="","",MAX(0,L590-مهلة_المراجعة))</f>
        <v/>
      </c>
      <c r="N590" s="30" t="str">
        <f aca="false">IF($A590="",IF(OR($D590&lt;&gt;"",$E590&lt;&gt;""),"رقم المخرج ناقص",""),IF(ISNA(MATCH($A590,قائمة_المخرجات,0)),"رقم مخرج غير موجود",IF($D590="","نوع الحركة ناقص",IF(NOT(ISNUMBER($E590)),"التاريخ ناقص",IF($E590&gt;تاريخ_الاحتساب,"تاريخ بعد تاريخ الاحتساب",IF(AND($D590&lt;&gt;"تسليم",COUNTIFS($A$5:$A$1504,$A590,$D$5:$D$1504,"تسليم",$E$5:$E$1504,"&lt;="&amp;$E590)=0),"لا يوجد تسليم قبل الحركة دي",""))))))</f>
        <v/>
      </c>
    </row>
    <row r="591" customFormat="false" ht="15" hidden="false" customHeight="false" outlineLevel="0" collapsed="false">
      <c r="A591" s="20"/>
      <c r="B591" s="35" t="str">
        <f aca="false">IF($A591="","",IFERROR(INDEX(مخرج_البند,MATCH($A591,قائمة_المخرجات,0)),""))</f>
        <v/>
      </c>
      <c r="C591" s="30" t="str">
        <f aca="false">IF($A591="","",IFERROR(INDEX(مخرج_الوصف,MATCH($A591,قائمة_المخرجات,0)),""))</f>
        <v/>
      </c>
      <c r="D591" s="20"/>
      <c r="E591" s="31"/>
      <c r="F591" s="22"/>
      <c r="G591" s="36" t="str">
        <f aca="false">IF(OR($A591="",$D591&lt;&gt;"تسليم",NOT(ISNUMBER($E591))),"",COUNTIFS($A$5:$A$1504,$A591,$D$5:$D$1504,"تسليم",$E$5:$E$1504,"&lt;"&amp;$E591)+1)</f>
        <v/>
      </c>
      <c r="H591" s="33" t="str">
        <f aca="false">IF($G591="","",_xlfn.MINIFS($E$5:$E$1504,$A$5:$A$1504,$A591,$D$5:$D$1504,"&lt;&gt;تسليم",$E$5:$E$1504,"&gt;="&amp;$E591))</f>
        <v/>
      </c>
      <c r="I591" s="33" t="str">
        <f aca="false">IF($G591="","",_xlfn.MINIFS($E$5:$E$1504,$A$5:$A$1504,$A591,$D$5:$D$1504,"تسليم",$E$5:$E$1504,"&gt;"&amp;$E591))</f>
        <v/>
      </c>
      <c r="J591" s="33" t="str">
        <f aca="false">IF($G591="","",IF(H591&gt;0,IF(I591&gt;0,MIN(H591,I591),H591),IF(I591&gt;0,I591,تاريخ_الاحتساب)))</f>
        <v/>
      </c>
      <c r="K591" s="34" t="str">
        <f aca="false">IF($G591="","",IF(AND(H591=0,I591=0),"جارية","مغلقة"))</f>
        <v/>
      </c>
      <c r="L591" s="26" t="str">
        <f aca="false">IF($G591="","",MAX(0,NETWORKDAYS.INTL($E591,J591,رمز_العطلة,أيام_الأجازات)-1))</f>
        <v/>
      </c>
      <c r="M591" s="26" t="str">
        <f aca="false">IF($G591="","",MAX(0,L591-مهلة_المراجعة))</f>
        <v/>
      </c>
      <c r="N591" s="30" t="str">
        <f aca="false">IF($A591="",IF(OR($D591&lt;&gt;"",$E591&lt;&gt;""),"رقم المخرج ناقص",""),IF(ISNA(MATCH($A591,قائمة_المخرجات,0)),"رقم مخرج غير موجود",IF($D591="","نوع الحركة ناقص",IF(NOT(ISNUMBER($E591)),"التاريخ ناقص",IF($E591&gt;تاريخ_الاحتساب,"تاريخ بعد تاريخ الاحتساب",IF(AND($D591&lt;&gt;"تسليم",COUNTIFS($A$5:$A$1504,$A591,$D$5:$D$1504,"تسليم",$E$5:$E$1504,"&lt;="&amp;$E591)=0),"لا يوجد تسليم قبل الحركة دي",""))))))</f>
        <v/>
      </c>
    </row>
    <row r="592" customFormat="false" ht="15" hidden="false" customHeight="false" outlineLevel="0" collapsed="false">
      <c r="A592" s="20"/>
      <c r="B592" s="35" t="str">
        <f aca="false">IF($A592="","",IFERROR(INDEX(مخرج_البند,MATCH($A592,قائمة_المخرجات,0)),""))</f>
        <v/>
      </c>
      <c r="C592" s="30" t="str">
        <f aca="false">IF($A592="","",IFERROR(INDEX(مخرج_الوصف,MATCH($A592,قائمة_المخرجات,0)),""))</f>
        <v/>
      </c>
      <c r="D592" s="20"/>
      <c r="E592" s="31"/>
      <c r="F592" s="22"/>
      <c r="G592" s="36" t="str">
        <f aca="false">IF(OR($A592="",$D592&lt;&gt;"تسليم",NOT(ISNUMBER($E592))),"",COUNTIFS($A$5:$A$1504,$A592,$D$5:$D$1504,"تسليم",$E$5:$E$1504,"&lt;"&amp;$E592)+1)</f>
        <v/>
      </c>
      <c r="H592" s="33" t="str">
        <f aca="false">IF($G592="","",_xlfn.MINIFS($E$5:$E$1504,$A$5:$A$1504,$A592,$D$5:$D$1504,"&lt;&gt;تسليم",$E$5:$E$1504,"&gt;="&amp;$E592))</f>
        <v/>
      </c>
      <c r="I592" s="33" t="str">
        <f aca="false">IF($G592="","",_xlfn.MINIFS($E$5:$E$1504,$A$5:$A$1504,$A592,$D$5:$D$1504,"تسليم",$E$5:$E$1504,"&gt;"&amp;$E592))</f>
        <v/>
      </c>
      <c r="J592" s="33" t="str">
        <f aca="false">IF($G592="","",IF(H592&gt;0,IF(I592&gt;0,MIN(H592,I592),H592),IF(I592&gt;0,I592,تاريخ_الاحتساب)))</f>
        <v/>
      </c>
      <c r="K592" s="34" t="str">
        <f aca="false">IF($G592="","",IF(AND(H592=0,I592=0),"جارية","مغلقة"))</f>
        <v/>
      </c>
      <c r="L592" s="26" t="str">
        <f aca="false">IF($G592="","",MAX(0,NETWORKDAYS.INTL($E592,J592,رمز_العطلة,أيام_الأجازات)-1))</f>
        <v/>
      </c>
      <c r="M592" s="26" t="str">
        <f aca="false">IF($G592="","",MAX(0,L592-مهلة_المراجعة))</f>
        <v/>
      </c>
      <c r="N592" s="30" t="str">
        <f aca="false">IF($A592="",IF(OR($D592&lt;&gt;"",$E592&lt;&gt;""),"رقم المخرج ناقص",""),IF(ISNA(MATCH($A592,قائمة_المخرجات,0)),"رقم مخرج غير موجود",IF($D592="","نوع الحركة ناقص",IF(NOT(ISNUMBER($E592)),"التاريخ ناقص",IF($E592&gt;تاريخ_الاحتساب,"تاريخ بعد تاريخ الاحتساب",IF(AND($D592&lt;&gt;"تسليم",COUNTIFS($A$5:$A$1504,$A592,$D$5:$D$1504,"تسليم",$E$5:$E$1504,"&lt;="&amp;$E592)=0),"لا يوجد تسليم قبل الحركة دي",""))))))</f>
        <v/>
      </c>
    </row>
    <row r="593" customFormat="false" ht="15" hidden="false" customHeight="false" outlineLevel="0" collapsed="false">
      <c r="A593" s="20"/>
      <c r="B593" s="35" t="str">
        <f aca="false">IF($A593="","",IFERROR(INDEX(مخرج_البند,MATCH($A593,قائمة_المخرجات,0)),""))</f>
        <v/>
      </c>
      <c r="C593" s="30" t="str">
        <f aca="false">IF($A593="","",IFERROR(INDEX(مخرج_الوصف,MATCH($A593,قائمة_المخرجات,0)),""))</f>
        <v/>
      </c>
      <c r="D593" s="20"/>
      <c r="E593" s="31"/>
      <c r="F593" s="22"/>
      <c r="G593" s="36" t="str">
        <f aca="false">IF(OR($A593="",$D593&lt;&gt;"تسليم",NOT(ISNUMBER($E593))),"",COUNTIFS($A$5:$A$1504,$A593,$D$5:$D$1504,"تسليم",$E$5:$E$1504,"&lt;"&amp;$E593)+1)</f>
        <v/>
      </c>
      <c r="H593" s="33" t="str">
        <f aca="false">IF($G593="","",_xlfn.MINIFS($E$5:$E$1504,$A$5:$A$1504,$A593,$D$5:$D$1504,"&lt;&gt;تسليم",$E$5:$E$1504,"&gt;="&amp;$E593))</f>
        <v/>
      </c>
      <c r="I593" s="33" t="str">
        <f aca="false">IF($G593="","",_xlfn.MINIFS($E$5:$E$1504,$A$5:$A$1504,$A593,$D$5:$D$1504,"تسليم",$E$5:$E$1504,"&gt;"&amp;$E593))</f>
        <v/>
      </c>
      <c r="J593" s="33" t="str">
        <f aca="false">IF($G593="","",IF(H593&gt;0,IF(I593&gt;0,MIN(H593,I593),H593),IF(I593&gt;0,I593,تاريخ_الاحتساب)))</f>
        <v/>
      </c>
      <c r="K593" s="34" t="str">
        <f aca="false">IF($G593="","",IF(AND(H593=0,I593=0),"جارية","مغلقة"))</f>
        <v/>
      </c>
      <c r="L593" s="26" t="str">
        <f aca="false">IF($G593="","",MAX(0,NETWORKDAYS.INTL($E593,J593,رمز_العطلة,أيام_الأجازات)-1))</f>
        <v/>
      </c>
      <c r="M593" s="26" t="str">
        <f aca="false">IF($G593="","",MAX(0,L593-مهلة_المراجعة))</f>
        <v/>
      </c>
      <c r="N593" s="30" t="str">
        <f aca="false">IF($A593="",IF(OR($D593&lt;&gt;"",$E593&lt;&gt;""),"رقم المخرج ناقص",""),IF(ISNA(MATCH($A593,قائمة_المخرجات,0)),"رقم مخرج غير موجود",IF($D593="","نوع الحركة ناقص",IF(NOT(ISNUMBER($E593)),"التاريخ ناقص",IF($E593&gt;تاريخ_الاحتساب,"تاريخ بعد تاريخ الاحتساب",IF(AND($D593&lt;&gt;"تسليم",COUNTIFS($A$5:$A$1504,$A593,$D$5:$D$1504,"تسليم",$E$5:$E$1504,"&lt;="&amp;$E593)=0),"لا يوجد تسليم قبل الحركة دي",""))))))</f>
        <v/>
      </c>
    </row>
    <row r="594" customFormat="false" ht="15" hidden="false" customHeight="false" outlineLevel="0" collapsed="false">
      <c r="A594" s="20"/>
      <c r="B594" s="35" t="str">
        <f aca="false">IF($A594="","",IFERROR(INDEX(مخرج_البند,MATCH($A594,قائمة_المخرجات,0)),""))</f>
        <v/>
      </c>
      <c r="C594" s="30" t="str">
        <f aca="false">IF($A594="","",IFERROR(INDEX(مخرج_الوصف,MATCH($A594,قائمة_المخرجات,0)),""))</f>
        <v/>
      </c>
      <c r="D594" s="20"/>
      <c r="E594" s="31"/>
      <c r="F594" s="22"/>
      <c r="G594" s="36" t="str">
        <f aca="false">IF(OR($A594="",$D594&lt;&gt;"تسليم",NOT(ISNUMBER($E594))),"",COUNTIFS($A$5:$A$1504,$A594,$D$5:$D$1504,"تسليم",$E$5:$E$1504,"&lt;"&amp;$E594)+1)</f>
        <v/>
      </c>
      <c r="H594" s="33" t="str">
        <f aca="false">IF($G594="","",_xlfn.MINIFS($E$5:$E$1504,$A$5:$A$1504,$A594,$D$5:$D$1504,"&lt;&gt;تسليم",$E$5:$E$1504,"&gt;="&amp;$E594))</f>
        <v/>
      </c>
      <c r="I594" s="33" t="str">
        <f aca="false">IF($G594="","",_xlfn.MINIFS($E$5:$E$1504,$A$5:$A$1504,$A594,$D$5:$D$1504,"تسليم",$E$5:$E$1504,"&gt;"&amp;$E594))</f>
        <v/>
      </c>
      <c r="J594" s="33" t="str">
        <f aca="false">IF($G594="","",IF(H594&gt;0,IF(I594&gt;0,MIN(H594,I594),H594),IF(I594&gt;0,I594,تاريخ_الاحتساب)))</f>
        <v/>
      </c>
      <c r="K594" s="34" t="str">
        <f aca="false">IF($G594="","",IF(AND(H594=0,I594=0),"جارية","مغلقة"))</f>
        <v/>
      </c>
      <c r="L594" s="26" t="str">
        <f aca="false">IF($G594="","",MAX(0,NETWORKDAYS.INTL($E594,J594,رمز_العطلة,أيام_الأجازات)-1))</f>
        <v/>
      </c>
      <c r="M594" s="26" t="str">
        <f aca="false">IF($G594="","",MAX(0,L594-مهلة_المراجعة))</f>
        <v/>
      </c>
      <c r="N594" s="30" t="str">
        <f aca="false">IF($A594="",IF(OR($D594&lt;&gt;"",$E594&lt;&gt;""),"رقم المخرج ناقص",""),IF(ISNA(MATCH($A594,قائمة_المخرجات,0)),"رقم مخرج غير موجود",IF($D594="","نوع الحركة ناقص",IF(NOT(ISNUMBER($E594)),"التاريخ ناقص",IF($E594&gt;تاريخ_الاحتساب,"تاريخ بعد تاريخ الاحتساب",IF(AND($D594&lt;&gt;"تسليم",COUNTIFS($A$5:$A$1504,$A594,$D$5:$D$1504,"تسليم",$E$5:$E$1504,"&lt;="&amp;$E594)=0),"لا يوجد تسليم قبل الحركة دي",""))))))</f>
        <v/>
      </c>
    </row>
    <row r="595" customFormat="false" ht="15" hidden="false" customHeight="false" outlineLevel="0" collapsed="false">
      <c r="A595" s="20"/>
      <c r="B595" s="35" t="str">
        <f aca="false">IF($A595="","",IFERROR(INDEX(مخرج_البند,MATCH($A595,قائمة_المخرجات,0)),""))</f>
        <v/>
      </c>
      <c r="C595" s="30" t="str">
        <f aca="false">IF($A595="","",IFERROR(INDEX(مخرج_الوصف,MATCH($A595,قائمة_المخرجات,0)),""))</f>
        <v/>
      </c>
      <c r="D595" s="20"/>
      <c r="E595" s="31"/>
      <c r="F595" s="22"/>
      <c r="G595" s="36" t="str">
        <f aca="false">IF(OR($A595="",$D595&lt;&gt;"تسليم",NOT(ISNUMBER($E595))),"",COUNTIFS($A$5:$A$1504,$A595,$D$5:$D$1504,"تسليم",$E$5:$E$1504,"&lt;"&amp;$E595)+1)</f>
        <v/>
      </c>
      <c r="H595" s="33" t="str">
        <f aca="false">IF($G595="","",_xlfn.MINIFS($E$5:$E$1504,$A$5:$A$1504,$A595,$D$5:$D$1504,"&lt;&gt;تسليم",$E$5:$E$1504,"&gt;="&amp;$E595))</f>
        <v/>
      </c>
      <c r="I595" s="33" t="str">
        <f aca="false">IF($G595="","",_xlfn.MINIFS($E$5:$E$1504,$A$5:$A$1504,$A595,$D$5:$D$1504,"تسليم",$E$5:$E$1504,"&gt;"&amp;$E595))</f>
        <v/>
      </c>
      <c r="J595" s="33" t="str">
        <f aca="false">IF($G595="","",IF(H595&gt;0,IF(I595&gt;0,MIN(H595,I595),H595),IF(I595&gt;0,I595,تاريخ_الاحتساب)))</f>
        <v/>
      </c>
      <c r="K595" s="34" t="str">
        <f aca="false">IF($G595="","",IF(AND(H595=0,I595=0),"جارية","مغلقة"))</f>
        <v/>
      </c>
      <c r="L595" s="26" t="str">
        <f aca="false">IF($G595="","",MAX(0,NETWORKDAYS.INTL($E595,J595,رمز_العطلة,أيام_الأجازات)-1))</f>
        <v/>
      </c>
      <c r="M595" s="26" t="str">
        <f aca="false">IF($G595="","",MAX(0,L595-مهلة_المراجعة))</f>
        <v/>
      </c>
      <c r="N595" s="30" t="str">
        <f aca="false">IF($A595="",IF(OR($D595&lt;&gt;"",$E595&lt;&gt;""),"رقم المخرج ناقص",""),IF(ISNA(MATCH($A595,قائمة_المخرجات,0)),"رقم مخرج غير موجود",IF($D595="","نوع الحركة ناقص",IF(NOT(ISNUMBER($E595)),"التاريخ ناقص",IF($E595&gt;تاريخ_الاحتساب,"تاريخ بعد تاريخ الاحتساب",IF(AND($D595&lt;&gt;"تسليم",COUNTIFS($A$5:$A$1504,$A595,$D$5:$D$1504,"تسليم",$E$5:$E$1504,"&lt;="&amp;$E595)=0),"لا يوجد تسليم قبل الحركة دي",""))))))</f>
        <v/>
      </c>
    </row>
    <row r="596" customFormat="false" ht="15" hidden="false" customHeight="false" outlineLevel="0" collapsed="false">
      <c r="A596" s="20"/>
      <c r="B596" s="35" t="str">
        <f aca="false">IF($A596="","",IFERROR(INDEX(مخرج_البند,MATCH($A596,قائمة_المخرجات,0)),""))</f>
        <v/>
      </c>
      <c r="C596" s="30" t="str">
        <f aca="false">IF($A596="","",IFERROR(INDEX(مخرج_الوصف,MATCH($A596,قائمة_المخرجات,0)),""))</f>
        <v/>
      </c>
      <c r="D596" s="20"/>
      <c r="E596" s="31"/>
      <c r="F596" s="22"/>
      <c r="G596" s="36" t="str">
        <f aca="false">IF(OR($A596="",$D596&lt;&gt;"تسليم",NOT(ISNUMBER($E596))),"",COUNTIFS($A$5:$A$1504,$A596,$D$5:$D$1504,"تسليم",$E$5:$E$1504,"&lt;"&amp;$E596)+1)</f>
        <v/>
      </c>
      <c r="H596" s="33" t="str">
        <f aca="false">IF($G596="","",_xlfn.MINIFS($E$5:$E$1504,$A$5:$A$1504,$A596,$D$5:$D$1504,"&lt;&gt;تسليم",$E$5:$E$1504,"&gt;="&amp;$E596))</f>
        <v/>
      </c>
      <c r="I596" s="33" t="str">
        <f aca="false">IF($G596="","",_xlfn.MINIFS($E$5:$E$1504,$A$5:$A$1504,$A596,$D$5:$D$1504,"تسليم",$E$5:$E$1504,"&gt;"&amp;$E596))</f>
        <v/>
      </c>
      <c r="J596" s="33" t="str">
        <f aca="false">IF($G596="","",IF(H596&gt;0,IF(I596&gt;0,MIN(H596,I596),H596),IF(I596&gt;0,I596,تاريخ_الاحتساب)))</f>
        <v/>
      </c>
      <c r="K596" s="34" t="str">
        <f aca="false">IF($G596="","",IF(AND(H596=0,I596=0),"جارية","مغلقة"))</f>
        <v/>
      </c>
      <c r="L596" s="26" t="str">
        <f aca="false">IF($G596="","",MAX(0,NETWORKDAYS.INTL($E596,J596,رمز_العطلة,أيام_الأجازات)-1))</f>
        <v/>
      </c>
      <c r="M596" s="26" t="str">
        <f aca="false">IF($G596="","",MAX(0,L596-مهلة_المراجعة))</f>
        <v/>
      </c>
      <c r="N596" s="30" t="str">
        <f aca="false">IF($A596="",IF(OR($D596&lt;&gt;"",$E596&lt;&gt;""),"رقم المخرج ناقص",""),IF(ISNA(MATCH($A596,قائمة_المخرجات,0)),"رقم مخرج غير موجود",IF($D596="","نوع الحركة ناقص",IF(NOT(ISNUMBER($E596)),"التاريخ ناقص",IF($E596&gt;تاريخ_الاحتساب,"تاريخ بعد تاريخ الاحتساب",IF(AND($D596&lt;&gt;"تسليم",COUNTIFS($A$5:$A$1504,$A596,$D$5:$D$1504,"تسليم",$E$5:$E$1504,"&lt;="&amp;$E596)=0),"لا يوجد تسليم قبل الحركة دي",""))))))</f>
        <v/>
      </c>
    </row>
    <row r="597" customFormat="false" ht="15" hidden="false" customHeight="false" outlineLevel="0" collapsed="false">
      <c r="A597" s="20"/>
      <c r="B597" s="35" t="str">
        <f aca="false">IF($A597="","",IFERROR(INDEX(مخرج_البند,MATCH($A597,قائمة_المخرجات,0)),""))</f>
        <v/>
      </c>
      <c r="C597" s="30" t="str">
        <f aca="false">IF($A597="","",IFERROR(INDEX(مخرج_الوصف,MATCH($A597,قائمة_المخرجات,0)),""))</f>
        <v/>
      </c>
      <c r="D597" s="20"/>
      <c r="E597" s="31"/>
      <c r="F597" s="22"/>
      <c r="G597" s="36" t="str">
        <f aca="false">IF(OR($A597="",$D597&lt;&gt;"تسليم",NOT(ISNUMBER($E597))),"",COUNTIFS($A$5:$A$1504,$A597,$D$5:$D$1504,"تسليم",$E$5:$E$1504,"&lt;"&amp;$E597)+1)</f>
        <v/>
      </c>
      <c r="H597" s="33" t="str">
        <f aca="false">IF($G597="","",_xlfn.MINIFS($E$5:$E$1504,$A$5:$A$1504,$A597,$D$5:$D$1504,"&lt;&gt;تسليم",$E$5:$E$1504,"&gt;="&amp;$E597))</f>
        <v/>
      </c>
      <c r="I597" s="33" t="str">
        <f aca="false">IF($G597="","",_xlfn.MINIFS($E$5:$E$1504,$A$5:$A$1504,$A597,$D$5:$D$1504,"تسليم",$E$5:$E$1504,"&gt;"&amp;$E597))</f>
        <v/>
      </c>
      <c r="J597" s="33" t="str">
        <f aca="false">IF($G597="","",IF(H597&gt;0,IF(I597&gt;0,MIN(H597,I597),H597),IF(I597&gt;0,I597,تاريخ_الاحتساب)))</f>
        <v/>
      </c>
      <c r="K597" s="34" t="str">
        <f aca="false">IF($G597="","",IF(AND(H597=0,I597=0),"جارية","مغلقة"))</f>
        <v/>
      </c>
      <c r="L597" s="26" t="str">
        <f aca="false">IF($G597="","",MAX(0,NETWORKDAYS.INTL($E597,J597,رمز_العطلة,أيام_الأجازات)-1))</f>
        <v/>
      </c>
      <c r="M597" s="26" t="str">
        <f aca="false">IF($G597="","",MAX(0,L597-مهلة_المراجعة))</f>
        <v/>
      </c>
      <c r="N597" s="30" t="str">
        <f aca="false">IF($A597="",IF(OR($D597&lt;&gt;"",$E597&lt;&gt;""),"رقم المخرج ناقص",""),IF(ISNA(MATCH($A597,قائمة_المخرجات,0)),"رقم مخرج غير موجود",IF($D597="","نوع الحركة ناقص",IF(NOT(ISNUMBER($E597)),"التاريخ ناقص",IF($E597&gt;تاريخ_الاحتساب,"تاريخ بعد تاريخ الاحتساب",IF(AND($D597&lt;&gt;"تسليم",COUNTIFS($A$5:$A$1504,$A597,$D$5:$D$1504,"تسليم",$E$5:$E$1504,"&lt;="&amp;$E597)=0),"لا يوجد تسليم قبل الحركة دي",""))))))</f>
        <v/>
      </c>
    </row>
    <row r="598" customFormat="false" ht="15" hidden="false" customHeight="false" outlineLevel="0" collapsed="false">
      <c r="A598" s="20"/>
      <c r="B598" s="35" t="str">
        <f aca="false">IF($A598="","",IFERROR(INDEX(مخرج_البند,MATCH($A598,قائمة_المخرجات,0)),""))</f>
        <v/>
      </c>
      <c r="C598" s="30" t="str">
        <f aca="false">IF($A598="","",IFERROR(INDEX(مخرج_الوصف,MATCH($A598,قائمة_المخرجات,0)),""))</f>
        <v/>
      </c>
      <c r="D598" s="20"/>
      <c r="E598" s="31"/>
      <c r="F598" s="22"/>
      <c r="G598" s="36" t="str">
        <f aca="false">IF(OR($A598="",$D598&lt;&gt;"تسليم",NOT(ISNUMBER($E598))),"",COUNTIFS($A$5:$A$1504,$A598,$D$5:$D$1504,"تسليم",$E$5:$E$1504,"&lt;"&amp;$E598)+1)</f>
        <v/>
      </c>
      <c r="H598" s="33" t="str">
        <f aca="false">IF($G598="","",_xlfn.MINIFS($E$5:$E$1504,$A$5:$A$1504,$A598,$D$5:$D$1504,"&lt;&gt;تسليم",$E$5:$E$1504,"&gt;="&amp;$E598))</f>
        <v/>
      </c>
      <c r="I598" s="33" t="str">
        <f aca="false">IF($G598="","",_xlfn.MINIFS($E$5:$E$1504,$A$5:$A$1504,$A598,$D$5:$D$1504,"تسليم",$E$5:$E$1504,"&gt;"&amp;$E598))</f>
        <v/>
      </c>
      <c r="J598" s="33" t="str">
        <f aca="false">IF($G598="","",IF(H598&gt;0,IF(I598&gt;0,MIN(H598,I598),H598),IF(I598&gt;0,I598,تاريخ_الاحتساب)))</f>
        <v/>
      </c>
      <c r="K598" s="34" t="str">
        <f aca="false">IF($G598="","",IF(AND(H598=0,I598=0),"جارية","مغلقة"))</f>
        <v/>
      </c>
      <c r="L598" s="26" t="str">
        <f aca="false">IF($G598="","",MAX(0,NETWORKDAYS.INTL($E598,J598,رمز_العطلة,أيام_الأجازات)-1))</f>
        <v/>
      </c>
      <c r="M598" s="26" t="str">
        <f aca="false">IF($G598="","",MAX(0,L598-مهلة_المراجعة))</f>
        <v/>
      </c>
      <c r="N598" s="30" t="str">
        <f aca="false">IF($A598="",IF(OR($D598&lt;&gt;"",$E598&lt;&gt;""),"رقم المخرج ناقص",""),IF(ISNA(MATCH($A598,قائمة_المخرجات,0)),"رقم مخرج غير موجود",IF($D598="","نوع الحركة ناقص",IF(NOT(ISNUMBER($E598)),"التاريخ ناقص",IF($E598&gt;تاريخ_الاحتساب,"تاريخ بعد تاريخ الاحتساب",IF(AND($D598&lt;&gt;"تسليم",COUNTIFS($A$5:$A$1504,$A598,$D$5:$D$1504,"تسليم",$E$5:$E$1504,"&lt;="&amp;$E598)=0),"لا يوجد تسليم قبل الحركة دي",""))))))</f>
        <v/>
      </c>
    </row>
    <row r="599" customFormat="false" ht="15" hidden="false" customHeight="false" outlineLevel="0" collapsed="false">
      <c r="A599" s="20"/>
      <c r="B599" s="35" t="str">
        <f aca="false">IF($A599="","",IFERROR(INDEX(مخرج_البند,MATCH($A599,قائمة_المخرجات,0)),""))</f>
        <v/>
      </c>
      <c r="C599" s="30" t="str">
        <f aca="false">IF($A599="","",IFERROR(INDEX(مخرج_الوصف,MATCH($A599,قائمة_المخرجات,0)),""))</f>
        <v/>
      </c>
      <c r="D599" s="20"/>
      <c r="E599" s="31"/>
      <c r="F599" s="22"/>
      <c r="G599" s="36" t="str">
        <f aca="false">IF(OR($A599="",$D599&lt;&gt;"تسليم",NOT(ISNUMBER($E599))),"",COUNTIFS($A$5:$A$1504,$A599,$D$5:$D$1504,"تسليم",$E$5:$E$1504,"&lt;"&amp;$E599)+1)</f>
        <v/>
      </c>
      <c r="H599" s="33" t="str">
        <f aca="false">IF($G599="","",_xlfn.MINIFS($E$5:$E$1504,$A$5:$A$1504,$A599,$D$5:$D$1504,"&lt;&gt;تسليم",$E$5:$E$1504,"&gt;="&amp;$E599))</f>
        <v/>
      </c>
      <c r="I599" s="33" t="str">
        <f aca="false">IF($G599="","",_xlfn.MINIFS($E$5:$E$1504,$A$5:$A$1504,$A599,$D$5:$D$1504,"تسليم",$E$5:$E$1504,"&gt;"&amp;$E599))</f>
        <v/>
      </c>
      <c r="J599" s="33" t="str">
        <f aca="false">IF($G599="","",IF(H599&gt;0,IF(I599&gt;0,MIN(H599,I599),H599),IF(I599&gt;0,I599,تاريخ_الاحتساب)))</f>
        <v/>
      </c>
      <c r="K599" s="34" t="str">
        <f aca="false">IF($G599="","",IF(AND(H599=0,I599=0),"جارية","مغلقة"))</f>
        <v/>
      </c>
      <c r="L599" s="26" t="str">
        <f aca="false">IF($G599="","",MAX(0,NETWORKDAYS.INTL($E599,J599,رمز_العطلة,أيام_الأجازات)-1))</f>
        <v/>
      </c>
      <c r="M599" s="26" t="str">
        <f aca="false">IF($G599="","",MAX(0,L599-مهلة_المراجعة))</f>
        <v/>
      </c>
      <c r="N599" s="30" t="str">
        <f aca="false">IF($A599="",IF(OR($D599&lt;&gt;"",$E599&lt;&gt;""),"رقم المخرج ناقص",""),IF(ISNA(MATCH($A599,قائمة_المخرجات,0)),"رقم مخرج غير موجود",IF($D599="","نوع الحركة ناقص",IF(NOT(ISNUMBER($E599)),"التاريخ ناقص",IF($E599&gt;تاريخ_الاحتساب,"تاريخ بعد تاريخ الاحتساب",IF(AND($D599&lt;&gt;"تسليم",COUNTIFS($A$5:$A$1504,$A599,$D$5:$D$1504,"تسليم",$E$5:$E$1504,"&lt;="&amp;$E599)=0),"لا يوجد تسليم قبل الحركة دي",""))))))</f>
        <v/>
      </c>
    </row>
    <row r="600" customFormat="false" ht="15" hidden="false" customHeight="false" outlineLevel="0" collapsed="false">
      <c r="A600" s="20"/>
      <c r="B600" s="35" t="str">
        <f aca="false">IF($A600="","",IFERROR(INDEX(مخرج_البند,MATCH($A600,قائمة_المخرجات,0)),""))</f>
        <v/>
      </c>
      <c r="C600" s="30" t="str">
        <f aca="false">IF($A600="","",IFERROR(INDEX(مخرج_الوصف,MATCH($A600,قائمة_المخرجات,0)),""))</f>
        <v/>
      </c>
      <c r="D600" s="20"/>
      <c r="E600" s="31"/>
      <c r="F600" s="22"/>
      <c r="G600" s="36" t="str">
        <f aca="false">IF(OR($A600="",$D600&lt;&gt;"تسليم",NOT(ISNUMBER($E600))),"",COUNTIFS($A$5:$A$1504,$A600,$D$5:$D$1504,"تسليم",$E$5:$E$1504,"&lt;"&amp;$E600)+1)</f>
        <v/>
      </c>
      <c r="H600" s="33" t="str">
        <f aca="false">IF($G600="","",_xlfn.MINIFS($E$5:$E$1504,$A$5:$A$1504,$A600,$D$5:$D$1504,"&lt;&gt;تسليم",$E$5:$E$1504,"&gt;="&amp;$E600))</f>
        <v/>
      </c>
      <c r="I600" s="33" t="str">
        <f aca="false">IF($G600="","",_xlfn.MINIFS($E$5:$E$1504,$A$5:$A$1504,$A600,$D$5:$D$1504,"تسليم",$E$5:$E$1504,"&gt;"&amp;$E600))</f>
        <v/>
      </c>
      <c r="J600" s="33" t="str">
        <f aca="false">IF($G600="","",IF(H600&gt;0,IF(I600&gt;0,MIN(H600,I600),H600),IF(I600&gt;0,I600,تاريخ_الاحتساب)))</f>
        <v/>
      </c>
      <c r="K600" s="34" t="str">
        <f aca="false">IF($G600="","",IF(AND(H600=0,I600=0),"جارية","مغلقة"))</f>
        <v/>
      </c>
      <c r="L600" s="26" t="str">
        <f aca="false">IF($G600="","",MAX(0,NETWORKDAYS.INTL($E600,J600,رمز_العطلة,أيام_الأجازات)-1))</f>
        <v/>
      </c>
      <c r="M600" s="26" t="str">
        <f aca="false">IF($G600="","",MAX(0,L600-مهلة_المراجعة))</f>
        <v/>
      </c>
      <c r="N600" s="30" t="str">
        <f aca="false">IF($A600="",IF(OR($D600&lt;&gt;"",$E600&lt;&gt;""),"رقم المخرج ناقص",""),IF(ISNA(MATCH($A600,قائمة_المخرجات,0)),"رقم مخرج غير موجود",IF($D600="","نوع الحركة ناقص",IF(NOT(ISNUMBER($E600)),"التاريخ ناقص",IF($E600&gt;تاريخ_الاحتساب,"تاريخ بعد تاريخ الاحتساب",IF(AND($D600&lt;&gt;"تسليم",COUNTIFS($A$5:$A$1504,$A600,$D$5:$D$1504,"تسليم",$E$5:$E$1504,"&lt;="&amp;$E600)=0),"لا يوجد تسليم قبل الحركة دي",""))))))</f>
        <v/>
      </c>
    </row>
    <row r="601" customFormat="false" ht="15" hidden="false" customHeight="false" outlineLevel="0" collapsed="false">
      <c r="A601" s="20"/>
      <c r="B601" s="35" t="str">
        <f aca="false">IF($A601="","",IFERROR(INDEX(مخرج_البند,MATCH($A601,قائمة_المخرجات,0)),""))</f>
        <v/>
      </c>
      <c r="C601" s="30" t="str">
        <f aca="false">IF($A601="","",IFERROR(INDEX(مخرج_الوصف,MATCH($A601,قائمة_المخرجات,0)),""))</f>
        <v/>
      </c>
      <c r="D601" s="20"/>
      <c r="E601" s="31"/>
      <c r="F601" s="22"/>
      <c r="G601" s="36" t="str">
        <f aca="false">IF(OR($A601="",$D601&lt;&gt;"تسليم",NOT(ISNUMBER($E601))),"",COUNTIFS($A$5:$A$1504,$A601,$D$5:$D$1504,"تسليم",$E$5:$E$1504,"&lt;"&amp;$E601)+1)</f>
        <v/>
      </c>
      <c r="H601" s="33" t="str">
        <f aca="false">IF($G601="","",_xlfn.MINIFS($E$5:$E$1504,$A$5:$A$1504,$A601,$D$5:$D$1504,"&lt;&gt;تسليم",$E$5:$E$1504,"&gt;="&amp;$E601))</f>
        <v/>
      </c>
      <c r="I601" s="33" t="str">
        <f aca="false">IF($G601="","",_xlfn.MINIFS($E$5:$E$1504,$A$5:$A$1504,$A601,$D$5:$D$1504,"تسليم",$E$5:$E$1504,"&gt;"&amp;$E601))</f>
        <v/>
      </c>
      <c r="J601" s="33" t="str">
        <f aca="false">IF($G601="","",IF(H601&gt;0,IF(I601&gt;0,MIN(H601,I601),H601),IF(I601&gt;0,I601,تاريخ_الاحتساب)))</f>
        <v/>
      </c>
      <c r="K601" s="34" t="str">
        <f aca="false">IF($G601="","",IF(AND(H601=0,I601=0),"جارية","مغلقة"))</f>
        <v/>
      </c>
      <c r="L601" s="26" t="str">
        <f aca="false">IF($G601="","",MAX(0,NETWORKDAYS.INTL($E601,J601,رمز_العطلة,أيام_الأجازات)-1))</f>
        <v/>
      </c>
      <c r="M601" s="26" t="str">
        <f aca="false">IF($G601="","",MAX(0,L601-مهلة_المراجعة))</f>
        <v/>
      </c>
      <c r="N601" s="30" t="str">
        <f aca="false">IF($A601="",IF(OR($D601&lt;&gt;"",$E601&lt;&gt;""),"رقم المخرج ناقص",""),IF(ISNA(MATCH($A601,قائمة_المخرجات,0)),"رقم مخرج غير موجود",IF($D601="","نوع الحركة ناقص",IF(NOT(ISNUMBER($E601)),"التاريخ ناقص",IF($E601&gt;تاريخ_الاحتساب,"تاريخ بعد تاريخ الاحتساب",IF(AND($D601&lt;&gt;"تسليم",COUNTIFS($A$5:$A$1504,$A601,$D$5:$D$1504,"تسليم",$E$5:$E$1504,"&lt;="&amp;$E601)=0),"لا يوجد تسليم قبل الحركة دي",""))))))</f>
        <v/>
      </c>
    </row>
    <row r="602" customFormat="false" ht="15" hidden="false" customHeight="false" outlineLevel="0" collapsed="false">
      <c r="A602" s="20"/>
      <c r="B602" s="35" t="str">
        <f aca="false">IF($A602="","",IFERROR(INDEX(مخرج_البند,MATCH($A602,قائمة_المخرجات,0)),""))</f>
        <v/>
      </c>
      <c r="C602" s="30" t="str">
        <f aca="false">IF($A602="","",IFERROR(INDEX(مخرج_الوصف,MATCH($A602,قائمة_المخرجات,0)),""))</f>
        <v/>
      </c>
      <c r="D602" s="20"/>
      <c r="E602" s="31"/>
      <c r="F602" s="22"/>
      <c r="G602" s="36" t="str">
        <f aca="false">IF(OR($A602="",$D602&lt;&gt;"تسليم",NOT(ISNUMBER($E602))),"",COUNTIFS($A$5:$A$1504,$A602,$D$5:$D$1504,"تسليم",$E$5:$E$1504,"&lt;"&amp;$E602)+1)</f>
        <v/>
      </c>
      <c r="H602" s="33" t="str">
        <f aca="false">IF($G602="","",_xlfn.MINIFS($E$5:$E$1504,$A$5:$A$1504,$A602,$D$5:$D$1504,"&lt;&gt;تسليم",$E$5:$E$1504,"&gt;="&amp;$E602))</f>
        <v/>
      </c>
      <c r="I602" s="33" t="str">
        <f aca="false">IF($G602="","",_xlfn.MINIFS($E$5:$E$1504,$A$5:$A$1504,$A602,$D$5:$D$1504,"تسليم",$E$5:$E$1504,"&gt;"&amp;$E602))</f>
        <v/>
      </c>
      <c r="J602" s="33" t="str">
        <f aca="false">IF($G602="","",IF(H602&gt;0,IF(I602&gt;0,MIN(H602,I602),H602),IF(I602&gt;0,I602,تاريخ_الاحتساب)))</f>
        <v/>
      </c>
      <c r="K602" s="34" t="str">
        <f aca="false">IF($G602="","",IF(AND(H602=0,I602=0),"جارية","مغلقة"))</f>
        <v/>
      </c>
      <c r="L602" s="26" t="str">
        <f aca="false">IF($G602="","",MAX(0,NETWORKDAYS.INTL($E602,J602,رمز_العطلة,أيام_الأجازات)-1))</f>
        <v/>
      </c>
      <c r="M602" s="26" t="str">
        <f aca="false">IF($G602="","",MAX(0,L602-مهلة_المراجعة))</f>
        <v/>
      </c>
      <c r="N602" s="30" t="str">
        <f aca="false">IF($A602="",IF(OR($D602&lt;&gt;"",$E602&lt;&gt;""),"رقم المخرج ناقص",""),IF(ISNA(MATCH($A602,قائمة_المخرجات,0)),"رقم مخرج غير موجود",IF($D602="","نوع الحركة ناقص",IF(NOT(ISNUMBER($E602)),"التاريخ ناقص",IF($E602&gt;تاريخ_الاحتساب,"تاريخ بعد تاريخ الاحتساب",IF(AND($D602&lt;&gt;"تسليم",COUNTIFS($A$5:$A$1504,$A602,$D$5:$D$1504,"تسليم",$E$5:$E$1504,"&lt;="&amp;$E602)=0),"لا يوجد تسليم قبل الحركة دي",""))))))</f>
        <v/>
      </c>
    </row>
    <row r="603" customFormat="false" ht="15" hidden="false" customHeight="false" outlineLevel="0" collapsed="false">
      <c r="A603" s="20"/>
      <c r="B603" s="35" t="str">
        <f aca="false">IF($A603="","",IFERROR(INDEX(مخرج_البند,MATCH($A603,قائمة_المخرجات,0)),""))</f>
        <v/>
      </c>
      <c r="C603" s="30" t="str">
        <f aca="false">IF($A603="","",IFERROR(INDEX(مخرج_الوصف,MATCH($A603,قائمة_المخرجات,0)),""))</f>
        <v/>
      </c>
      <c r="D603" s="20"/>
      <c r="E603" s="31"/>
      <c r="F603" s="22"/>
      <c r="G603" s="36" t="str">
        <f aca="false">IF(OR($A603="",$D603&lt;&gt;"تسليم",NOT(ISNUMBER($E603))),"",COUNTIFS($A$5:$A$1504,$A603,$D$5:$D$1504,"تسليم",$E$5:$E$1504,"&lt;"&amp;$E603)+1)</f>
        <v/>
      </c>
      <c r="H603" s="33" t="str">
        <f aca="false">IF($G603="","",_xlfn.MINIFS($E$5:$E$1504,$A$5:$A$1504,$A603,$D$5:$D$1504,"&lt;&gt;تسليم",$E$5:$E$1504,"&gt;="&amp;$E603))</f>
        <v/>
      </c>
      <c r="I603" s="33" t="str">
        <f aca="false">IF($G603="","",_xlfn.MINIFS($E$5:$E$1504,$A$5:$A$1504,$A603,$D$5:$D$1504,"تسليم",$E$5:$E$1504,"&gt;"&amp;$E603))</f>
        <v/>
      </c>
      <c r="J603" s="33" t="str">
        <f aca="false">IF($G603="","",IF(H603&gt;0,IF(I603&gt;0,MIN(H603,I603),H603),IF(I603&gt;0,I603,تاريخ_الاحتساب)))</f>
        <v/>
      </c>
      <c r="K603" s="34" t="str">
        <f aca="false">IF($G603="","",IF(AND(H603=0,I603=0),"جارية","مغلقة"))</f>
        <v/>
      </c>
      <c r="L603" s="26" t="str">
        <f aca="false">IF($G603="","",MAX(0,NETWORKDAYS.INTL($E603,J603,رمز_العطلة,أيام_الأجازات)-1))</f>
        <v/>
      </c>
      <c r="M603" s="26" t="str">
        <f aca="false">IF($G603="","",MAX(0,L603-مهلة_المراجعة))</f>
        <v/>
      </c>
      <c r="N603" s="30" t="str">
        <f aca="false">IF($A603="",IF(OR($D603&lt;&gt;"",$E603&lt;&gt;""),"رقم المخرج ناقص",""),IF(ISNA(MATCH($A603,قائمة_المخرجات,0)),"رقم مخرج غير موجود",IF($D603="","نوع الحركة ناقص",IF(NOT(ISNUMBER($E603)),"التاريخ ناقص",IF($E603&gt;تاريخ_الاحتساب,"تاريخ بعد تاريخ الاحتساب",IF(AND($D603&lt;&gt;"تسليم",COUNTIFS($A$5:$A$1504,$A603,$D$5:$D$1504,"تسليم",$E$5:$E$1504,"&lt;="&amp;$E603)=0),"لا يوجد تسليم قبل الحركة دي",""))))))</f>
        <v/>
      </c>
    </row>
    <row r="604" customFormat="false" ht="15" hidden="false" customHeight="false" outlineLevel="0" collapsed="false">
      <c r="A604" s="20"/>
      <c r="B604" s="35" t="str">
        <f aca="false">IF($A604="","",IFERROR(INDEX(مخرج_البند,MATCH($A604,قائمة_المخرجات,0)),""))</f>
        <v/>
      </c>
      <c r="C604" s="30" t="str">
        <f aca="false">IF($A604="","",IFERROR(INDEX(مخرج_الوصف,MATCH($A604,قائمة_المخرجات,0)),""))</f>
        <v/>
      </c>
      <c r="D604" s="20"/>
      <c r="E604" s="31"/>
      <c r="F604" s="22"/>
      <c r="G604" s="36" t="str">
        <f aca="false">IF(OR($A604="",$D604&lt;&gt;"تسليم",NOT(ISNUMBER($E604))),"",COUNTIFS($A$5:$A$1504,$A604,$D$5:$D$1504,"تسليم",$E$5:$E$1504,"&lt;"&amp;$E604)+1)</f>
        <v/>
      </c>
      <c r="H604" s="33" t="str">
        <f aca="false">IF($G604="","",_xlfn.MINIFS($E$5:$E$1504,$A$5:$A$1504,$A604,$D$5:$D$1504,"&lt;&gt;تسليم",$E$5:$E$1504,"&gt;="&amp;$E604))</f>
        <v/>
      </c>
      <c r="I604" s="33" t="str">
        <f aca="false">IF($G604="","",_xlfn.MINIFS($E$5:$E$1504,$A$5:$A$1504,$A604,$D$5:$D$1504,"تسليم",$E$5:$E$1504,"&gt;"&amp;$E604))</f>
        <v/>
      </c>
      <c r="J604" s="33" t="str">
        <f aca="false">IF($G604="","",IF(H604&gt;0,IF(I604&gt;0,MIN(H604,I604),H604),IF(I604&gt;0,I604,تاريخ_الاحتساب)))</f>
        <v/>
      </c>
      <c r="K604" s="34" t="str">
        <f aca="false">IF($G604="","",IF(AND(H604=0,I604=0),"جارية","مغلقة"))</f>
        <v/>
      </c>
      <c r="L604" s="26" t="str">
        <f aca="false">IF($G604="","",MAX(0,NETWORKDAYS.INTL($E604,J604,رمز_العطلة,أيام_الأجازات)-1))</f>
        <v/>
      </c>
      <c r="M604" s="26" t="str">
        <f aca="false">IF($G604="","",MAX(0,L604-مهلة_المراجعة))</f>
        <v/>
      </c>
      <c r="N604" s="30" t="str">
        <f aca="false">IF($A604="",IF(OR($D604&lt;&gt;"",$E604&lt;&gt;""),"رقم المخرج ناقص",""),IF(ISNA(MATCH($A604,قائمة_المخرجات,0)),"رقم مخرج غير موجود",IF($D604="","نوع الحركة ناقص",IF(NOT(ISNUMBER($E604)),"التاريخ ناقص",IF($E604&gt;تاريخ_الاحتساب,"تاريخ بعد تاريخ الاحتساب",IF(AND($D604&lt;&gt;"تسليم",COUNTIFS($A$5:$A$1504,$A604,$D$5:$D$1504,"تسليم",$E$5:$E$1504,"&lt;="&amp;$E604)=0),"لا يوجد تسليم قبل الحركة دي",""))))))</f>
        <v/>
      </c>
    </row>
    <row r="605" customFormat="false" ht="15" hidden="false" customHeight="false" outlineLevel="0" collapsed="false">
      <c r="A605" s="20"/>
      <c r="B605" s="35" t="str">
        <f aca="false">IF($A605="","",IFERROR(INDEX(مخرج_البند,MATCH($A605,قائمة_المخرجات,0)),""))</f>
        <v/>
      </c>
      <c r="C605" s="30" t="str">
        <f aca="false">IF($A605="","",IFERROR(INDEX(مخرج_الوصف,MATCH($A605,قائمة_المخرجات,0)),""))</f>
        <v/>
      </c>
      <c r="D605" s="20"/>
      <c r="E605" s="31"/>
      <c r="F605" s="22"/>
      <c r="G605" s="36" t="str">
        <f aca="false">IF(OR($A605="",$D605&lt;&gt;"تسليم",NOT(ISNUMBER($E605))),"",COUNTIFS($A$5:$A$1504,$A605,$D$5:$D$1504,"تسليم",$E$5:$E$1504,"&lt;"&amp;$E605)+1)</f>
        <v/>
      </c>
      <c r="H605" s="33" t="str">
        <f aca="false">IF($G605="","",_xlfn.MINIFS($E$5:$E$1504,$A$5:$A$1504,$A605,$D$5:$D$1504,"&lt;&gt;تسليم",$E$5:$E$1504,"&gt;="&amp;$E605))</f>
        <v/>
      </c>
      <c r="I605" s="33" t="str">
        <f aca="false">IF($G605="","",_xlfn.MINIFS($E$5:$E$1504,$A$5:$A$1504,$A605,$D$5:$D$1504,"تسليم",$E$5:$E$1504,"&gt;"&amp;$E605))</f>
        <v/>
      </c>
      <c r="J605" s="33" t="str">
        <f aca="false">IF($G605="","",IF(H605&gt;0,IF(I605&gt;0,MIN(H605,I605),H605),IF(I605&gt;0,I605,تاريخ_الاحتساب)))</f>
        <v/>
      </c>
      <c r="K605" s="34" t="str">
        <f aca="false">IF($G605="","",IF(AND(H605=0,I605=0),"جارية","مغلقة"))</f>
        <v/>
      </c>
      <c r="L605" s="26" t="str">
        <f aca="false">IF($G605="","",MAX(0,NETWORKDAYS.INTL($E605,J605,رمز_العطلة,أيام_الأجازات)-1))</f>
        <v/>
      </c>
      <c r="M605" s="26" t="str">
        <f aca="false">IF($G605="","",MAX(0,L605-مهلة_المراجعة))</f>
        <v/>
      </c>
      <c r="N605" s="30" t="str">
        <f aca="false">IF($A605="",IF(OR($D605&lt;&gt;"",$E605&lt;&gt;""),"رقم المخرج ناقص",""),IF(ISNA(MATCH($A605,قائمة_المخرجات,0)),"رقم مخرج غير موجود",IF($D605="","نوع الحركة ناقص",IF(NOT(ISNUMBER($E605)),"التاريخ ناقص",IF($E605&gt;تاريخ_الاحتساب,"تاريخ بعد تاريخ الاحتساب",IF(AND($D605&lt;&gt;"تسليم",COUNTIFS($A$5:$A$1504,$A605,$D$5:$D$1504,"تسليم",$E$5:$E$1504,"&lt;="&amp;$E605)=0),"لا يوجد تسليم قبل الحركة دي",""))))))</f>
        <v/>
      </c>
    </row>
    <row r="606" customFormat="false" ht="15" hidden="false" customHeight="false" outlineLevel="0" collapsed="false">
      <c r="A606" s="20"/>
      <c r="B606" s="35" t="str">
        <f aca="false">IF($A606="","",IFERROR(INDEX(مخرج_البند,MATCH($A606,قائمة_المخرجات,0)),""))</f>
        <v/>
      </c>
      <c r="C606" s="30" t="str">
        <f aca="false">IF($A606="","",IFERROR(INDEX(مخرج_الوصف,MATCH($A606,قائمة_المخرجات,0)),""))</f>
        <v/>
      </c>
      <c r="D606" s="20"/>
      <c r="E606" s="31"/>
      <c r="F606" s="22"/>
      <c r="G606" s="36" t="str">
        <f aca="false">IF(OR($A606="",$D606&lt;&gt;"تسليم",NOT(ISNUMBER($E606))),"",COUNTIFS($A$5:$A$1504,$A606,$D$5:$D$1504,"تسليم",$E$5:$E$1504,"&lt;"&amp;$E606)+1)</f>
        <v/>
      </c>
      <c r="H606" s="33" t="str">
        <f aca="false">IF($G606="","",_xlfn.MINIFS($E$5:$E$1504,$A$5:$A$1504,$A606,$D$5:$D$1504,"&lt;&gt;تسليم",$E$5:$E$1504,"&gt;="&amp;$E606))</f>
        <v/>
      </c>
      <c r="I606" s="33" t="str">
        <f aca="false">IF($G606="","",_xlfn.MINIFS($E$5:$E$1504,$A$5:$A$1504,$A606,$D$5:$D$1504,"تسليم",$E$5:$E$1504,"&gt;"&amp;$E606))</f>
        <v/>
      </c>
      <c r="J606" s="33" t="str">
        <f aca="false">IF($G606="","",IF(H606&gt;0,IF(I606&gt;0,MIN(H606,I606),H606),IF(I606&gt;0,I606,تاريخ_الاحتساب)))</f>
        <v/>
      </c>
      <c r="K606" s="34" t="str">
        <f aca="false">IF($G606="","",IF(AND(H606=0,I606=0),"جارية","مغلقة"))</f>
        <v/>
      </c>
      <c r="L606" s="26" t="str">
        <f aca="false">IF($G606="","",MAX(0,NETWORKDAYS.INTL($E606,J606,رمز_العطلة,أيام_الأجازات)-1))</f>
        <v/>
      </c>
      <c r="M606" s="26" t="str">
        <f aca="false">IF($G606="","",MAX(0,L606-مهلة_المراجعة))</f>
        <v/>
      </c>
      <c r="N606" s="30" t="str">
        <f aca="false">IF($A606="",IF(OR($D606&lt;&gt;"",$E606&lt;&gt;""),"رقم المخرج ناقص",""),IF(ISNA(MATCH($A606,قائمة_المخرجات,0)),"رقم مخرج غير موجود",IF($D606="","نوع الحركة ناقص",IF(NOT(ISNUMBER($E606)),"التاريخ ناقص",IF($E606&gt;تاريخ_الاحتساب,"تاريخ بعد تاريخ الاحتساب",IF(AND($D606&lt;&gt;"تسليم",COUNTIFS($A$5:$A$1504,$A606,$D$5:$D$1504,"تسليم",$E$5:$E$1504,"&lt;="&amp;$E606)=0),"لا يوجد تسليم قبل الحركة دي",""))))))</f>
        <v/>
      </c>
    </row>
    <row r="607" customFormat="false" ht="15" hidden="false" customHeight="false" outlineLevel="0" collapsed="false">
      <c r="A607" s="20"/>
      <c r="B607" s="35" t="str">
        <f aca="false">IF($A607="","",IFERROR(INDEX(مخرج_البند,MATCH($A607,قائمة_المخرجات,0)),""))</f>
        <v/>
      </c>
      <c r="C607" s="30" t="str">
        <f aca="false">IF($A607="","",IFERROR(INDEX(مخرج_الوصف,MATCH($A607,قائمة_المخرجات,0)),""))</f>
        <v/>
      </c>
      <c r="D607" s="20"/>
      <c r="E607" s="31"/>
      <c r="F607" s="22"/>
      <c r="G607" s="36" t="str">
        <f aca="false">IF(OR($A607="",$D607&lt;&gt;"تسليم",NOT(ISNUMBER($E607))),"",COUNTIFS($A$5:$A$1504,$A607,$D$5:$D$1504,"تسليم",$E$5:$E$1504,"&lt;"&amp;$E607)+1)</f>
        <v/>
      </c>
      <c r="H607" s="33" t="str">
        <f aca="false">IF($G607="","",_xlfn.MINIFS($E$5:$E$1504,$A$5:$A$1504,$A607,$D$5:$D$1504,"&lt;&gt;تسليم",$E$5:$E$1504,"&gt;="&amp;$E607))</f>
        <v/>
      </c>
      <c r="I607" s="33" t="str">
        <f aca="false">IF($G607="","",_xlfn.MINIFS($E$5:$E$1504,$A$5:$A$1504,$A607,$D$5:$D$1504,"تسليم",$E$5:$E$1504,"&gt;"&amp;$E607))</f>
        <v/>
      </c>
      <c r="J607" s="33" t="str">
        <f aca="false">IF($G607="","",IF(H607&gt;0,IF(I607&gt;0,MIN(H607,I607),H607),IF(I607&gt;0,I607,تاريخ_الاحتساب)))</f>
        <v/>
      </c>
      <c r="K607" s="34" t="str">
        <f aca="false">IF($G607="","",IF(AND(H607=0,I607=0),"جارية","مغلقة"))</f>
        <v/>
      </c>
      <c r="L607" s="26" t="str">
        <f aca="false">IF($G607="","",MAX(0,NETWORKDAYS.INTL($E607,J607,رمز_العطلة,أيام_الأجازات)-1))</f>
        <v/>
      </c>
      <c r="M607" s="26" t="str">
        <f aca="false">IF($G607="","",MAX(0,L607-مهلة_المراجعة))</f>
        <v/>
      </c>
      <c r="N607" s="30" t="str">
        <f aca="false">IF($A607="",IF(OR($D607&lt;&gt;"",$E607&lt;&gt;""),"رقم المخرج ناقص",""),IF(ISNA(MATCH($A607,قائمة_المخرجات,0)),"رقم مخرج غير موجود",IF($D607="","نوع الحركة ناقص",IF(NOT(ISNUMBER($E607)),"التاريخ ناقص",IF($E607&gt;تاريخ_الاحتساب,"تاريخ بعد تاريخ الاحتساب",IF(AND($D607&lt;&gt;"تسليم",COUNTIFS($A$5:$A$1504,$A607,$D$5:$D$1504,"تسليم",$E$5:$E$1504,"&lt;="&amp;$E607)=0),"لا يوجد تسليم قبل الحركة دي",""))))))</f>
        <v/>
      </c>
    </row>
    <row r="608" customFormat="false" ht="15" hidden="false" customHeight="false" outlineLevel="0" collapsed="false">
      <c r="A608" s="20"/>
      <c r="B608" s="35" t="str">
        <f aca="false">IF($A608="","",IFERROR(INDEX(مخرج_البند,MATCH($A608,قائمة_المخرجات,0)),""))</f>
        <v/>
      </c>
      <c r="C608" s="30" t="str">
        <f aca="false">IF($A608="","",IFERROR(INDEX(مخرج_الوصف,MATCH($A608,قائمة_المخرجات,0)),""))</f>
        <v/>
      </c>
      <c r="D608" s="20"/>
      <c r="E608" s="31"/>
      <c r="F608" s="22"/>
      <c r="G608" s="36" t="str">
        <f aca="false">IF(OR($A608="",$D608&lt;&gt;"تسليم",NOT(ISNUMBER($E608))),"",COUNTIFS($A$5:$A$1504,$A608,$D$5:$D$1504,"تسليم",$E$5:$E$1504,"&lt;"&amp;$E608)+1)</f>
        <v/>
      </c>
      <c r="H608" s="33" t="str">
        <f aca="false">IF($G608="","",_xlfn.MINIFS($E$5:$E$1504,$A$5:$A$1504,$A608,$D$5:$D$1504,"&lt;&gt;تسليم",$E$5:$E$1504,"&gt;="&amp;$E608))</f>
        <v/>
      </c>
      <c r="I608" s="33" t="str">
        <f aca="false">IF($G608="","",_xlfn.MINIFS($E$5:$E$1504,$A$5:$A$1504,$A608,$D$5:$D$1504,"تسليم",$E$5:$E$1504,"&gt;"&amp;$E608))</f>
        <v/>
      </c>
      <c r="J608" s="33" t="str">
        <f aca="false">IF($G608="","",IF(H608&gt;0,IF(I608&gt;0,MIN(H608,I608),H608),IF(I608&gt;0,I608,تاريخ_الاحتساب)))</f>
        <v/>
      </c>
      <c r="K608" s="34" t="str">
        <f aca="false">IF($G608="","",IF(AND(H608=0,I608=0),"جارية","مغلقة"))</f>
        <v/>
      </c>
      <c r="L608" s="26" t="str">
        <f aca="false">IF($G608="","",MAX(0,NETWORKDAYS.INTL($E608,J608,رمز_العطلة,أيام_الأجازات)-1))</f>
        <v/>
      </c>
      <c r="M608" s="26" t="str">
        <f aca="false">IF($G608="","",MAX(0,L608-مهلة_المراجعة))</f>
        <v/>
      </c>
      <c r="N608" s="30" t="str">
        <f aca="false">IF($A608="",IF(OR($D608&lt;&gt;"",$E608&lt;&gt;""),"رقم المخرج ناقص",""),IF(ISNA(MATCH($A608,قائمة_المخرجات,0)),"رقم مخرج غير موجود",IF($D608="","نوع الحركة ناقص",IF(NOT(ISNUMBER($E608)),"التاريخ ناقص",IF($E608&gt;تاريخ_الاحتساب,"تاريخ بعد تاريخ الاحتساب",IF(AND($D608&lt;&gt;"تسليم",COUNTIFS($A$5:$A$1504,$A608,$D$5:$D$1504,"تسليم",$E$5:$E$1504,"&lt;="&amp;$E608)=0),"لا يوجد تسليم قبل الحركة دي",""))))))</f>
        <v/>
      </c>
    </row>
    <row r="609" customFormat="false" ht="15" hidden="false" customHeight="false" outlineLevel="0" collapsed="false">
      <c r="A609" s="20"/>
      <c r="B609" s="35" t="str">
        <f aca="false">IF($A609="","",IFERROR(INDEX(مخرج_البند,MATCH($A609,قائمة_المخرجات,0)),""))</f>
        <v/>
      </c>
      <c r="C609" s="30" t="str">
        <f aca="false">IF($A609="","",IFERROR(INDEX(مخرج_الوصف,MATCH($A609,قائمة_المخرجات,0)),""))</f>
        <v/>
      </c>
      <c r="D609" s="20"/>
      <c r="E609" s="31"/>
      <c r="F609" s="22"/>
      <c r="G609" s="36" t="str">
        <f aca="false">IF(OR($A609="",$D609&lt;&gt;"تسليم",NOT(ISNUMBER($E609))),"",COUNTIFS($A$5:$A$1504,$A609,$D$5:$D$1504,"تسليم",$E$5:$E$1504,"&lt;"&amp;$E609)+1)</f>
        <v/>
      </c>
      <c r="H609" s="33" t="str">
        <f aca="false">IF($G609="","",_xlfn.MINIFS($E$5:$E$1504,$A$5:$A$1504,$A609,$D$5:$D$1504,"&lt;&gt;تسليم",$E$5:$E$1504,"&gt;="&amp;$E609))</f>
        <v/>
      </c>
      <c r="I609" s="33" t="str">
        <f aca="false">IF($G609="","",_xlfn.MINIFS($E$5:$E$1504,$A$5:$A$1504,$A609,$D$5:$D$1504,"تسليم",$E$5:$E$1504,"&gt;"&amp;$E609))</f>
        <v/>
      </c>
      <c r="J609" s="33" t="str">
        <f aca="false">IF($G609="","",IF(H609&gt;0,IF(I609&gt;0,MIN(H609,I609),H609),IF(I609&gt;0,I609,تاريخ_الاحتساب)))</f>
        <v/>
      </c>
      <c r="K609" s="34" t="str">
        <f aca="false">IF($G609="","",IF(AND(H609=0,I609=0),"جارية","مغلقة"))</f>
        <v/>
      </c>
      <c r="L609" s="26" t="str">
        <f aca="false">IF($G609="","",MAX(0,NETWORKDAYS.INTL($E609,J609,رمز_العطلة,أيام_الأجازات)-1))</f>
        <v/>
      </c>
      <c r="M609" s="26" t="str">
        <f aca="false">IF($G609="","",MAX(0,L609-مهلة_المراجعة))</f>
        <v/>
      </c>
      <c r="N609" s="30" t="str">
        <f aca="false">IF($A609="",IF(OR($D609&lt;&gt;"",$E609&lt;&gt;""),"رقم المخرج ناقص",""),IF(ISNA(MATCH($A609,قائمة_المخرجات,0)),"رقم مخرج غير موجود",IF($D609="","نوع الحركة ناقص",IF(NOT(ISNUMBER($E609)),"التاريخ ناقص",IF($E609&gt;تاريخ_الاحتساب,"تاريخ بعد تاريخ الاحتساب",IF(AND($D609&lt;&gt;"تسليم",COUNTIFS($A$5:$A$1504,$A609,$D$5:$D$1504,"تسليم",$E$5:$E$1504,"&lt;="&amp;$E609)=0),"لا يوجد تسليم قبل الحركة دي",""))))))</f>
        <v/>
      </c>
    </row>
    <row r="610" customFormat="false" ht="15" hidden="false" customHeight="false" outlineLevel="0" collapsed="false">
      <c r="A610" s="20"/>
      <c r="B610" s="35" t="str">
        <f aca="false">IF($A610="","",IFERROR(INDEX(مخرج_البند,MATCH($A610,قائمة_المخرجات,0)),""))</f>
        <v/>
      </c>
      <c r="C610" s="30" t="str">
        <f aca="false">IF($A610="","",IFERROR(INDEX(مخرج_الوصف,MATCH($A610,قائمة_المخرجات,0)),""))</f>
        <v/>
      </c>
      <c r="D610" s="20"/>
      <c r="E610" s="31"/>
      <c r="F610" s="22"/>
      <c r="G610" s="36" t="str">
        <f aca="false">IF(OR($A610="",$D610&lt;&gt;"تسليم",NOT(ISNUMBER($E610))),"",COUNTIFS($A$5:$A$1504,$A610,$D$5:$D$1504,"تسليم",$E$5:$E$1504,"&lt;"&amp;$E610)+1)</f>
        <v/>
      </c>
      <c r="H610" s="33" t="str">
        <f aca="false">IF($G610="","",_xlfn.MINIFS($E$5:$E$1504,$A$5:$A$1504,$A610,$D$5:$D$1504,"&lt;&gt;تسليم",$E$5:$E$1504,"&gt;="&amp;$E610))</f>
        <v/>
      </c>
      <c r="I610" s="33" t="str">
        <f aca="false">IF($G610="","",_xlfn.MINIFS($E$5:$E$1504,$A$5:$A$1504,$A610,$D$5:$D$1504,"تسليم",$E$5:$E$1504,"&gt;"&amp;$E610))</f>
        <v/>
      </c>
      <c r="J610" s="33" t="str">
        <f aca="false">IF($G610="","",IF(H610&gt;0,IF(I610&gt;0,MIN(H610,I610),H610),IF(I610&gt;0,I610,تاريخ_الاحتساب)))</f>
        <v/>
      </c>
      <c r="K610" s="34" t="str">
        <f aca="false">IF($G610="","",IF(AND(H610=0,I610=0),"جارية","مغلقة"))</f>
        <v/>
      </c>
      <c r="L610" s="26" t="str">
        <f aca="false">IF($G610="","",MAX(0,NETWORKDAYS.INTL($E610,J610,رمز_العطلة,أيام_الأجازات)-1))</f>
        <v/>
      </c>
      <c r="M610" s="26" t="str">
        <f aca="false">IF($G610="","",MAX(0,L610-مهلة_المراجعة))</f>
        <v/>
      </c>
      <c r="N610" s="30" t="str">
        <f aca="false">IF($A610="",IF(OR($D610&lt;&gt;"",$E610&lt;&gt;""),"رقم المخرج ناقص",""),IF(ISNA(MATCH($A610,قائمة_المخرجات,0)),"رقم مخرج غير موجود",IF($D610="","نوع الحركة ناقص",IF(NOT(ISNUMBER($E610)),"التاريخ ناقص",IF($E610&gt;تاريخ_الاحتساب,"تاريخ بعد تاريخ الاحتساب",IF(AND($D610&lt;&gt;"تسليم",COUNTIFS($A$5:$A$1504,$A610,$D$5:$D$1504,"تسليم",$E$5:$E$1504,"&lt;="&amp;$E610)=0),"لا يوجد تسليم قبل الحركة دي",""))))))</f>
        <v/>
      </c>
    </row>
    <row r="611" customFormat="false" ht="15" hidden="false" customHeight="false" outlineLevel="0" collapsed="false">
      <c r="A611" s="20"/>
      <c r="B611" s="35" t="str">
        <f aca="false">IF($A611="","",IFERROR(INDEX(مخرج_البند,MATCH($A611,قائمة_المخرجات,0)),""))</f>
        <v/>
      </c>
      <c r="C611" s="30" t="str">
        <f aca="false">IF($A611="","",IFERROR(INDEX(مخرج_الوصف,MATCH($A611,قائمة_المخرجات,0)),""))</f>
        <v/>
      </c>
      <c r="D611" s="20"/>
      <c r="E611" s="31"/>
      <c r="F611" s="22"/>
      <c r="G611" s="36" t="str">
        <f aca="false">IF(OR($A611="",$D611&lt;&gt;"تسليم",NOT(ISNUMBER($E611))),"",COUNTIFS($A$5:$A$1504,$A611,$D$5:$D$1504,"تسليم",$E$5:$E$1504,"&lt;"&amp;$E611)+1)</f>
        <v/>
      </c>
      <c r="H611" s="33" t="str">
        <f aca="false">IF($G611="","",_xlfn.MINIFS($E$5:$E$1504,$A$5:$A$1504,$A611,$D$5:$D$1504,"&lt;&gt;تسليم",$E$5:$E$1504,"&gt;="&amp;$E611))</f>
        <v/>
      </c>
      <c r="I611" s="33" t="str">
        <f aca="false">IF($G611="","",_xlfn.MINIFS($E$5:$E$1504,$A$5:$A$1504,$A611,$D$5:$D$1504,"تسليم",$E$5:$E$1504,"&gt;"&amp;$E611))</f>
        <v/>
      </c>
      <c r="J611" s="33" t="str">
        <f aca="false">IF($G611="","",IF(H611&gt;0,IF(I611&gt;0,MIN(H611,I611),H611),IF(I611&gt;0,I611,تاريخ_الاحتساب)))</f>
        <v/>
      </c>
      <c r="K611" s="34" t="str">
        <f aca="false">IF($G611="","",IF(AND(H611=0,I611=0),"جارية","مغلقة"))</f>
        <v/>
      </c>
      <c r="L611" s="26" t="str">
        <f aca="false">IF($G611="","",MAX(0,NETWORKDAYS.INTL($E611,J611,رمز_العطلة,أيام_الأجازات)-1))</f>
        <v/>
      </c>
      <c r="M611" s="26" t="str">
        <f aca="false">IF($G611="","",MAX(0,L611-مهلة_المراجعة))</f>
        <v/>
      </c>
      <c r="N611" s="30" t="str">
        <f aca="false">IF($A611="",IF(OR($D611&lt;&gt;"",$E611&lt;&gt;""),"رقم المخرج ناقص",""),IF(ISNA(MATCH($A611,قائمة_المخرجات,0)),"رقم مخرج غير موجود",IF($D611="","نوع الحركة ناقص",IF(NOT(ISNUMBER($E611)),"التاريخ ناقص",IF($E611&gt;تاريخ_الاحتساب,"تاريخ بعد تاريخ الاحتساب",IF(AND($D611&lt;&gt;"تسليم",COUNTIFS($A$5:$A$1504,$A611,$D$5:$D$1504,"تسليم",$E$5:$E$1504,"&lt;="&amp;$E611)=0),"لا يوجد تسليم قبل الحركة دي",""))))))</f>
        <v/>
      </c>
    </row>
    <row r="612" customFormat="false" ht="15" hidden="false" customHeight="false" outlineLevel="0" collapsed="false">
      <c r="A612" s="20"/>
      <c r="B612" s="35" t="str">
        <f aca="false">IF($A612="","",IFERROR(INDEX(مخرج_البند,MATCH($A612,قائمة_المخرجات,0)),""))</f>
        <v/>
      </c>
      <c r="C612" s="30" t="str">
        <f aca="false">IF($A612="","",IFERROR(INDEX(مخرج_الوصف,MATCH($A612,قائمة_المخرجات,0)),""))</f>
        <v/>
      </c>
      <c r="D612" s="20"/>
      <c r="E612" s="31"/>
      <c r="F612" s="22"/>
      <c r="G612" s="36" t="str">
        <f aca="false">IF(OR($A612="",$D612&lt;&gt;"تسليم",NOT(ISNUMBER($E612))),"",COUNTIFS($A$5:$A$1504,$A612,$D$5:$D$1504,"تسليم",$E$5:$E$1504,"&lt;"&amp;$E612)+1)</f>
        <v/>
      </c>
      <c r="H612" s="33" t="str">
        <f aca="false">IF($G612="","",_xlfn.MINIFS($E$5:$E$1504,$A$5:$A$1504,$A612,$D$5:$D$1504,"&lt;&gt;تسليم",$E$5:$E$1504,"&gt;="&amp;$E612))</f>
        <v/>
      </c>
      <c r="I612" s="33" t="str">
        <f aca="false">IF($G612="","",_xlfn.MINIFS($E$5:$E$1504,$A$5:$A$1504,$A612,$D$5:$D$1504,"تسليم",$E$5:$E$1504,"&gt;"&amp;$E612))</f>
        <v/>
      </c>
      <c r="J612" s="33" t="str">
        <f aca="false">IF($G612="","",IF(H612&gt;0,IF(I612&gt;0,MIN(H612,I612),H612),IF(I612&gt;0,I612,تاريخ_الاحتساب)))</f>
        <v/>
      </c>
      <c r="K612" s="34" t="str">
        <f aca="false">IF($G612="","",IF(AND(H612=0,I612=0),"جارية","مغلقة"))</f>
        <v/>
      </c>
      <c r="L612" s="26" t="str">
        <f aca="false">IF($G612="","",MAX(0,NETWORKDAYS.INTL($E612,J612,رمز_العطلة,أيام_الأجازات)-1))</f>
        <v/>
      </c>
      <c r="M612" s="26" t="str">
        <f aca="false">IF($G612="","",MAX(0,L612-مهلة_المراجعة))</f>
        <v/>
      </c>
      <c r="N612" s="30" t="str">
        <f aca="false">IF($A612="",IF(OR($D612&lt;&gt;"",$E612&lt;&gt;""),"رقم المخرج ناقص",""),IF(ISNA(MATCH($A612,قائمة_المخرجات,0)),"رقم مخرج غير موجود",IF($D612="","نوع الحركة ناقص",IF(NOT(ISNUMBER($E612)),"التاريخ ناقص",IF($E612&gt;تاريخ_الاحتساب,"تاريخ بعد تاريخ الاحتساب",IF(AND($D612&lt;&gt;"تسليم",COUNTIFS($A$5:$A$1504,$A612,$D$5:$D$1504,"تسليم",$E$5:$E$1504,"&lt;="&amp;$E612)=0),"لا يوجد تسليم قبل الحركة دي",""))))))</f>
        <v/>
      </c>
    </row>
    <row r="613" customFormat="false" ht="15" hidden="false" customHeight="false" outlineLevel="0" collapsed="false">
      <c r="A613" s="20"/>
      <c r="B613" s="35" t="str">
        <f aca="false">IF($A613="","",IFERROR(INDEX(مخرج_البند,MATCH($A613,قائمة_المخرجات,0)),""))</f>
        <v/>
      </c>
      <c r="C613" s="30" t="str">
        <f aca="false">IF($A613="","",IFERROR(INDEX(مخرج_الوصف,MATCH($A613,قائمة_المخرجات,0)),""))</f>
        <v/>
      </c>
      <c r="D613" s="20"/>
      <c r="E613" s="31"/>
      <c r="F613" s="22"/>
      <c r="G613" s="36" t="str">
        <f aca="false">IF(OR($A613="",$D613&lt;&gt;"تسليم",NOT(ISNUMBER($E613))),"",COUNTIFS($A$5:$A$1504,$A613,$D$5:$D$1504,"تسليم",$E$5:$E$1504,"&lt;"&amp;$E613)+1)</f>
        <v/>
      </c>
      <c r="H613" s="33" t="str">
        <f aca="false">IF($G613="","",_xlfn.MINIFS($E$5:$E$1504,$A$5:$A$1504,$A613,$D$5:$D$1504,"&lt;&gt;تسليم",$E$5:$E$1504,"&gt;="&amp;$E613))</f>
        <v/>
      </c>
      <c r="I613" s="33" t="str">
        <f aca="false">IF($G613="","",_xlfn.MINIFS($E$5:$E$1504,$A$5:$A$1504,$A613,$D$5:$D$1504,"تسليم",$E$5:$E$1504,"&gt;"&amp;$E613))</f>
        <v/>
      </c>
      <c r="J613" s="33" t="str">
        <f aca="false">IF($G613="","",IF(H613&gt;0,IF(I613&gt;0,MIN(H613,I613),H613),IF(I613&gt;0,I613,تاريخ_الاحتساب)))</f>
        <v/>
      </c>
      <c r="K613" s="34" t="str">
        <f aca="false">IF($G613="","",IF(AND(H613=0,I613=0),"جارية","مغلقة"))</f>
        <v/>
      </c>
      <c r="L613" s="26" t="str">
        <f aca="false">IF($G613="","",MAX(0,NETWORKDAYS.INTL($E613,J613,رمز_العطلة,أيام_الأجازات)-1))</f>
        <v/>
      </c>
      <c r="M613" s="26" t="str">
        <f aca="false">IF($G613="","",MAX(0,L613-مهلة_المراجعة))</f>
        <v/>
      </c>
      <c r="N613" s="30" t="str">
        <f aca="false">IF($A613="",IF(OR($D613&lt;&gt;"",$E613&lt;&gt;""),"رقم المخرج ناقص",""),IF(ISNA(MATCH($A613,قائمة_المخرجات,0)),"رقم مخرج غير موجود",IF($D613="","نوع الحركة ناقص",IF(NOT(ISNUMBER($E613)),"التاريخ ناقص",IF($E613&gt;تاريخ_الاحتساب,"تاريخ بعد تاريخ الاحتساب",IF(AND($D613&lt;&gt;"تسليم",COUNTIFS($A$5:$A$1504,$A613,$D$5:$D$1504,"تسليم",$E$5:$E$1504,"&lt;="&amp;$E613)=0),"لا يوجد تسليم قبل الحركة دي",""))))))</f>
        <v/>
      </c>
    </row>
    <row r="614" customFormat="false" ht="15" hidden="false" customHeight="false" outlineLevel="0" collapsed="false">
      <c r="A614" s="20"/>
      <c r="B614" s="35" t="str">
        <f aca="false">IF($A614="","",IFERROR(INDEX(مخرج_البند,MATCH($A614,قائمة_المخرجات,0)),""))</f>
        <v/>
      </c>
      <c r="C614" s="30" t="str">
        <f aca="false">IF($A614="","",IFERROR(INDEX(مخرج_الوصف,MATCH($A614,قائمة_المخرجات,0)),""))</f>
        <v/>
      </c>
      <c r="D614" s="20"/>
      <c r="E614" s="31"/>
      <c r="F614" s="22"/>
      <c r="G614" s="36" t="str">
        <f aca="false">IF(OR($A614="",$D614&lt;&gt;"تسليم",NOT(ISNUMBER($E614))),"",COUNTIFS($A$5:$A$1504,$A614,$D$5:$D$1504,"تسليم",$E$5:$E$1504,"&lt;"&amp;$E614)+1)</f>
        <v/>
      </c>
      <c r="H614" s="33" t="str">
        <f aca="false">IF($G614="","",_xlfn.MINIFS($E$5:$E$1504,$A$5:$A$1504,$A614,$D$5:$D$1504,"&lt;&gt;تسليم",$E$5:$E$1504,"&gt;="&amp;$E614))</f>
        <v/>
      </c>
      <c r="I614" s="33" t="str">
        <f aca="false">IF($G614="","",_xlfn.MINIFS($E$5:$E$1504,$A$5:$A$1504,$A614,$D$5:$D$1504,"تسليم",$E$5:$E$1504,"&gt;"&amp;$E614))</f>
        <v/>
      </c>
      <c r="J614" s="33" t="str">
        <f aca="false">IF($G614="","",IF(H614&gt;0,IF(I614&gt;0,MIN(H614,I614),H614),IF(I614&gt;0,I614,تاريخ_الاحتساب)))</f>
        <v/>
      </c>
      <c r="K614" s="34" t="str">
        <f aca="false">IF($G614="","",IF(AND(H614=0,I614=0),"جارية","مغلقة"))</f>
        <v/>
      </c>
      <c r="L614" s="26" t="str">
        <f aca="false">IF($G614="","",MAX(0,NETWORKDAYS.INTL($E614,J614,رمز_العطلة,أيام_الأجازات)-1))</f>
        <v/>
      </c>
      <c r="M614" s="26" t="str">
        <f aca="false">IF($G614="","",MAX(0,L614-مهلة_المراجعة))</f>
        <v/>
      </c>
      <c r="N614" s="30" t="str">
        <f aca="false">IF($A614="",IF(OR($D614&lt;&gt;"",$E614&lt;&gt;""),"رقم المخرج ناقص",""),IF(ISNA(MATCH($A614,قائمة_المخرجات,0)),"رقم مخرج غير موجود",IF($D614="","نوع الحركة ناقص",IF(NOT(ISNUMBER($E614)),"التاريخ ناقص",IF($E614&gt;تاريخ_الاحتساب,"تاريخ بعد تاريخ الاحتساب",IF(AND($D614&lt;&gt;"تسليم",COUNTIFS($A$5:$A$1504,$A614,$D$5:$D$1504,"تسليم",$E$5:$E$1504,"&lt;="&amp;$E614)=0),"لا يوجد تسليم قبل الحركة دي",""))))))</f>
        <v/>
      </c>
    </row>
    <row r="615" customFormat="false" ht="15" hidden="false" customHeight="false" outlineLevel="0" collapsed="false">
      <c r="A615" s="20"/>
      <c r="B615" s="35" t="str">
        <f aca="false">IF($A615="","",IFERROR(INDEX(مخرج_البند,MATCH($A615,قائمة_المخرجات,0)),""))</f>
        <v/>
      </c>
      <c r="C615" s="30" t="str">
        <f aca="false">IF($A615="","",IFERROR(INDEX(مخرج_الوصف,MATCH($A615,قائمة_المخرجات,0)),""))</f>
        <v/>
      </c>
      <c r="D615" s="20"/>
      <c r="E615" s="31"/>
      <c r="F615" s="22"/>
      <c r="G615" s="36" t="str">
        <f aca="false">IF(OR($A615="",$D615&lt;&gt;"تسليم",NOT(ISNUMBER($E615))),"",COUNTIFS($A$5:$A$1504,$A615,$D$5:$D$1504,"تسليم",$E$5:$E$1504,"&lt;"&amp;$E615)+1)</f>
        <v/>
      </c>
      <c r="H615" s="33" t="str">
        <f aca="false">IF($G615="","",_xlfn.MINIFS($E$5:$E$1504,$A$5:$A$1504,$A615,$D$5:$D$1504,"&lt;&gt;تسليم",$E$5:$E$1504,"&gt;="&amp;$E615))</f>
        <v/>
      </c>
      <c r="I615" s="33" t="str">
        <f aca="false">IF($G615="","",_xlfn.MINIFS($E$5:$E$1504,$A$5:$A$1504,$A615,$D$5:$D$1504,"تسليم",$E$5:$E$1504,"&gt;"&amp;$E615))</f>
        <v/>
      </c>
      <c r="J615" s="33" t="str">
        <f aca="false">IF($G615="","",IF(H615&gt;0,IF(I615&gt;0,MIN(H615,I615),H615),IF(I615&gt;0,I615,تاريخ_الاحتساب)))</f>
        <v/>
      </c>
      <c r="K615" s="34" t="str">
        <f aca="false">IF($G615="","",IF(AND(H615=0,I615=0),"جارية","مغلقة"))</f>
        <v/>
      </c>
      <c r="L615" s="26" t="str">
        <f aca="false">IF($G615="","",MAX(0,NETWORKDAYS.INTL($E615,J615,رمز_العطلة,أيام_الأجازات)-1))</f>
        <v/>
      </c>
      <c r="M615" s="26" t="str">
        <f aca="false">IF($G615="","",MAX(0,L615-مهلة_المراجعة))</f>
        <v/>
      </c>
      <c r="N615" s="30" t="str">
        <f aca="false">IF($A615="",IF(OR($D615&lt;&gt;"",$E615&lt;&gt;""),"رقم المخرج ناقص",""),IF(ISNA(MATCH($A615,قائمة_المخرجات,0)),"رقم مخرج غير موجود",IF($D615="","نوع الحركة ناقص",IF(NOT(ISNUMBER($E615)),"التاريخ ناقص",IF($E615&gt;تاريخ_الاحتساب,"تاريخ بعد تاريخ الاحتساب",IF(AND($D615&lt;&gt;"تسليم",COUNTIFS($A$5:$A$1504,$A615,$D$5:$D$1504,"تسليم",$E$5:$E$1504,"&lt;="&amp;$E615)=0),"لا يوجد تسليم قبل الحركة دي",""))))))</f>
        <v/>
      </c>
    </row>
    <row r="616" customFormat="false" ht="15" hidden="false" customHeight="false" outlineLevel="0" collapsed="false">
      <c r="A616" s="20"/>
      <c r="B616" s="35" t="str">
        <f aca="false">IF($A616="","",IFERROR(INDEX(مخرج_البند,MATCH($A616,قائمة_المخرجات,0)),""))</f>
        <v/>
      </c>
      <c r="C616" s="30" t="str">
        <f aca="false">IF($A616="","",IFERROR(INDEX(مخرج_الوصف,MATCH($A616,قائمة_المخرجات,0)),""))</f>
        <v/>
      </c>
      <c r="D616" s="20"/>
      <c r="E616" s="31"/>
      <c r="F616" s="22"/>
      <c r="G616" s="36" t="str">
        <f aca="false">IF(OR($A616="",$D616&lt;&gt;"تسليم",NOT(ISNUMBER($E616))),"",COUNTIFS($A$5:$A$1504,$A616,$D$5:$D$1504,"تسليم",$E$5:$E$1504,"&lt;"&amp;$E616)+1)</f>
        <v/>
      </c>
      <c r="H616" s="33" t="str">
        <f aca="false">IF($G616="","",_xlfn.MINIFS($E$5:$E$1504,$A$5:$A$1504,$A616,$D$5:$D$1504,"&lt;&gt;تسليم",$E$5:$E$1504,"&gt;="&amp;$E616))</f>
        <v/>
      </c>
      <c r="I616" s="33" t="str">
        <f aca="false">IF($G616="","",_xlfn.MINIFS($E$5:$E$1504,$A$5:$A$1504,$A616,$D$5:$D$1504,"تسليم",$E$5:$E$1504,"&gt;"&amp;$E616))</f>
        <v/>
      </c>
      <c r="J616" s="33" t="str">
        <f aca="false">IF($G616="","",IF(H616&gt;0,IF(I616&gt;0,MIN(H616,I616),H616),IF(I616&gt;0,I616,تاريخ_الاحتساب)))</f>
        <v/>
      </c>
      <c r="K616" s="34" t="str">
        <f aca="false">IF($G616="","",IF(AND(H616=0,I616=0),"جارية","مغلقة"))</f>
        <v/>
      </c>
      <c r="L616" s="26" t="str">
        <f aca="false">IF($G616="","",MAX(0,NETWORKDAYS.INTL($E616,J616,رمز_العطلة,أيام_الأجازات)-1))</f>
        <v/>
      </c>
      <c r="M616" s="26" t="str">
        <f aca="false">IF($G616="","",MAX(0,L616-مهلة_المراجعة))</f>
        <v/>
      </c>
      <c r="N616" s="30" t="str">
        <f aca="false">IF($A616="",IF(OR($D616&lt;&gt;"",$E616&lt;&gt;""),"رقم المخرج ناقص",""),IF(ISNA(MATCH($A616,قائمة_المخرجات,0)),"رقم مخرج غير موجود",IF($D616="","نوع الحركة ناقص",IF(NOT(ISNUMBER($E616)),"التاريخ ناقص",IF($E616&gt;تاريخ_الاحتساب,"تاريخ بعد تاريخ الاحتساب",IF(AND($D616&lt;&gt;"تسليم",COUNTIFS($A$5:$A$1504,$A616,$D$5:$D$1504,"تسليم",$E$5:$E$1504,"&lt;="&amp;$E616)=0),"لا يوجد تسليم قبل الحركة دي",""))))))</f>
        <v/>
      </c>
    </row>
    <row r="617" customFormat="false" ht="15" hidden="false" customHeight="false" outlineLevel="0" collapsed="false">
      <c r="A617" s="20"/>
      <c r="B617" s="35" t="str">
        <f aca="false">IF($A617="","",IFERROR(INDEX(مخرج_البند,MATCH($A617,قائمة_المخرجات,0)),""))</f>
        <v/>
      </c>
      <c r="C617" s="30" t="str">
        <f aca="false">IF($A617="","",IFERROR(INDEX(مخرج_الوصف,MATCH($A617,قائمة_المخرجات,0)),""))</f>
        <v/>
      </c>
      <c r="D617" s="20"/>
      <c r="E617" s="31"/>
      <c r="F617" s="22"/>
      <c r="G617" s="36" t="str">
        <f aca="false">IF(OR($A617="",$D617&lt;&gt;"تسليم",NOT(ISNUMBER($E617))),"",COUNTIFS($A$5:$A$1504,$A617,$D$5:$D$1504,"تسليم",$E$5:$E$1504,"&lt;"&amp;$E617)+1)</f>
        <v/>
      </c>
      <c r="H617" s="33" t="str">
        <f aca="false">IF($G617="","",_xlfn.MINIFS($E$5:$E$1504,$A$5:$A$1504,$A617,$D$5:$D$1504,"&lt;&gt;تسليم",$E$5:$E$1504,"&gt;="&amp;$E617))</f>
        <v/>
      </c>
      <c r="I617" s="33" t="str">
        <f aca="false">IF($G617="","",_xlfn.MINIFS($E$5:$E$1504,$A$5:$A$1504,$A617,$D$5:$D$1504,"تسليم",$E$5:$E$1504,"&gt;"&amp;$E617))</f>
        <v/>
      </c>
      <c r="J617" s="33" t="str">
        <f aca="false">IF($G617="","",IF(H617&gt;0,IF(I617&gt;0,MIN(H617,I617),H617),IF(I617&gt;0,I617,تاريخ_الاحتساب)))</f>
        <v/>
      </c>
      <c r="K617" s="34" t="str">
        <f aca="false">IF($G617="","",IF(AND(H617=0,I617=0),"جارية","مغلقة"))</f>
        <v/>
      </c>
      <c r="L617" s="26" t="str">
        <f aca="false">IF($G617="","",MAX(0,NETWORKDAYS.INTL($E617,J617,رمز_العطلة,أيام_الأجازات)-1))</f>
        <v/>
      </c>
      <c r="M617" s="26" t="str">
        <f aca="false">IF($G617="","",MAX(0,L617-مهلة_المراجعة))</f>
        <v/>
      </c>
      <c r="N617" s="30" t="str">
        <f aca="false">IF($A617="",IF(OR($D617&lt;&gt;"",$E617&lt;&gt;""),"رقم المخرج ناقص",""),IF(ISNA(MATCH($A617,قائمة_المخرجات,0)),"رقم مخرج غير موجود",IF($D617="","نوع الحركة ناقص",IF(NOT(ISNUMBER($E617)),"التاريخ ناقص",IF($E617&gt;تاريخ_الاحتساب,"تاريخ بعد تاريخ الاحتساب",IF(AND($D617&lt;&gt;"تسليم",COUNTIFS($A$5:$A$1504,$A617,$D$5:$D$1504,"تسليم",$E$5:$E$1504,"&lt;="&amp;$E617)=0),"لا يوجد تسليم قبل الحركة دي",""))))))</f>
        <v/>
      </c>
    </row>
    <row r="618" customFormat="false" ht="15" hidden="false" customHeight="false" outlineLevel="0" collapsed="false">
      <c r="A618" s="20"/>
      <c r="B618" s="35" t="str">
        <f aca="false">IF($A618="","",IFERROR(INDEX(مخرج_البند,MATCH($A618,قائمة_المخرجات,0)),""))</f>
        <v/>
      </c>
      <c r="C618" s="30" t="str">
        <f aca="false">IF($A618="","",IFERROR(INDEX(مخرج_الوصف,MATCH($A618,قائمة_المخرجات,0)),""))</f>
        <v/>
      </c>
      <c r="D618" s="20"/>
      <c r="E618" s="31"/>
      <c r="F618" s="22"/>
      <c r="G618" s="36" t="str">
        <f aca="false">IF(OR($A618="",$D618&lt;&gt;"تسليم",NOT(ISNUMBER($E618))),"",COUNTIFS($A$5:$A$1504,$A618,$D$5:$D$1504,"تسليم",$E$5:$E$1504,"&lt;"&amp;$E618)+1)</f>
        <v/>
      </c>
      <c r="H618" s="33" t="str">
        <f aca="false">IF($G618="","",_xlfn.MINIFS($E$5:$E$1504,$A$5:$A$1504,$A618,$D$5:$D$1504,"&lt;&gt;تسليم",$E$5:$E$1504,"&gt;="&amp;$E618))</f>
        <v/>
      </c>
      <c r="I618" s="33" t="str">
        <f aca="false">IF($G618="","",_xlfn.MINIFS($E$5:$E$1504,$A$5:$A$1504,$A618,$D$5:$D$1504,"تسليم",$E$5:$E$1504,"&gt;"&amp;$E618))</f>
        <v/>
      </c>
      <c r="J618" s="33" t="str">
        <f aca="false">IF($G618="","",IF(H618&gt;0,IF(I618&gt;0,MIN(H618,I618),H618),IF(I618&gt;0,I618,تاريخ_الاحتساب)))</f>
        <v/>
      </c>
      <c r="K618" s="34" t="str">
        <f aca="false">IF($G618="","",IF(AND(H618=0,I618=0),"جارية","مغلقة"))</f>
        <v/>
      </c>
      <c r="L618" s="26" t="str">
        <f aca="false">IF($G618="","",MAX(0,NETWORKDAYS.INTL($E618,J618,رمز_العطلة,أيام_الأجازات)-1))</f>
        <v/>
      </c>
      <c r="M618" s="26" t="str">
        <f aca="false">IF($G618="","",MAX(0,L618-مهلة_المراجعة))</f>
        <v/>
      </c>
      <c r="N618" s="30" t="str">
        <f aca="false">IF($A618="",IF(OR($D618&lt;&gt;"",$E618&lt;&gt;""),"رقم المخرج ناقص",""),IF(ISNA(MATCH($A618,قائمة_المخرجات,0)),"رقم مخرج غير موجود",IF($D618="","نوع الحركة ناقص",IF(NOT(ISNUMBER($E618)),"التاريخ ناقص",IF($E618&gt;تاريخ_الاحتساب,"تاريخ بعد تاريخ الاحتساب",IF(AND($D618&lt;&gt;"تسليم",COUNTIFS($A$5:$A$1504,$A618,$D$5:$D$1504,"تسليم",$E$5:$E$1504,"&lt;="&amp;$E618)=0),"لا يوجد تسليم قبل الحركة دي",""))))))</f>
        <v/>
      </c>
    </row>
    <row r="619" customFormat="false" ht="15" hidden="false" customHeight="false" outlineLevel="0" collapsed="false">
      <c r="A619" s="20"/>
      <c r="B619" s="35" t="str">
        <f aca="false">IF($A619="","",IFERROR(INDEX(مخرج_البند,MATCH($A619,قائمة_المخرجات,0)),""))</f>
        <v/>
      </c>
      <c r="C619" s="30" t="str">
        <f aca="false">IF($A619="","",IFERROR(INDEX(مخرج_الوصف,MATCH($A619,قائمة_المخرجات,0)),""))</f>
        <v/>
      </c>
      <c r="D619" s="20"/>
      <c r="E619" s="31"/>
      <c r="F619" s="22"/>
      <c r="G619" s="36" t="str">
        <f aca="false">IF(OR($A619="",$D619&lt;&gt;"تسليم",NOT(ISNUMBER($E619))),"",COUNTIFS($A$5:$A$1504,$A619,$D$5:$D$1504,"تسليم",$E$5:$E$1504,"&lt;"&amp;$E619)+1)</f>
        <v/>
      </c>
      <c r="H619" s="33" t="str">
        <f aca="false">IF($G619="","",_xlfn.MINIFS($E$5:$E$1504,$A$5:$A$1504,$A619,$D$5:$D$1504,"&lt;&gt;تسليم",$E$5:$E$1504,"&gt;="&amp;$E619))</f>
        <v/>
      </c>
      <c r="I619" s="33" t="str">
        <f aca="false">IF($G619="","",_xlfn.MINIFS($E$5:$E$1504,$A$5:$A$1504,$A619,$D$5:$D$1504,"تسليم",$E$5:$E$1504,"&gt;"&amp;$E619))</f>
        <v/>
      </c>
      <c r="J619" s="33" t="str">
        <f aca="false">IF($G619="","",IF(H619&gt;0,IF(I619&gt;0,MIN(H619,I619),H619),IF(I619&gt;0,I619,تاريخ_الاحتساب)))</f>
        <v/>
      </c>
      <c r="K619" s="34" t="str">
        <f aca="false">IF($G619="","",IF(AND(H619=0,I619=0),"جارية","مغلقة"))</f>
        <v/>
      </c>
      <c r="L619" s="26" t="str">
        <f aca="false">IF($G619="","",MAX(0,NETWORKDAYS.INTL($E619,J619,رمز_العطلة,أيام_الأجازات)-1))</f>
        <v/>
      </c>
      <c r="M619" s="26" t="str">
        <f aca="false">IF($G619="","",MAX(0,L619-مهلة_المراجعة))</f>
        <v/>
      </c>
      <c r="N619" s="30" t="str">
        <f aca="false">IF($A619="",IF(OR($D619&lt;&gt;"",$E619&lt;&gt;""),"رقم المخرج ناقص",""),IF(ISNA(MATCH($A619,قائمة_المخرجات,0)),"رقم مخرج غير موجود",IF($D619="","نوع الحركة ناقص",IF(NOT(ISNUMBER($E619)),"التاريخ ناقص",IF($E619&gt;تاريخ_الاحتساب,"تاريخ بعد تاريخ الاحتساب",IF(AND($D619&lt;&gt;"تسليم",COUNTIFS($A$5:$A$1504,$A619,$D$5:$D$1504,"تسليم",$E$5:$E$1504,"&lt;="&amp;$E619)=0),"لا يوجد تسليم قبل الحركة دي",""))))))</f>
        <v/>
      </c>
    </row>
    <row r="620" customFormat="false" ht="15" hidden="false" customHeight="false" outlineLevel="0" collapsed="false">
      <c r="A620" s="20"/>
      <c r="B620" s="35" t="str">
        <f aca="false">IF($A620="","",IFERROR(INDEX(مخرج_البند,MATCH($A620,قائمة_المخرجات,0)),""))</f>
        <v/>
      </c>
      <c r="C620" s="30" t="str">
        <f aca="false">IF($A620="","",IFERROR(INDEX(مخرج_الوصف,MATCH($A620,قائمة_المخرجات,0)),""))</f>
        <v/>
      </c>
      <c r="D620" s="20"/>
      <c r="E620" s="31"/>
      <c r="F620" s="22"/>
      <c r="G620" s="36" t="str">
        <f aca="false">IF(OR($A620="",$D620&lt;&gt;"تسليم",NOT(ISNUMBER($E620))),"",COUNTIFS($A$5:$A$1504,$A620,$D$5:$D$1504,"تسليم",$E$5:$E$1504,"&lt;"&amp;$E620)+1)</f>
        <v/>
      </c>
      <c r="H620" s="33" t="str">
        <f aca="false">IF($G620="","",_xlfn.MINIFS($E$5:$E$1504,$A$5:$A$1504,$A620,$D$5:$D$1504,"&lt;&gt;تسليم",$E$5:$E$1504,"&gt;="&amp;$E620))</f>
        <v/>
      </c>
      <c r="I620" s="33" t="str">
        <f aca="false">IF($G620="","",_xlfn.MINIFS($E$5:$E$1504,$A$5:$A$1504,$A620,$D$5:$D$1504,"تسليم",$E$5:$E$1504,"&gt;"&amp;$E620))</f>
        <v/>
      </c>
      <c r="J620" s="33" t="str">
        <f aca="false">IF($G620="","",IF(H620&gt;0,IF(I620&gt;0,MIN(H620,I620),H620),IF(I620&gt;0,I620,تاريخ_الاحتساب)))</f>
        <v/>
      </c>
      <c r="K620" s="34" t="str">
        <f aca="false">IF($G620="","",IF(AND(H620=0,I620=0),"جارية","مغلقة"))</f>
        <v/>
      </c>
      <c r="L620" s="26" t="str">
        <f aca="false">IF($G620="","",MAX(0,NETWORKDAYS.INTL($E620,J620,رمز_العطلة,أيام_الأجازات)-1))</f>
        <v/>
      </c>
      <c r="M620" s="26" t="str">
        <f aca="false">IF($G620="","",MAX(0,L620-مهلة_المراجعة))</f>
        <v/>
      </c>
      <c r="N620" s="30" t="str">
        <f aca="false">IF($A620="",IF(OR($D620&lt;&gt;"",$E620&lt;&gt;""),"رقم المخرج ناقص",""),IF(ISNA(MATCH($A620,قائمة_المخرجات,0)),"رقم مخرج غير موجود",IF($D620="","نوع الحركة ناقص",IF(NOT(ISNUMBER($E620)),"التاريخ ناقص",IF($E620&gt;تاريخ_الاحتساب,"تاريخ بعد تاريخ الاحتساب",IF(AND($D620&lt;&gt;"تسليم",COUNTIFS($A$5:$A$1504,$A620,$D$5:$D$1504,"تسليم",$E$5:$E$1504,"&lt;="&amp;$E620)=0),"لا يوجد تسليم قبل الحركة دي",""))))))</f>
        <v/>
      </c>
    </row>
    <row r="621" customFormat="false" ht="15" hidden="false" customHeight="false" outlineLevel="0" collapsed="false">
      <c r="A621" s="20"/>
      <c r="B621" s="35" t="str">
        <f aca="false">IF($A621="","",IFERROR(INDEX(مخرج_البند,MATCH($A621,قائمة_المخرجات,0)),""))</f>
        <v/>
      </c>
      <c r="C621" s="30" t="str">
        <f aca="false">IF($A621="","",IFERROR(INDEX(مخرج_الوصف,MATCH($A621,قائمة_المخرجات,0)),""))</f>
        <v/>
      </c>
      <c r="D621" s="20"/>
      <c r="E621" s="31"/>
      <c r="F621" s="22"/>
      <c r="G621" s="36" t="str">
        <f aca="false">IF(OR($A621="",$D621&lt;&gt;"تسليم",NOT(ISNUMBER($E621))),"",COUNTIFS($A$5:$A$1504,$A621,$D$5:$D$1504,"تسليم",$E$5:$E$1504,"&lt;"&amp;$E621)+1)</f>
        <v/>
      </c>
      <c r="H621" s="33" t="str">
        <f aca="false">IF($G621="","",_xlfn.MINIFS($E$5:$E$1504,$A$5:$A$1504,$A621,$D$5:$D$1504,"&lt;&gt;تسليم",$E$5:$E$1504,"&gt;="&amp;$E621))</f>
        <v/>
      </c>
      <c r="I621" s="33" t="str">
        <f aca="false">IF($G621="","",_xlfn.MINIFS($E$5:$E$1504,$A$5:$A$1504,$A621,$D$5:$D$1504,"تسليم",$E$5:$E$1504,"&gt;"&amp;$E621))</f>
        <v/>
      </c>
      <c r="J621" s="33" t="str">
        <f aca="false">IF($G621="","",IF(H621&gt;0,IF(I621&gt;0,MIN(H621,I621),H621),IF(I621&gt;0,I621,تاريخ_الاحتساب)))</f>
        <v/>
      </c>
      <c r="K621" s="34" t="str">
        <f aca="false">IF($G621="","",IF(AND(H621=0,I621=0),"جارية","مغلقة"))</f>
        <v/>
      </c>
      <c r="L621" s="26" t="str">
        <f aca="false">IF($G621="","",MAX(0,NETWORKDAYS.INTL($E621,J621,رمز_العطلة,أيام_الأجازات)-1))</f>
        <v/>
      </c>
      <c r="M621" s="26" t="str">
        <f aca="false">IF($G621="","",MAX(0,L621-مهلة_المراجعة))</f>
        <v/>
      </c>
      <c r="N621" s="30" t="str">
        <f aca="false">IF($A621="",IF(OR($D621&lt;&gt;"",$E621&lt;&gt;""),"رقم المخرج ناقص",""),IF(ISNA(MATCH($A621,قائمة_المخرجات,0)),"رقم مخرج غير موجود",IF($D621="","نوع الحركة ناقص",IF(NOT(ISNUMBER($E621)),"التاريخ ناقص",IF($E621&gt;تاريخ_الاحتساب,"تاريخ بعد تاريخ الاحتساب",IF(AND($D621&lt;&gt;"تسليم",COUNTIFS($A$5:$A$1504,$A621,$D$5:$D$1504,"تسليم",$E$5:$E$1504,"&lt;="&amp;$E621)=0),"لا يوجد تسليم قبل الحركة دي",""))))))</f>
        <v/>
      </c>
    </row>
    <row r="622" customFormat="false" ht="15" hidden="false" customHeight="false" outlineLevel="0" collapsed="false">
      <c r="A622" s="20"/>
      <c r="B622" s="35" t="str">
        <f aca="false">IF($A622="","",IFERROR(INDEX(مخرج_البند,MATCH($A622,قائمة_المخرجات,0)),""))</f>
        <v/>
      </c>
      <c r="C622" s="30" t="str">
        <f aca="false">IF($A622="","",IFERROR(INDEX(مخرج_الوصف,MATCH($A622,قائمة_المخرجات,0)),""))</f>
        <v/>
      </c>
      <c r="D622" s="20"/>
      <c r="E622" s="31"/>
      <c r="F622" s="22"/>
      <c r="G622" s="36" t="str">
        <f aca="false">IF(OR($A622="",$D622&lt;&gt;"تسليم",NOT(ISNUMBER($E622))),"",COUNTIFS($A$5:$A$1504,$A622,$D$5:$D$1504,"تسليم",$E$5:$E$1504,"&lt;"&amp;$E622)+1)</f>
        <v/>
      </c>
      <c r="H622" s="33" t="str">
        <f aca="false">IF($G622="","",_xlfn.MINIFS($E$5:$E$1504,$A$5:$A$1504,$A622,$D$5:$D$1504,"&lt;&gt;تسليم",$E$5:$E$1504,"&gt;="&amp;$E622))</f>
        <v/>
      </c>
      <c r="I622" s="33" t="str">
        <f aca="false">IF($G622="","",_xlfn.MINIFS($E$5:$E$1504,$A$5:$A$1504,$A622,$D$5:$D$1504,"تسليم",$E$5:$E$1504,"&gt;"&amp;$E622))</f>
        <v/>
      </c>
      <c r="J622" s="33" t="str">
        <f aca="false">IF($G622="","",IF(H622&gt;0,IF(I622&gt;0,MIN(H622,I622),H622),IF(I622&gt;0,I622,تاريخ_الاحتساب)))</f>
        <v/>
      </c>
      <c r="K622" s="34" t="str">
        <f aca="false">IF($G622="","",IF(AND(H622=0,I622=0),"جارية","مغلقة"))</f>
        <v/>
      </c>
      <c r="L622" s="26" t="str">
        <f aca="false">IF($G622="","",MAX(0,NETWORKDAYS.INTL($E622,J622,رمز_العطلة,أيام_الأجازات)-1))</f>
        <v/>
      </c>
      <c r="M622" s="26" t="str">
        <f aca="false">IF($G622="","",MAX(0,L622-مهلة_المراجعة))</f>
        <v/>
      </c>
      <c r="N622" s="30" t="str">
        <f aca="false">IF($A622="",IF(OR($D622&lt;&gt;"",$E622&lt;&gt;""),"رقم المخرج ناقص",""),IF(ISNA(MATCH($A622,قائمة_المخرجات,0)),"رقم مخرج غير موجود",IF($D622="","نوع الحركة ناقص",IF(NOT(ISNUMBER($E622)),"التاريخ ناقص",IF($E622&gt;تاريخ_الاحتساب,"تاريخ بعد تاريخ الاحتساب",IF(AND($D622&lt;&gt;"تسليم",COUNTIFS($A$5:$A$1504,$A622,$D$5:$D$1504,"تسليم",$E$5:$E$1504,"&lt;="&amp;$E622)=0),"لا يوجد تسليم قبل الحركة دي",""))))))</f>
        <v/>
      </c>
    </row>
    <row r="623" customFormat="false" ht="15" hidden="false" customHeight="false" outlineLevel="0" collapsed="false">
      <c r="A623" s="20"/>
      <c r="B623" s="35" t="str">
        <f aca="false">IF($A623="","",IFERROR(INDEX(مخرج_البند,MATCH($A623,قائمة_المخرجات,0)),""))</f>
        <v/>
      </c>
      <c r="C623" s="30" t="str">
        <f aca="false">IF($A623="","",IFERROR(INDEX(مخرج_الوصف,MATCH($A623,قائمة_المخرجات,0)),""))</f>
        <v/>
      </c>
      <c r="D623" s="20"/>
      <c r="E623" s="31"/>
      <c r="F623" s="22"/>
      <c r="G623" s="36" t="str">
        <f aca="false">IF(OR($A623="",$D623&lt;&gt;"تسليم",NOT(ISNUMBER($E623))),"",COUNTIFS($A$5:$A$1504,$A623,$D$5:$D$1504,"تسليم",$E$5:$E$1504,"&lt;"&amp;$E623)+1)</f>
        <v/>
      </c>
      <c r="H623" s="33" t="str">
        <f aca="false">IF($G623="","",_xlfn.MINIFS($E$5:$E$1504,$A$5:$A$1504,$A623,$D$5:$D$1504,"&lt;&gt;تسليم",$E$5:$E$1504,"&gt;="&amp;$E623))</f>
        <v/>
      </c>
      <c r="I623" s="33" t="str">
        <f aca="false">IF($G623="","",_xlfn.MINIFS($E$5:$E$1504,$A$5:$A$1504,$A623,$D$5:$D$1504,"تسليم",$E$5:$E$1504,"&gt;"&amp;$E623))</f>
        <v/>
      </c>
      <c r="J623" s="33" t="str">
        <f aca="false">IF($G623="","",IF(H623&gt;0,IF(I623&gt;0,MIN(H623,I623),H623),IF(I623&gt;0,I623,تاريخ_الاحتساب)))</f>
        <v/>
      </c>
      <c r="K623" s="34" t="str">
        <f aca="false">IF($G623="","",IF(AND(H623=0,I623=0),"جارية","مغلقة"))</f>
        <v/>
      </c>
      <c r="L623" s="26" t="str">
        <f aca="false">IF($G623="","",MAX(0,NETWORKDAYS.INTL($E623,J623,رمز_العطلة,أيام_الأجازات)-1))</f>
        <v/>
      </c>
      <c r="M623" s="26" t="str">
        <f aca="false">IF($G623="","",MAX(0,L623-مهلة_المراجعة))</f>
        <v/>
      </c>
      <c r="N623" s="30" t="str">
        <f aca="false">IF($A623="",IF(OR($D623&lt;&gt;"",$E623&lt;&gt;""),"رقم المخرج ناقص",""),IF(ISNA(MATCH($A623,قائمة_المخرجات,0)),"رقم مخرج غير موجود",IF($D623="","نوع الحركة ناقص",IF(NOT(ISNUMBER($E623)),"التاريخ ناقص",IF($E623&gt;تاريخ_الاحتساب,"تاريخ بعد تاريخ الاحتساب",IF(AND($D623&lt;&gt;"تسليم",COUNTIFS($A$5:$A$1504,$A623,$D$5:$D$1504,"تسليم",$E$5:$E$1504,"&lt;="&amp;$E623)=0),"لا يوجد تسليم قبل الحركة دي",""))))))</f>
        <v/>
      </c>
    </row>
    <row r="624" customFormat="false" ht="15" hidden="false" customHeight="false" outlineLevel="0" collapsed="false">
      <c r="A624" s="20"/>
      <c r="B624" s="35" t="str">
        <f aca="false">IF($A624="","",IFERROR(INDEX(مخرج_البند,MATCH($A624,قائمة_المخرجات,0)),""))</f>
        <v/>
      </c>
      <c r="C624" s="30" t="str">
        <f aca="false">IF($A624="","",IFERROR(INDEX(مخرج_الوصف,MATCH($A624,قائمة_المخرجات,0)),""))</f>
        <v/>
      </c>
      <c r="D624" s="20"/>
      <c r="E624" s="31"/>
      <c r="F624" s="22"/>
      <c r="G624" s="36" t="str">
        <f aca="false">IF(OR($A624="",$D624&lt;&gt;"تسليم",NOT(ISNUMBER($E624))),"",COUNTIFS($A$5:$A$1504,$A624,$D$5:$D$1504,"تسليم",$E$5:$E$1504,"&lt;"&amp;$E624)+1)</f>
        <v/>
      </c>
      <c r="H624" s="33" t="str">
        <f aca="false">IF($G624="","",_xlfn.MINIFS($E$5:$E$1504,$A$5:$A$1504,$A624,$D$5:$D$1504,"&lt;&gt;تسليم",$E$5:$E$1504,"&gt;="&amp;$E624))</f>
        <v/>
      </c>
      <c r="I624" s="33" t="str">
        <f aca="false">IF($G624="","",_xlfn.MINIFS($E$5:$E$1504,$A$5:$A$1504,$A624,$D$5:$D$1504,"تسليم",$E$5:$E$1504,"&gt;"&amp;$E624))</f>
        <v/>
      </c>
      <c r="J624" s="33" t="str">
        <f aca="false">IF($G624="","",IF(H624&gt;0,IF(I624&gt;0,MIN(H624,I624),H624),IF(I624&gt;0,I624,تاريخ_الاحتساب)))</f>
        <v/>
      </c>
      <c r="K624" s="34" t="str">
        <f aca="false">IF($G624="","",IF(AND(H624=0,I624=0),"جارية","مغلقة"))</f>
        <v/>
      </c>
      <c r="L624" s="26" t="str">
        <f aca="false">IF($G624="","",MAX(0,NETWORKDAYS.INTL($E624,J624,رمز_العطلة,أيام_الأجازات)-1))</f>
        <v/>
      </c>
      <c r="M624" s="26" t="str">
        <f aca="false">IF($G624="","",MAX(0,L624-مهلة_المراجعة))</f>
        <v/>
      </c>
      <c r="N624" s="30" t="str">
        <f aca="false">IF($A624="",IF(OR($D624&lt;&gt;"",$E624&lt;&gt;""),"رقم المخرج ناقص",""),IF(ISNA(MATCH($A624,قائمة_المخرجات,0)),"رقم مخرج غير موجود",IF($D624="","نوع الحركة ناقص",IF(NOT(ISNUMBER($E624)),"التاريخ ناقص",IF($E624&gt;تاريخ_الاحتساب,"تاريخ بعد تاريخ الاحتساب",IF(AND($D624&lt;&gt;"تسليم",COUNTIFS($A$5:$A$1504,$A624,$D$5:$D$1504,"تسليم",$E$5:$E$1504,"&lt;="&amp;$E624)=0),"لا يوجد تسليم قبل الحركة دي",""))))))</f>
        <v/>
      </c>
    </row>
    <row r="625" customFormat="false" ht="15" hidden="false" customHeight="false" outlineLevel="0" collapsed="false">
      <c r="A625" s="20"/>
      <c r="B625" s="35" t="str">
        <f aca="false">IF($A625="","",IFERROR(INDEX(مخرج_البند,MATCH($A625,قائمة_المخرجات,0)),""))</f>
        <v/>
      </c>
      <c r="C625" s="30" t="str">
        <f aca="false">IF($A625="","",IFERROR(INDEX(مخرج_الوصف,MATCH($A625,قائمة_المخرجات,0)),""))</f>
        <v/>
      </c>
      <c r="D625" s="20"/>
      <c r="E625" s="31"/>
      <c r="F625" s="22"/>
      <c r="G625" s="36" t="str">
        <f aca="false">IF(OR($A625="",$D625&lt;&gt;"تسليم",NOT(ISNUMBER($E625))),"",COUNTIFS($A$5:$A$1504,$A625,$D$5:$D$1504,"تسليم",$E$5:$E$1504,"&lt;"&amp;$E625)+1)</f>
        <v/>
      </c>
      <c r="H625" s="33" t="str">
        <f aca="false">IF($G625="","",_xlfn.MINIFS($E$5:$E$1504,$A$5:$A$1504,$A625,$D$5:$D$1504,"&lt;&gt;تسليم",$E$5:$E$1504,"&gt;="&amp;$E625))</f>
        <v/>
      </c>
      <c r="I625" s="33" t="str">
        <f aca="false">IF($G625="","",_xlfn.MINIFS($E$5:$E$1504,$A$5:$A$1504,$A625,$D$5:$D$1504,"تسليم",$E$5:$E$1504,"&gt;"&amp;$E625))</f>
        <v/>
      </c>
      <c r="J625" s="33" t="str">
        <f aca="false">IF($G625="","",IF(H625&gt;0,IF(I625&gt;0,MIN(H625,I625),H625),IF(I625&gt;0,I625,تاريخ_الاحتساب)))</f>
        <v/>
      </c>
      <c r="K625" s="34" t="str">
        <f aca="false">IF($G625="","",IF(AND(H625=0,I625=0),"جارية","مغلقة"))</f>
        <v/>
      </c>
      <c r="L625" s="26" t="str">
        <f aca="false">IF($G625="","",MAX(0,NETWORKDAYS.INTL($E625,J625,رمز_العطلة,أيام_الأجازات)-1))</f>
        <v/>
      </c>
      <c r="M625" s="26" t="str">
        <f aca="false">IF($G625="","",MAX(0,L625-مهلة_المراجعة))</f>
        <v/>
      </c>
      <c r="N625" s="30" t="str">
        <f aca="false">IF($A625="",IF(OR($D625&lt;&gt;"",$E625&lt;&gt;""),"رقم المخرج ناقص",""),IF(ISNA(MATCH($A625,قائمة_المخرجات,0)),"رقم مخرج غير موجود",IF($D625="","نوع الحركة ناقص",IF(NOT(ISNUMBER($E625)),"التاريخ ناقص",IF($E625&gt;تاريخ_الاحتساب,"تاريخ بعد تاريخ الاحتساب",IF(AND($D625&lt;&gt;"تسليم",COUNTIFS($A$5:$A$1504,$A625,$D$5:$D$1504,"تسليم",$E$5:$E$1504,"&lt;="&amp;$E625)=0),"لا يوجد تسليم قبل الحركة دي",""))))))</f>
        <v/>
      </c>
    </row>
    <row r="626" customFormat="false" ht="15" hidden="false" customHeight="false" outlineLevel="0" collapsed="false">
      <c r="A626" s="20"/>
      <c r="B626" s="35" t="str">
        <f aca="false">IF($A626="","",IFERROR(INDEX(مخرج_البند,MATCH($A626,قائمة_المخرجات,0)),""))</f>
        <v/>
      </c>
      <c r="C626" s="30" t="str">
        <f aca="false">IF($A626="","",IFERROR(INDEX(مخرج_الوصف,MATCH($A626,قائمة_المخرجات,0)),""))</f>
        <v/>
      </c>
      <c r="D626" s="20"/>
      <c r="E626" s="31"/>
      <c r="F626" s="22"/>
      <c r="G626" s="36" t="str">
        <f aca="false">IF(OR($A626="",$D626&lt;&gt;"تسليم",NOT(ISNUMBER($E626))),"",COUNTIFS($A$5:$A$1504,$A626,$D$5:$D$1504,"تسليم",$E$5:$E$1504,"&lt;"&amp;$E626)+1)</f>
        <v/>
      </c>
      <c r="H626" s="33" t="str">
        <f aca="false">IF($G626="","",_xlfn.MINIFS($E$5:$E$1504,$A$5:$A$1504,$A626,$D$5:$D$1504,"&lt;&gt;تسليم",$E$5:$E$1504,"&gt;="&amp;$E626))</f>
        <v/>
      </c>
      <c r="I626" s="33" t="str">
        <f aca="false">IF($G626="","",_xlfn.MINIFS($E$5:$E$1504,$A$5:$A$1504,$A626,$D$5:$D$1504,"تسليم",$E$5:$E$1504,"&gt;"&amp;$E626))</f>
        <v/>
      </c>
      <c r="J626" s="33" t="str">
        <f aca="false">IF($G626="","",IF(H626&gt;0,IF(I626&gt;0,MIN(H626,I626),H626),IF(I626&gt;0,I626,تاريخ_الاحتساب)))</f>
        <v/>
      </c>
      <c r="K626" s="34" t="str">
        <f aca="false">IF($G626="","",IF(AND(H626=0,I626=0),"جارية","مغلقة"))</f>
        <v/>
      </c>
      <c r="L626" s="26" t="str">
        <f aca="false">IF($G626="","",MAX(0,NETWORKDAYS.INTL($E626,J626,رمز_العطلة,أيام_الأجازات)-1))</f>
        <v/>
      </c>
      <c r="M626" s="26" t="str">
        <f aca="false">IF($G626="","",MAX(0,L626-مهلة_المراجعة))</f>
        <v/>
      </c>
      <c r="N626" s="30" t="str">
        <f aca="false">IF($A626="",IF(OR($D626&lt;&gt;"",$E626&lt;&gt;""),"رقم المخرج ناقص",""),IF(ISNA(MATCH($A626,قائمة_المخرجات,0)),"رقم مخرج غير موجود",IF($D626="","نوع الحركة ناقص",IF(NOT(ISNUMBER($E626)),"التاريخ ناقص",IF($E626&gt;تاريخ_الاحتساب,"تاريخ بعد تاريخ الاحتساب",IF(AND($D626&lt;&gt;"تسليم",COUNTIFS($A$5:$A$1504,$A626,$D$5:$D$1504,"تسليم",$E$5:$E$1504,"&lt;="&amp;$E626)=0),"لا يوجد تسليم قبل الحركة دي",""))))))</f>
        <v/>
      </c>
    </row>
    <row r="627" customFormat="false" ht="15" hidden="false" customHeight="false" outlineLevel="0" collapsed="false">
      <c r="A627" s="20"/>
      <c r="B627" s="35" t="str">
        <f aca="false">IF($A627="","",IFERROR(INDEX(مخرج_البند,MATCH($A627,قائمة_المخرجات,0)),""))</f>
        <v/>
      </c>
      <c r="C627" s="30" t="str">
        <f aca="false">IF($A627="","",IFERROR(INDEX(مخرج_الوصف,MATCH($A627,قائمة_المخرجات,0)),""))</f>
        <v/>
      </c>
      <c r="D627" s="20"/>
      <c r="E627" s="31"/>
      <c r="F627" s="22"/>
      <c r="G627" s="36" t="str">
        <f aca="false">IF(OR($A627="",$D627&lt;&gt;"تسليم",NOT(ISNUMBER($E627))),"",COUNTIFS($A$5:$A$1504,$A627,$D$5:$D$1504,"تسليم",$E$5:$E$1504,"&lt;"&amp;$E627)+1)</f>
        <v/>
      </c>
      <c r="H627" s="33" t="str">
        <f aca="false">IF($G627="","",_xlfn.MINIFS($E$5:$E$1504,$A$5:$A$1504,$A627,$D$5:$D$1504,"&lt;&gt;تسليم",$E$5:$E$1504,"&gt;="&amp;$E627))</f>
        <v/>
      </c>
      <c r="I627" s="33" t="str">
        <f aca="false">IF($G627="","",_xlfn.MINIFS($E$5:$E$1504,$A$5:$A$1504,$A627,$D$5:$D$1504,"تسليم",$E$5:$E$1504,"&gt;"&amp;$E627))</f>
        <v/>
      </c>
      <c r="J627" s="33" t="str">
        <f aca="false">IF($G627="","",IF(H627&gt;0,IF(I627&gt;0,MIN(H627,I627),H627),IF(I627&gt;0,I627,تاريخ_الاحتساب)))</f>
        <v/>
      </c>
      <c r="K627" s="34" t="str">
        <f aca="false">IF($G627="","",IF(AND(H627=0,I627=0),"جارية","مغلقة"))</f>
        <v/>
      </c>
      <c r="L627" s="26" t="str">
        <f aca="false">IF($G627="","",MAX(0,NETWORKDAYS.INTL($E627,J627,رمز_العطلة,أيام_الأجازات)-1))</f>
        <v/>
      </c>
      <c r="M627" s="26" t="str">
        <f aca="false">IF($G627="","",MAX(0,L627-مهلة_المراجعة))</f>
        <v/>
      </c>
      <c r="N627" s="30" t="str">
        <f aca="false">IF($A627="",IF(OR($D627&lt;&gt;"",$E627&lt;&gt;""),"رقم المخرج ناقص",""),IF(ISNA(MATCH($A627,قائمة_المخرجات,0)),"رقم مخرج غير موجود",IF($D627="","نوع الحركة ناقص",IF(NOT(ISNUMBER($E627)),"التاريخ ناقص",IF($E627&gt;تاريخ_الاحتساب,"تاريخ بعد تاريخ الاحتساب",IF(AND($D627&lt;&gt;"تسليم",COUNTIFS($A$5:$A$1504,$A627,$D$5:$D$1504,"تسليم",$E$5:$E$1504,"&lt;="&amp;$E627)=0),"لا يوجد تسليم قبل الحركة دي",""))))))</f>
        <v/>
      </c>
    </row>
    <row r="628" customFormat="false" ht="15" hidden="false" customHeight="false" outlineLevel="0" collapsed="false">
      <c r="A628" s="20"/>
      <c r="B628" s="35" t="str">
        <f aca="false">IF($A628="","",IFERROR(INDEX(مخرج_البند,MATCH($A628,قائمة_المخرجات,0)),""))</f>
        <v/>
      </c>
      <c r="C628" s="30" t="str">
        <f aca="false">IF($A628="","",IFERROR(INDEX(مخرج_الوصف,MATCH($A628,قائمة_المخرجات,0)),""))</f>
        <v/>
      </c>
      <c r="D628" s="20"/>
      <c r="E628" s="31"/>
      <c r="F628" s="22"/>
      <c r="G628" s="36" t="str">
        <f aca="false">IF(OR($A628="",$D628&lt;&gt;"تسليم",NOT(ISNUMBER($E628))),"",COUNTIFS($A$5:$A$1504,$A628,$D$5:$D$1504,"تسليم",$E$5:$E$1504,"&lt;"&amp;$E628)+1)</f>
        <v/>
      </c>
      <c r="H628" s="33" t="str">
        <f aca="false">IF($G628="","",_xlfn.MINIFS($E$5:$E$1504,$A$5:$A$1504,$A628,$D$5:$D$1504,"&lt;&gt;تسليم",$E$5:$E$1504,"&gt;="&amp;$E628))</f>
        <v/>
      </c>
      <c r="I628" s="33" t="str">
        <f aca="false">IF($G628="","",_xlfn.MINIFS($E$5:$E$1504,$A$5:$A$1504,$A628,$D$5:$D$1504,"تسليم",$E$5:$E$1504,"&gt;"&amp;$E628))</f>
        <v/>
      </c>
      <c r="J628" s="33" t="str">
        <f aca="false">IF($G628="","",IF(H628&gt;0,IF(I628&gt;0,MIN(H628,I628),H628),IF(I628&gt;0,I628,تاريخ_الاحتساب)))</f>
        <v/>
      </c>
      <c r="K628" s="34" t="str">
        <f aca="false">IF($G628="","",IF(AND(H628=0,I628=0),"جارية","مغلقة"))</f>
        <v/>
      </c>
      <c r="L628" s="26" t="str">
        <f aca="false">IF($G628="","",MAX(0,NETWORKDAYS.INTL($E628,J628,رمز_العطلة,أيام_الأجازات)-1))</f>
        <v/>
      </c>
      <c r="M628" s="26" t="str">
        <f aca="false">IF($G628="","",MAX(0,L628-مهلة_المراجعة))</f>
        <v/>
      </c>
      <c r="N628" s="30" t="str">
        <f aca="false">IF($A628="",IF(OR($D628&lt;&gt;"",$E628&lt;&gt;""),"رقم المخرج ناقص",""),IF(ISNA(MATCH($A628,قائمة_المخرجات,0)),"رقم مخرج غير موجود",IF($D628="","نوع الحركة ناقص",IF(NOT(ISNUMBER($E628)),"التاريخ ناقص",IF($E628&gt;تاريخ_الاحتساب,"تاريخ بعد تاريخ الاحتساب",IF(AND($D628&lt;&gt;"تسليم",COUNTIFS($A$5:$A$1504,$A628,$D$5:$D$1504,"تسليم",$E$5:$E$1504,"&lt;="&amp;$E628)=0),"لا يوجد تسليم قبل الحركة دي",""))))))</f>
        <v/>
      </c>
    </row>
    <row r="629" customFormat="false" ht="15" hidden="false" customHeight="false" outlineLevel="0" collapsed="false">
      <c r="A629" s="20"/>
      <c r="B629" s="35" t="str">
        <f aca="false">IF($A629="","",IFERROR(INDEX(مخرج_البند,MATCH($A629,قائمة_المخرجات,0)),""))</f>
        <v/>
      </c>
      <c r="C629" s="30" t="str">
        <f aca="false">IF($A629="","",IFERROR(INDEX(مخرج_الوصف,MATCH($A629,قائمة_المخرجات,0)),""))</f>
        <v/>
      </c>
      <c r="D629" s="20"/>
      <c r="E629" s="31"/>
      <c r="F629" s="22"/>
      <c r="G629" s="36" t="str">
        <f aca="false">IF(OR($A629="",$D629&lt;&gt;"تسليم",NOT(ISNUMBER($E629))),"",COUNTIFS($A$5:$A$1504,$A629,$D$5:$D$1504,"تسليم",$E$5:$E$1504,"&lt;"&amp;$E629)+1)</f>
        <v/>
      </c>
      <c r="H629" s="33" t="str">
        <f aca="false">IF($G629="","",_xlfn.MINIFS($E$5:$E$1504,$A$5:$A$1504,$A629,$D$5:$D$1504,"&lt;&gt;تسليم",$E$5:$E$1504,"&gt;="&amp;$E629))</f>
        <v/>
      </c>
      <c r="I629" s="33" t="str">
        <f aca="false">IF($G629="","",_xlfn.MINIFS($E$5:$E$1504,$A$5:$A$1504,$A629,$D$5:$D$1504,"تسليم",$E$5:$E$1504,"&gt;"&amp;$E629))</f>
        <v/>
      </c>
      <c r="J629" s="33" t="str">
        <f aca="false">IF($G629="","",IF(H629&gt;0,IF(I629&gt;0,MIN(H629,I629),H629),IF(I629&gt;0,I629,تاريخ_الاحتساب)))</f>
        <v/>
      </c>
      <c r="K629" s="34" t="str">
        <f aca="false">IF($G629="","",IF(AND(H629=0,I629=0),"جارية","مغلقة"))</f>
        <v/>
      </c>
      <c r="L629" s="26" t="str">
        <f aca="false">IF($G629="","",MAX(0,NETWORKDAYS.INTL($E629,J629,رمز_العطلة,أيام_الأجازات)-1))</f>
        <v/>
      </c>
      <c r="M629" s="26" t="str">
        <f aca="false">IF($G629="","",MAX(0,L629-مهلة_المراجعة))</f>
        <v/>
      </c>
      <c r="N629" s="30" t="str">
        <f aca="false">IF($A629="",IF(OR($D629&lt;&gt;"",$E629&lt;&gt;""),"رقم المخرج ناقص",""),IF(ISNA(MATCH($A629,قائمة_المخرجات,0)),"رقم مخرج غير موجود",IF($D629="","نوع الحركة ناقص",IF(NOT(ISNUMBER($E629)),"التاريخ ناقص",IF($E629&gt;تاريخ_الاحتساب,"تاريخ بعد تاريخ الاحتساب",IF(AND($D629&lt;&gt;"تسليم",COUNTIFS($A$5:$A$1504,$A629,$D$5:$D$1504,"تسليم",$E$5:$E$1504,"&lt;="&amp;$E629)=0),"لا يوجد تسليم قبل الحركة دي",""))))))</f>
        <v/>
      </c>
    </row>
    <row r="630" customFormat="false" ht="15" hidden="false" customHeight="false" outlineLevel="0" collapsed="false">
      <c r="A630" s="20"/>
      <c r="B630" s="35" t="str">
        <f aca="false">IF($A630="","",IFERROR(INDEX(مخرج_البند,MATCH($A630,قائمة_المخرجات,0)),""))</f>
        <v/>
      </c>
      <c r="C630" s="30" t="str">
        <f aca="false">IF($A630="","",IFERROR(INDEX(مخرج_الوصف,MATCH($A630,قائمة_المخرجات,0)),""))</f>
        <v/>
      </c>
      <c r="D630" s="20"/>
      <c r="E630" s="31"/>
      <c r="F630" s="22"/>
      <c r="G630" s="36" t="str">
        <f aca="false">IF(OR($A630="",$D630&lt;&gt;"تسليم",NOT(ISNUMBER($E630))),"",COUNTIFS($A$5:$A$1504,$A630,$D$5:$D$1504,"تسليم",$E$5:$E$1504,"&lt;"&amp;$E630)+1)</f>
        <v/>
      </c>
      <c r="H630" s="33" t="str">
        <f aca="false">IF($G630="","",_xlfn.MINIFS($E$5:$E$1504,$A$5:$A$1504,$A630,$D$5:$D$1504,"&lt;&gt;تسليم",$E$5:$E$1504,"&gt;="&amp;$E630))</f>
        <v/>
      </c>
      <c r="I630" s="33" t="str">
        <f aca="false">IF($G630="","",_xlfn.MINIFS($E$5:$E$1504,$A$5:$A$1504,$A630,$D$5:$D$1504,"تسليم",$E$5:$E$1504,"&gt;"&amp;$E630))</f>
        <v/>
      </c>
      <c r="J630" s="33" t="str">
        <f aca="false">IF($G630="","",IF(H630&gt;0,IF(I630&gt;0,MIN(H630,I630),H630),IF(I630&gt;0,I630,تاريخ_الاحتساب)))</f>
        <v/>
      </c>
      <c r="K630" s="34" t="str">
        <f aca="false">IF($G630="","",IF(AND(H630=0,I630=0),"جارية","مغلقة"))</f>
        <v/>
      </c>
      <c r="L630" s="26" t="str">
        <f aca="false">IF($G630="","",MAX(0,NETWORKDAYS.INTL($E630,J630,رمز_العطلة,أيام_الأجازات)-1))</f>
        <v/>
      </c>
      <c r="M630" s="26" t="str">
        <f aca="false">IF($G630="","",MAX(0,L630-مهلة_المراجعة))</f>
        <v/>
      </c>
      <c r="N630" s="30" t="str">
        <f aca="false">IF($A630="",IF(OR($D630&lt;&gt;"",$E630&lt;&gt;""),"رقم المخرج ناقص",""),IF(ISNA(MATCH($A630,قائمة_المخرجات,0)),"رقم مخرج غير موجود",IF($D630="","نوع الحركة ناقص",IF(NOT(ISNUMBER($E630)),"التاريخ ناقص",IF($E630&gt;تاريخ_الاحتساب,"تاريخ بعد تاريخ الاحتساب",IF(AND($D630&lt;&gt;"تسليم",COUNTIFS($A$5:$A$1504,$A630,$D$5:$D$1504,"تسليم",$E$5:$E$1504,"&lt;="&amp;$E630)=0),"لا يوجد تسليم قبل الحركة دي",""))))))</f>
        <v/>
      </c>
    </row>
    <row r="631" customFormat="false" ht="15" hidden="false" customHeight="false" outlineLevel="0" collapsed="false">
      <c r="A631" s="20"/>
      <c r="B631" s="35" t="str">
        <f aca="false">IF($A631="","",IFERROR(INDEX(مخرج_البند,MATCH($A631,قائمة_المخرجات,0)),""))</f>
        <v/>
      </c>
      <c r="C631" s="30" t="str">
        <f aca="false">IF($A631="","",IFERROR(INDEX(مخرج_الوصف,MATCH($A631,قائمة_المخرجات,0)),""))</f>
        <v/>
      </c>
      <c r="D631" s="20"/>
      <c r="E631" s="31"/>
      <c r="F631" s="22"/>
      <c r="G631" s="36" t="str">
        <f aca="false">IF(OR($A631="",$D631&lt;&gt;"تسليم",NOT(ISNUMBER($E631))),"",COUNTIFS($A$5:$A$1504,$A631,$D$5:$D$1504,"تسليم",$E$5:$E$1504,"&lt;"&amp;$E631)+1)</f>
        <v/>
      </c>
      <c r="H631" s="33" t="str">
        <f aca="false">IF($G631="","",_xlfn.MINIFS($E$5:$E$1504,$A$5:$A$1504,$A631,$D$5:$D$1504,"&lt;&gt;تسليم",$E$5:$E$1504,"&gt;="&amp;$E631))</f>
        <v/>
      </c>
      <c r="I631" s="33" t="str">
        <f aca="false">IF($G631="","",_xlfn.MINIFS($E$5:$E$1504,$A$5:$A$1504,$A631,$D$5:$D$1504,"تسليم",$E$5:$E$1504,"&gt;"&amp;$E631))</f>
        <v/>
      </c>
      <c r="J631" s="33" t="str">
        <f aca="false">IF($G631="","",IF(H631&gt;0,IF(I631&gt;0,MIN(H631,I631),H631),IF(I631&gt;0,I631,تاريخ_الاحتساب)))</f>
        <v/>
      </c>
      <c r="K631" s="34" t="str">
        <f aca="false">IF($G631="","",IF(AND(H631=0,I631=0),"جارية","مغلقة"))</f>
        <v/>
      </c>
      <c r="L631" s="26" t="str">
        <f aca="false">IF($G631="","",MAX(0,NETWORKDAYS.INTL($E631,J631,رمز_العطلة,أيام_الأجازات)-1))</f>
        <v/>
      </c>
      <c r="M631" s="26" t="str">
        <f aca="false">IF($G631="","",MAX(0,L631-مهلة_المراجعة))</f>
        <v/>
      </c>
      <c r="N631" s="30" t="str">
        <f aca="false">IF($A631="",IF(OR($D631&lt;&gt;"",$E631&lt;&gt;""),"رقم المخرج ناقص",""),IF(ISNA(MATCH($A631,قائمة_المخرجات,0)),"رقم مخرج غير موجود",IF($D631="","نوع الحركة ناقص",IF(NOT(ISNUMBER($E631)),"التاريخ ناقص",IF($E631&gt;تاريخ_الاحتساب,"تاريخ بعد تاريخ الاحتساب",IF(AND($D631&lt;&gt;"تسليم",COUNTIFS($A$5:$A$1504,$A631,$D$5:$D$1504,"تسليم",$E$5:$E$1504,"&lt;="&amp;$E631)=0),"لا يوجد تسليم قبل الحركة دي",""))))))</f>
        <v/>
      </c>
    </row>
    <row r="632" customFormat="false" ht="15" hidden="false" customHeight="false" outlineLevel="0" collapsed="false">
      <c r="A632" s="20"/>
      <c r="B632" s="35" t="str">
        <f aca="false">IF($A632="","",IFERROR(INDEX(مخرج_البند,MATCH($A632,قائمة_المخرجات,0)),""))</f>
        <v/>
      </c>
      <c r="C632" s="30" t="str">
        <f aca="false">IF($A632="","",IFERROR(INDEX(مخرج_الوصف,MATCH($A632,قائمة_المخرجات,0)),""))</f>
        <v/>
      </c>
      <c r="D632" s="20"/>
      <c r="E632" s="31"/>
      <c r="F632" s="22"/>
      <c r="G632" s="36" t="str">
        <f aca="false">IF(OR($A632="",$D632&lt;&gt;"تسليم",NOT(ISNUMBER($E632))),"",COUNTIFS($A$5:$A$1504,$A632,$D$5:$D$1504,"تسليم",$E$5:$E$1504,"&lt;"&amp;$E632)+1)</f>
        <v/>
      </c>
      <c r="H632" s="33" t="str">
        <f aca="false">IF($G632="","",_xlfn.MINIFS($E$5:$E$1504,$A$5:$A$1504,$A632,$D$5:$D$1504,"&lt;&gt;تسليم",$E$5:$E$1504,"&gt;="&amp;$E632))</f>
        <v/>
      </c>
      <c r="I632" s="33" t="str">
        <f aca="false">IF($G632="","",_xlfn.MINIFS($E$5:$E$1504,$A$5:$A$1504,$A632,$D$5:$D$1504,"تسليم",$E$5:$E$1504,"&gt;"&amp;$E632))</f>
        <v/>
      </c>
      <c r="J632" s="33" t="str">
        <f aca="false">IF($G632="","",IF(H632&gt;0,IF(I632&gt;0,MIN(H632,I632),H632),IF(I632&gt;0,I632,تاريخ_الاحتساب)))</f>
        <v/>
      </c>
      <c r="K632" s="34" t="str">
        <f aca="false">IF($G632="","",IF(AND(H632=0,I632=0),"جارية","مغلقة"))</f>
        <v/>
      </c>
      <c r="L632" s="26" t="str">
        <f aca="false">IF($G632="","",MAX(0,NETWORKDAYS.INTL($E632,J632,رمز_العطلة,أيام_الأجازات)-1))</f>
        <v/>
      </c>
      <c r="M632" s="26" t="str">
        <f aca="false">IF($G632="","",MAX(0,L632-مهلة_المراجعة))</f>
        <v/>
      </c>
      <c r="N632" s="30" t="str">
        <f aca="false">IF($A632="",IF(OR($D632&lt;&gt;"",$E632&lt;&gt;""),"رقم المخرج ناقص",""),IF(ISNA(MATCH($A632,قائمة_المخرجات,0)),"رقم مخرج غير موجود",IF($D632="","نوع الحركة ناقص",IF(NOT(ISNUMBER($E632)),"التاريخ ناقص",IF($E632&gt;تاريخ_الاحتساب,"تاريخ بعد تاريخ الاحتساب",IF(AND($D632&lt;&gt;"تسليم",COUNTIFS($A$5:$A$1504,$A632,$D$5:$D$1504,"تسليم",$E$5:$E$1504,"&lt;="&amp;$E632)=0),"لا يوجد تسليم قبل الحركة دي",""))))))</f>
        <v/>
      </c>
    </row>
    <row r="633" customFormat="false" ht="15" hidden="false" customHeight="false" outlineLevel="0" collapsed="false">
      <c r="A633" s="20"/>
      <c r="B633" s="35" t="str">
        <f aca="false">IF($A633="","",IFERROR(INDEX(مخرج_البند,MATCH($A633,قائمة_المخرجات,0)),""))</f>
        <v/>
      </c>
      <c r="C633" s="30" t="str">
        <f aca="false">IF($A633="","",IFERROR(INDEX(مخرج_الوصف,MATCH($A633,قائمة_المخرجات,0)),""))</f>
        <v/>
      </c>
      <c r="D633" s="20"/>
      <c r="E633" s="31"/>
      <c r="F633" s="22"/>
      <c r="G633" s="36" t="str">
        <f aca="false">IF(OR($A633="",$D633&lt;&gt;"تسليم",NOT(ISNUMBER($E633))),"",COUNTIFS($A$5:$A$1504,$A633,$D$5:$D$1504,"تسليم",$E$5:$E$1504,"&lt;"&amp;$E633)+1)</f>
        <v/>
      </c>
      <c r="H633" s="33" t="str">
        <f aca="false">IF($G633="","",_xlfn.MINIFS($E$5:$E$1504,$A$5:$A$1504,$A633,$D$5:$D$1504,"&lt;&gt;تسليم",$E$5:$E$1504,"&gt;="&amp;$E633))</f>
        <v/>
      </c>
      <c r="I633" s="33" t="str">
        <f aca="false">IF($G633="","",_xlfn.MINIFS($E$5:$E$1504,$A$5:$A$1504,$A633,$D$5:$D$1504,"تسليم",$E$5:$E$1504,"&gt;"&amp;$E633))</f>
        <v/>
      </c>
      <c r="J633" s="33" t="str">
        <f aca="false">IF($G633="","",IF(H633&gt;0,IF(I633&gt;0,MIN(H633,I633),H633),IF(I633&gt;0,I633,تاريخ_الاحتساب)))</f>
        <v/>
      </c>
      <c r="K633" s="34" t="str">
        <f aca="false">IF($G633="","",IF(AND(H633=0,I633=0),"جارية","مغلقة"))</f>
        <v/>
      </c>
      <c r="L633" s="26" t="str">
        <f aca="false">IF($G633="","",MAX(0,NETWORKDAYS.INTL($E633,J633,رمز_العطلة,أيام_الأجازات)-1))</f>
        <v/>
      </c>
      <c r="M633" s="26" t="str">
        <f aca="false">IF($G633="","",MAX(0,L633-مهلة_المراجعة))</f>
        <v/>
      </c>
      <c r="N633" s="30" t="str">
        <f aca="false">IF($A633="",IF(OR($D633&lt;&gt;"",$E633&lt;&gt;""),"رقم المخرج ناقص",""),IF(ISNA(MATCH($A633,قائمة_المخرجات,0)),"رقم مخرج غير موجود",IF($D633="","نوع الحركة ناقص",IF(NOT(ISNUMBER($E633)),"التاريخ ناقص",IF($E633&gt;تاريخ_الاحتساب,"تاريخ بعد تاريخ الاحتساب",IF(AND($D633&lt;&gt;"تسليم",COUNTIFS($A$5:$A$1504,$A633,$D$5:$D$1504,"تسليم",$E$5:$E$1504,"&lt;="&amp;$E633)=0),"لا يوجد تسليم قبل الحركة دي",""))))))</f>
        <v/>
      </c>
    </row>
    <row r="634" customFormat="false" ht="15" hidden="false" customHeight="false" outlineLevel="0" collapsed="false">
      <c r="A634" s="20"/>
      <c r="B634" s="35" t="str">
        <f aca="false">IF($A634="","",IFERROR(INDEX(مخرج_البند,MATCH($A634,قائمة_المخرجات,0)),""))</f>
        <v/>
      </c>
      <c r="C634" s="30" t="str">
        <f aca="false">IF($A634="","",IFERROR(INDEX(مخرج_الوصف,MATCH($A634,قائمة_المخرجات,0)),""))</f>
        <v/>
      </c>
      <c r="D634" s="20"/>
      <c r="E634" s="31"/>
      <c r="F634" s="22"/>
      <c r="G634" s="36" t="str">
        <f aca="false">IF(OR($A634="",$D634&lt;&gt;"تسليم",NOT(ISNUMBER($E634))),"",COUNTIFS($A$5:$A$1504,$A634,$D$5:$D$1504,"تسليم",$E$5:$E$1504,"&lt;"&amp;$E634)+1)</f>
        <v/>
      </c>
      <c r="H634" s="33" t="str">
        <f aca="false">IF($G634="","",_xlfn.MINIFS($E$5:$E$1504,$A$5:$A$1504,$A634,$D$5:$D$1504,"&lt;&gt;تسليم",$E$5:$E$1504,"&gt;="&amp;$E634))</f>
        <v/>
      </c>
      <c r="I634" s="33" t="str">
        <f aca="false">IF($G634="","",_xlfn.MINIFS($E$5:$E$1504,$A$5:$A$1504,$A634,$D$5:$D$1504,"تسليم",$E$5:$E$1504,"&gt;"&amp;$E634))</f>
        <v/>
      </c>
      <c r="J634" s="33" t="str">
        <f aca="false">IF($G634="","",IF(H634&gt;0,IF(I634&gt;0,MIN(H634,I634),H634),IF(I634&gt;0,I634,تاريخ_الاحتساب)))</f>
        <v/>
      </c>
      <c r="K634" s="34" t="str">
        <f aca="false">IF($G634="","",IF(AND(H634=0,I634=0),"جارية","مغلقة"))</f>
        <v/>
      </c>
      <c r="L634" s="26" t="str">
        <f aca="false">IF($G634="","",MAX(0,NETWORKDAYS.INTL($E634,J634,رمز_العطلة,أيام_الأجازات)-1))</f>
        <v/>
      </c>
      <c r="M634" s="26" t="str">
        <f aca="false">IF($G634="","",MAX(0,L634-مهلة_المراجعة))</f>
        <v/>
      </c>
      <c r="N634" s="30" t="str">
        <f aca="false">IF($A634="",IF(OR($D634&lt;&gt;"",$E634&lt;&gt;""),"رقم المخرج ناقص",""),IF(ISNA(MATCH($A634,قائمة_المخرجات,0)),"رقم مخرج غير موجود",IF($D634="","نوع الحركة ناقص",IF(NOT(ISNUMBER($E634)),"التاريخ ناقص",IF($E634&gt;تاريخ_الاحتساب,"تاريخ بعد تاريخ الاحتساب",IF(AND($D634&lt;&gt;"تسليم",COUNTIFS($A$5:$A$1504,$A634,$D$5:$D$1504,"تسليم",$E$5:$E$1504,"&lt;="&amp;$E634)=0),"لا يوجد تسليم قبل الحركة دي",""))))))</f>
        <v/>
      </c>
    </row>
    <row r="635" customFormat="false" ht="15" hidden="false" customHeight="false" outlineLevel="0" collapsed="false">
      <c r="A635" s="20"/>
      <c r="B635" s="35" t="str">
        <f aca="false">IF($A635="","",IFERROR(INDEX(مخرج_البند,MATCH($A635,قائمة_المخرجات,0)),""))</f>
        <v/>
      </c>
      <c r="C635" s="30" t="str">
        <f aca="false">IF($A635="","",IFERROR(INDEX(مخرج_الوصف,MATCH($A635,قائمة_المخرجات,0)),""))</f>
        <v/>
      </c>
      <c r="D635" s="20"/>
      <c r="E635" s="31"/>
      <c r="F635" s="22"/>
      <c r="G635" s="36" t="str">
        <f aca="false">IF(OR($A635="",$D635&lt;&gt;"تسليم",NOT(ISNUMBER($E635))),"",COUNTIFS($A$5:$A$1504,$A635,$D$5:$D$1504,"تسليم",$E$5:$E$1504,"&lt;"&amp;$E635)+1)</f>
        <v/>
      </c>
      <c r="H635" s="33" t="str">
        <f aca="false">IF($G635="","",_xlfn.MINIFS($E$5:$E$1504,$A$5:$A$1504,$A635,$D$5:$D$1504,"&lt;&gt;تسليم",$E$5:$E$1504,"&gt;="&amp;$E635))</f>
        <v/>
      </c>
      <c r="I635" s="33" t="str">
        <f aca="false">IF($G635="","",_xlfn.MINIFS($E$5:$E$1504,$A$5:$A$1504,$A635,$D$5:$D$1504,"تسليم",$E$5:$E$1504,"&gt;"&amp;$E635))</f>
        <v/>
      </c>
      <c r="J635" s="33" t="str">
        <f aca="false">IF($G635="","",IF(H635&gt;0,IF(I635&gt;0,MIN(H635,I635),H635),IF(I635&gt;0,I635,تاريخ_الاحتساب)))</f>
        <v/>
      </c>
      <c r="K635" s="34" t="str">
        <f aca="false">IF($G635="","",IF(AND(H635=0,I635=0),"جارية","مغلقة"))</f>
        <v/>
      </c>
      <c r="L635" s="26" t="str">
        <f aca="false">IF($G635="","",MAX(0,NETWORKDAYS.INTL($E635,J635,رمز_العطلة,أيام_الأجازات)-1))</f>
        <v/>
      </c>
      <c r="M635" s="26" t="str">
        <f aca="false">IF($G635="","",MAX(0,L635-مهلة_المراجعة))</f>
        <v/>
      </c>
      <c r="N635" s="30" t="str">
        <f aca="false">IF($A635="",IF(OR($D635&lt;&gt;"",$E635&lt;&gt;""),"رقم المخرج ناقص",""),IF(ISNA(MATCH($A635,قائمة_المخرجات,0)),"رقم مخرج غير موجود",IF($D635="","نوع الحركة ناقص",IF(NOT(ISNUMBER($E635)),"التاريخ ناقص",IF($E635&gt;تاريخ_الاحتساب,"تاريخ بعد تاريخ الاحتساب",IF(AND($D635&lt;&gt;"تسليم",COUNTIFS($A$5:$A$1504,$A635,$D$5:$D$1504,"تسليم",$E$5:$E$1504,"&lt;="&amp;$E635)=0),"لا يوجد تسليم قبل الحركة دي",""))))))</f>
        <v/>
      </c>
    </row>
    <row r="636" customFormat="false" ht="15" hidden="false" customHeight="false" outlineLevel="0" collapsed="false">
      <c r="A636" s="20"/>
      <c r="B636" s="35" t="str">
        <f aca="false">IF($A636="","",IFERROR(INDEX(مخرج_البند,MATCH($A636,قائمة_المخرجات,0)),""))</f>
        <v/>
      </c>
      <c r="C636" s="30" t="str">
        <f aca="false">IF($A636="","",IFERROR(INDEX(مخرج_الوصف,MATCH($A636,قائمة_المخرجات,0)),""))</f>
        <v/>
      </c>
      <c r="D636" s="20"/>
      <c r="E636" s="31"/>
      <c r="F636" s="22"/>
      <c r="G636" s="36" t="str">
        <f aca="false">IF(OR($A636="",$D636&lt;&gt;"تسليم",NOT(ISNUMBER($E636))),"",COUNTIFS($A$5:$A$1504,$A636,$D$5:$D$1504,"تسليم",$E$5:$E$1504,"&lt;"&amp;$E636)+1)</f>
        <v/>
      </c>
      <c r="H636" s="33" t="str">
        <f aca="false">IF($G636="","",_xlfn.MINIFS($E$5:$E$1504,$A$5:$A$1504,$A636,$D$5:$D$1504,"&lt;&gt;تسليم",$E$5:$E$1504,"&gt;="&amp;$E636))</f>
        <v/>
      </c>
      <c r="I636" s="33" t="str">
        <f aca="false">IF($G636="","",_xlfn.MINIFS($E$5:$E$1504,$A$5:$A$1504,$A636,$D$5:$D$1504,"تسليم",$E$5:$E$1504,"&gt;"&amp;$E636))</f>
        <v/>
      </c>
      <c r="J636" s="33" t="str">
        <f aca="false">IF($G636="","",IF(H636&gt;0,IF(I636&gt;0,MIN(H636,I636),H636),IF(I636&gt;0,I636,تاريخ_الاحتساب)))</f>
        <v/>
      </c>
      <c r="K636" s="34" t="str">
        <f aca="false">IF($G636="","",IF(AND(H636=0,I636=0),"جارية","مغلقة"))</f>
        <v/>
      </c>
      <c r="L636" s="26" t="str">
        <f aca="false">IF($G636="","",MAX(0,NETWORKDAYS.INTL($E636,J636,رمز_العطلة,أيام_الأجازات)-1))</f>
        <v/>
      </c>
      <c r="M636" s="26" t="str">
        <f aca="false">IF($G636="","",MAX(0,L636-مهلة_المراجعة))</f>
        <v/>
      </c>
      <c r="N636" s="30" t="str">
        <f aca="false">IF($A636="",IF(OR($D636&lt;&gt;"",$E636&lt;&gt;""),"رقم المخرج ناقص",""),IF(ISNA(MATCH($A636,قائمة_المخرجات,0)),"رقم مخرج غير موجود",IF($D636="","نوع الحركة ناقص",IF(NOT(ISNUMBER($E636)),"التاريخ ناقص",IF($E636&gt;تاريخ_الاحتساب,"تاريخ بعد تاريخ الاحتساب",IF(AND($D636&lt;&gt;"تسليم",COUNTIFS($A$5:$A$1504,$A636,$D$5:$D$1504,"تسليم",$E$5:$E$1504,"&lt;="&amp;$E636)=0),"لا يوجد تسليم قبل الحركة دي",""))))))</f>
        <v/>
      </c>
    </row>
    <row r="637" customFormat="false" ht="15" hidden="false" customHeight="false" outlineLevel="0" collapsed="false">
      <c r="A637" s="20"/>
      <c r="B637" s="35" t="str">
        <f aca="false">IF($A637="","",IFERROR(INDEX(مخرج_البند,MATCH($A637,قائمة_المخرجات,0)),""))</f>
        <v/>
      </c>
      <c r="C637" s="30" t="str">
        <f aca="false">IF($A637="","",IFERROR(INDEX(مخرج_الوصف,MATCH($A637,قائمة_المخرجات,0)),""))</f>
        <v/>
      </c>
      <c r="D637" s="20"/>
      <c r="E637" s="31"/>
      <c r="F637" s="22"/>
      <c r="G637" s="36" t="str">
        <f aca="false">IF(OR($A637="",$D637&lt;&gt;"تسليم",NOT(ISNUMBER($E637))),"",COUNTIFS($A$5:$A$1504,$A637,$D$5:$D$1504,"تسليم",$E$5:$E$1504,"&lt;"&amp;$E637)+1)</f>
        <v/>
      </c>
      <c r="H637" s="33" t="str">
        <f aca="false">IF($G637="","",_xlfn.MINIFS($E$5:$E$1504,$A$5:$A$1504,$A637,$D$5:$D$1504,"&lt;&gt;تسليم",$E$5:$E$1504,"&gt;="&amp;$E637))</f>
        <v/>
      </c>
      <c r="I637" s="33" t="str">
        <f aca="false">IF($G637="","",_xlfn.MINIFS($E$5:$E$1504,$A$5:$A$1504,$A637,$D$5:$D$1504,"تسليم",$E$5:$E$1504,"&gt;"&amp;$E637))</f>
        <v/>
      </c>
      <c r="J637" s="33" t="str">
        <f aca="false">IF($G637="","",IF(H637&gt;0,IF(I637&gt;0,MIN(H637,I637),H637),IF(I637&gt;0,I637,تاريخ_الاحتساب)))</f>
        <v/>
      </c>
      <c r="K637" s="34" t="str">
        <f aca="false">IF($G637="","",IF(AND(H637=0,I637=0),"جارية","مغلقة"))</f>
        <v/>
      </c>
      <c r="L637" s="26" t="str">
        <f aca="false">IF($G637="","",MAX(0,NETWORKDAYS.INTL($E637,J637,رمز_العطلة,أيام_الأجازات)-1))</f>
        <v/>
      </c>
      <c r="M637" s="26" t="str">
        <f aca="false">IF($G637="","",MAX(0,L637-مهلة_المراجعة))</f>
        <v/>
      </c>
      <c r="N637" s="30" t="str">
        <f aca="false">IF($A637="",IF(OR($D637&lt;&gt;"",$E637&lt;&gt;""),"رقم المخرج ناقص",""),IF(ISNA(MATCH($A637,قائمة_المخرجات,0)),"رقم مخرج غير موجود",IF($D637="","نوع الحركة ناقص",IF(NOT(ISNUMBER($E637)),"التاريخ ناقص",IF($E637&gt;تاريخ_الاحتساب,"تاريخ بعد تاريخ الاحتساب",IF(AND($D637&lt;&gt;"تسليم",COUNTIFS($A$5:$A$1504,$A637,$D$5:$D$1504,"تسليم",$E$5:$E$1504,"&lt;="&amp;$E637)=0),"لا يوجد تسليم قبل الحركة دي",""))))))</f>
        <v/>
      </c>
    </row>
    <row r="638" customFormat="false" ht="15" hidden="false" customHeight="false" outlineLevel="0" collapsed="false">
      <c r="A638" s="20"/>
      <c r="B638" s="35" t="str">
        <f aca="false">IF($A638="","",IFERROR(INDEX(مخرج_البند,MATCH($A638,قائمة_المخرجات,0)),""))</f>
        <v/>
      </c>
      <c r="C638" s="30" t="str">
        <f aca="false">IF($A638="","",IFERROR(INDEX(مخرج_الوصف,MATCH($A638,قائمة_المخرجات,0)),""))</f>
        <v/>
      </c>
      <c r="D638" s="20"/>
      <c r="E638" s="31"/>
      <c r="F638" s="22"/>
      <c r="G638" s="36" t="str">
        <f aca="false">IF(OR($A638="",$D638&lt;&gt;"تسليم",NOT(ISNUMBER($E638))),"",COUNTIFS($A$5:$A$1504,$A638,$D$5:$D$1504,"تسليم",$E$5:$E$1504,"&lt;"&amp;$E638)+1)</f>
        <v/>
      </c>
      <c r="H638" s="33" t="str">
        <f aca="false">IF($G638="","",_xlfn.MINIFS($E$5:$E$1504,$A$5:$A$1504,$A638,$D$5:$D$1504,"&lt;&gt;تسليم",$E$5:$E$1504,"&gt;="&amp;$E638))</f>
        <v/>
      </c>
      <c r="I638" s="33" t="str">
        <f aca="false">IF($G638="","",_xlfn.MINIFS($E$5:$E$1504,$A$5:$A$1504,$A638,$D$5:$D$1504,"تسليم",$E$5:$E$1504,"&gt;"&amp;$E638))</f>
        <v/>
      </c>
      <c r="J638" s="33" t="str">
        <f aca="false">IF($G638="","",IF(H638&gt;0,IF(I638&gt;0,MIN(H638,I638),H638),IF(I638&gt;0,I638,تاريخ_الاحتساب)))</f>
        <v/>
      </c>
      <c r="K638" s="34" t="str">
        <f aca="false">IF($G638="","",IF(AND(H638=0,I638=0),"جارية","مغلقة"))</f>
        <v/>
      </c>
      <c r="L638" s="26" t="str">
        <f aca="false">IF($G638="","",MAX(0,NETWORKDAYS.INTL($E638,J638,رمز_العطلة,أيام_الأجازات)-1))</f>
        <v/>
      </c>
      <c r="M638" s="26" t="str">
        <f aca="false">IF($G638="","",MAX(0,L638-مهلة_المراجعة))</f>
        <v/>
      </c>
      <c r="N638" s="30" t="str">
        <f aca="false">IF($A638="",IF(OR($D638&lt;&gt;"",$E638&lt;&gt;""),"رقم المخرج ناقص",""),IF(ISNA(MATCH($A638,قائمة_المخرجات,0)),"رقم مخرج غير موجود",IF($D638="","نوع الحركة ناقص",IF(NOT(ISNUMBER($E638)),"التاريخ ناقص",IF($E638&gt;تاريخ_الاحتساب,"تاريخ بعد تاريخ الاحتساب",IF(AND($D638&lt;&gt;"تسليم",COUNTIFS($A$5:$A$1504,$A638,$D$5:$D$1504,"تسليم",$E$5:$E$1504,"&lt;="&amp;$E638)=0),"لا يوجد تسليم قبل الحركة دي",""))))))</f>
        <v/>
      </c>
    </row>
    <row r="639" customFormat="false" ht="15" hidden="false" customHeight="false" outlineLevel="0" collapsed="false">
      <c r="A639" s="20"/>
      <c r="B639" s="35" t="str">
        <f aca="false">IF($A639="","",IFERROR(INDEX(مخرج_البند,MATCH($A639,قائمة_المخرجات,0)),""))</f>
        <v/>
      </c>
      <c r="C639" s="30" t="str">
        <f aca="false">IF($A639="","",IFERROR(INDEX(مخرج_الوصف,MATCH($A639,قائمة_المخرجات,0)),""))</f>
        <v/>
      </c>
      <c r="D639" s="20"/>
      <c r="E639" s="31"/>
      <c r="F639" s="22"/>
      <c r="G639" s="36" t="str">
        <f aca="false">IF(OR($A639="",$D639&lt;&gt;"تسليم",NOT(ISNUMBER($E639))),"",COUNTIFS($A$5:$A$1504,$A639,$D$5:$D$1504,"تسليم",$E$5:$E$1504,"&lt;"&amp;$E639)+1)</f>
        <v/>
      </c>
      <c r="H639" s="33" t="str">
        <f aca="false">IF($G639="","",_xlfn.MINIFS($E$5:$E$1504,$A$5:$A$1504,$A639,$D$5:$D$1504,"&lt;&gt;تسليم",$E$5:$E$1504,"&gt;="&amp;$E639))</f>
        <v/>
      </c>
      <c r="I639" s="33" t="str">
        <f aca="false">IF($G639="","",_xlfn.MINIFS($E$5:$E$1504,$A$5:$A$1504,$A639,$D$5:$D$1504,"تسليم",$E$5:$E$1504,"&gt;"&amp;$E639))</f>
        <v/>
      </c>
      <c r="J639" s="33" t="str">
        <f aca="false">IF($G639="","",IF(H639&gt;0,IF(I639&gt;0,MIN(H639,I639),H639),IF(I639&gt;0,I639,تاريخ_الاحتساب)))</f>
        <v/>
      </c>
      <c r="K639" s="34" t="str">
        <f aca="false">IF($G639="","",IF(AND(H639=0,I639=0),"جارية","مغلقة"))</f>
        <v/>
      </c>
      <c r="L639" s="26" t="str">
        <f aca="false">IF($G639="","",MAX(0,NETWORKDAYS.INTL($E639,J639,رمز_العطلة,أيام_الأجازات)-1))</f>
        <v/>
      </c>
      <c r="M639" s="26" t="str">
        <f aca="false">IF($G639="","",MAX(0,L639-مهلة_المراجعة))</f>
        <v/>
      </c>
      <c r="N639" s="30" t="str">
        <f aca="false">IF($A639="",IF(OR($D639&lt;&gt;"",$E639&lt;&gt;""),"رقم المخرج ناقص",""),IF(ISNA(MATCH($A639,قائمة_المخرجات,0)),"رقم مخرج غير موجود",IF($D639="","نوع الحركة ناقص",IF(NOT(ISNUMBER($E639)),"التاريخ ناقص",IF($E639&gt;تاريخ_الاحتساب,"تاريخ بعد تاريخ الاحتساب",IF(AND($D639&lt;&gt;"تسليم",COUNTIFS($A$5:$A$1504,$A639,$D$5:$D$1504,"تسليم",$E$5:$E$1504,"&lt;="&amp;$E639)=0),"لا يوجد تسليم قبل الحركة دي",""))))))</f>
        <v/>
      </c>
    </row>
    <row r="640" customFormat="false" ht="15" hidden="false" customHeight="false" outlineLevel="0" collapsed="false">
      <c r="A640" s="20"/>
      <c r="B640" s="35" t="str">
        <f aca="false">IF($A640="","",IFERROR(INDEX(مخرج_البند,MATCH($A640,قائمة_المخرجات,0)),""))</f>
        <v/>
      </c>
      <c r="C640" s="30" t="str">
        <f aca="false">IF($A640="","",IFERROR(INDEX(مخرج_الوصف,MATCH($A640,قائمة_المخرجات,0)),""))</f>
        <v/>
      </c>
      <c r="D640" s="20"/>
      <c r="E640" s="31"/>
      <c r="F640" s="22"/>
      <c r="G640" s="36" t="str">
        <f aca="false">IF(OR($A640="",$D640&lt;&gt;"تسليم",NOT(ISNUMBER($E640))),"",COUNTIFS($A$5:$A$1504,$A640,$D$5:$D$1504,"تسليم",$E$5:$E$1504,"&lt;"&amp;$E640)+1)</f>
        <v/>
      </c>
      <c r="H640" s="33" t="str">
        <f aca="false">IF($G640="","",_xlfn.MINIFS($E$5:$E$1504,$A$5:$A$1504,$A640,$D$5:$D$1504,"&lt;&gt;تسليم",$E$5:$E$1504,"&gt;="&amp;$E640))</f>
        <v/>
      </c>
      <c r="I640" s="33" t="str">
        <f aca="false">IF($G640="","",_xlfn.MINIFS($E$5:$E$1504,$A$5:$A$1504,$A640,$D$5:$D$1504,"تسليم",$E$5:$E$1504,"&gt;"&amp;$E640))</f>
        <v/>
      </c>
      <c r="J640" s="33" t="str">
        <f aca="false">IF($G640="","",IF(H640&gt;0,IF(I640&gt;0,MIN(H640,I640),H640),IF(I640&gt;0,I640,تاريخ_الاحتساب)))</f>
        <v/>
      </c>
      <c r="K640" s="34" t="str">
        <f aca="false">IF($G640="","",IF(AND(H640=0,I640=0),"جارية","مغلقة"))</f>
        <v/>
      </c>
      <c r="L640" s="26" t="str">
        <f aca="false">IF($G640="","",MAX(0,NETWORKDAYS.INTL($E640,J640,رمز_العطلة,أيام_الأجازات)-1))</f>
        <v/>
      </c>
      <c r="M640" s="26" t="str">
        <f aca="false">IF($G640="","",MAX(0,L640-مهلة_المراجعة))</f>
        <v/>
      </c>
      <c r="N640" s="30" t="str">
        <f aca="false">IF($A640="",IF(OR($D640&lt;&gt;"",$E640&lt;&gt;""),"رقم المخرج ناقص",""),IF(ISNA(MATCH($A640,قائمة_المخرجات,0)),"رقم مخرج غير موجود",IF($D640="","نوع الحركة ناقص",IF(NOT(ISNUMBER($E640)),"التاريخ ناقص",IF($E640&gt;تاريخ_الاحتساب,"تاريخ بعد تاريخ الاحتساب",IF(AND($D640&lt;&gt;"تسليم",COUNTIFS($A$5:$A$1504,$A640,$D$5:$D$1504,"تسليم",$E$5:$E$1504,"&lt;="&amp;$E640)=0),"لا يوجد تسليم قبل الحركة دي",""))))))</f>
        <v/>
      </c>
    </row>
    <row r="641" customFormat="false" ht="15" hidden="false" customHeight="false" outlineLevel="0" collapsed="false">
      <c r="A641" s="20"/>
      <c r="B641" s="35" t="str">
        <f aca="false">IF($A641="","",IFERROR(INDEX(مخرج_البند,MATCH($A641,قائمة_المخرجات,0)),""))</f>
        <v/>
      </c>
      <c r="C641" s="30" t="str">
        <f aca="false">IF($A641="","",IFERROR(INDEX(مخرج_الوصف,MATCH($A641,قائمة_المخرجات,0)),""))</f>
        <v/>
      </c>
      <c r="D641" s="20"/>
      <c r="E641" s="31"/>
      <c r="F641" s="22"/>
      <c r="G641" s="36" t="str">
        <f aca="false">IF(OR($A641="",$D641&lt;&gt;"تسليم",NOT(ISNUMBER($E641))),"",COUNTIFS($A$5:$A$1504,$A641,$D$5:$D$1504,"تسليم",$E$5:$E$1504,"&lt;"&amp;$E641)+1)</f>
        <v/>
      </c>
      <c r="H641" s="33" t="str">
        <f aca="false">IF($G641="","",_xlfn.MINIFS($E$5:$E$1504,$A$5:$A$1504,$A641,$D$5:$D$1504,"&lt;&gt;تسليم",$E$5:$E$1504,"&gt;="&amp;$E641))</f>
        <v/>
      </c>
      <c r="I641" s="33" t="str">
        <f aca="false">IF($G641="","",_xlfn.MINIFS($E$5:$E$1504,$A$5:$A$1504,$A641,$D$5:$D$1504,"تسليم",$E$5:$E$1504,"&gt;"&amp;$E641))</f>
        <v/>
      </c>
      <c r="J641" s="33" t="str">
        <f aca="false">IF($G641="","",IF(H641&gt;0,IF(I641&gt;0,MIN(H641,I641),H641),IF(I641&gt;0,I641,تاريخ_الاحتساب)))</f>
        <v/>
      </c>
      <c r="K641" s="34" t="str">
        <f aca="false">IF($G641="","",IF(AND(H641=0,I641=0),"جارية","مغلقة"))</f>
        <v/>
      </c>
      <c r="L641" s="26" t="str">
        <f aca="false">IF($G641="","",MAX(0,NETWORKDAYS.INTL($E641,J641,رمز_العطلة,أيام_الأجازات)-1))</f>
        <v/>
      </c>
      <c r="M641" s="26" t="str">
        <f aca="false">IF($G641="","",MAX(0,L641-مهلة_المراجعة))</f>
        <v/>
      </c>
      <c r="N641" s="30" t="str">
        <f aca="false">IF($A641="",IF(OR($D641&lt;&gt;"",$E641&lt;&gt;""),"رقم المخرج ناقص",""),IF(ISNA(MATCH($A641,قائمة_المخرجات,0)),"رقم مخرج غير موجود",IF($D641="","نوع الحركة ناقص",IF(NOT(ISNUMBER($E641)),"التاريخ ناقص",IF($E641&gt;تاريخ_الاحتساب,"تاريخ بعد تاريخ الاحتساب",IF(AND($D641&lt;&gt;"تسليم",COUNTIFS($A$5:$A$1504,$A641,$D$5:$D$1504,"تسليم",$E$5:$E$1504,"&lt;="&amp;$E641)=0),"لا يوجد تسليم قبل الحركة دي",""))))))</f>
        <v/>
      </c>
    </row>
    <row r="642" customFormat="false" ht="15" hidden="false" customHeight="false" outlineLevel="0" collapsed="false">
      <c r="A642" s="20"/>
      <c r="B642" s="35" t="str">
        <f aca="false">IF($A642="","",IFERROR(INDEX(مخرج_البند,MATCH($A642,قائمة_المخرجات,0)),""))</f>
        <v/>
      </c>
      <c r="C642" s="30" t="str">
        <f aca="false">IF($A642="","",IFERROR(INDEX(مخرج_الوصف,MATCH($A642,قائمة_المخرجات,0)),""))</f>
        <v/>
      </c>
      <c r="D642" s="20"/>
      <c r="E642" s="31"/>
      <c r="F642" s="22"/>
      <c r="G642" s="36" t="str">
        <f aca="false">IF(OR($A642="",$D642&lt;&gt;"تسليم",NOT(ISNUMBER($E642))),"",COUNTIFS($A$5:$A$1504,$A642,$D$5:$D$1504,"تسليم",$E$5:$E$1504,"&lt;"&amp;$E642)+1)</f>
        <v/>
      </c>
      <c r="H642" s="33" t="str">
        <f aca="false">IF($G642="","",_xlfn.MINIFS($E$5:$E$1504,$A$5:$A$1504,$A642,$D$5:$D$1504,"&lt;&gt;تسليم",$E$5:$E$1504,"&gt;="&amp;$E642))</f>
        <v/>
      </c>
      <c r="I642" s="33" t="str">
        <f aca="false">IF($G642="","",_xlfn.MINIFS($E$5:$E$1504,$A$5:$A$1504,$A642,$D$5:$D$1504,"تسليم",$E$5:$E$1504,"&gt;"&amp;$E642))</f>
        <v/>
      </c>
      <c r="J642" s="33" t="str">
        <f aca="false">IF($G642="","",IF(H642&gt;0,IF(I642&gt;0,MIN(H642,I642),H642),IF(I642&gt;0,I642,تاريخ_الاحتساب)))</f>
        <v/>
      </c>
      <c r="K642" s="34" t="str">
        <f aca="false">IF($G642="","",IF(AND(H642=0,I642=0),"جارية","مغلقة"))</f>
        <v/>
      </c>
      <c r="L642" s="26" t="str">
        <f aca="false">IF($G642="","",MAX(0,NETWORKDAYS.INTL($E642,J642,رمز_العطلة,أيام_الأجازات)-1))</f>
        <v/>
      </c>
      <c r="M642" s="26" t="str">
        <f aca="false">IF($G642="","",MAX(0,L642-مهلة_المراجعة))</f>
        <v/>
      </c>
      <c r="N642" s="30" t="str">
        <f aca="false">IF($A642="",IF(OR($D642&lt;&gt;"",$E642&lt;&gt;""),"رقم المخرج ناقص",""),IF(ISNA(MATCH($A642,قائمة_المخرجات,0)),"رقم مخرج غير موجود",IF($D642="","نوع الحركة ناقص",IF(NOT(ISNUMBER($E642)),"التاريخ ناقص",IF($E642&gt;تاريخ_الاحتساب,"تاريخ بعد تاريخ الاحتساب",IF(AND($D642&lt;&gt;"تسليم",COUNTIFS($A$5:$A$1504,$A642,$D$5:$D$1504,"تسليم",$E$5:$E$1504,"&lt;="&amp;$E642)=0),"لا يوجد تسليم قبل الحركة دي",""))))))</f>
        <v/>
      </c>
    </row>
    <row r="643" customFormat="false" ht="15" hidden="false" customHeight="false" outlineLevel="0" collapsed="false">
      <c r="A643" s="20"/>
      <c r="B643" s="35" t="str">
        <f aca="false">IF($A643="","",IFERROR(INDEX(مخرج_البند,MATCH($A643,قائمة_المخرجات,0)),""))</f>
        <v/>
      </c>
      <c r="C643" s="30" t="str">
        <f aca="false">IF($A643="","",IFERROR(INDEX(مخرج_الوصف,MATCH($A643,قائمة_المخرجات,0)),""))</f>
        <v/>
      </c>
      <c r="D643" s="20"/>
      <c r="E643" s="31"/>
      <c r="F643" s="22"/>
      <c r="G643" s="36" t="str">
        <f aca="false">IF(OR($A643="",$D643&lt;&gt;"تسليم",NOT(ISNUMBER($E643))),"",COUNTIFS($A$5:$A$1504,$A643,$D$5:$D$1504,"تسليم",$E$5:$E$1504,"&lt;"&amp;$E643)+1)</f>
        <v/>
      </c>
      <c r="H643" s="33" t="str">
        <f aca="false">IF($G643="","",_xlfn.MINIFS($E$5:$E$1504,$A$5:$A$1504,$A643,$D$5:$D$1504,"&lt;&gt;تسليم",$E$5:$E$1504,"&gt;="&amp;$E643))</f>
        <v/>
      </c>
      <c r="I643" s="33" t="str">
        <f aca="false">IF($G643="","",_xlfn.MINIFS($E$5:$E$1504,$A$5:$A$1504,$A643,$D$5:$D$1504,"تسليم",$E$5:$E$1504,"&gt;"&amp;$E643))</f>
        <v/>
      </c>
      <c r="J643" s="33" t="str">
        <f aca="false">IF($G643="","",IF(H643&gt;0,IF(I643&gt;0,MIN(H643,I643),H643),IF(I643&gt;0,I643,تاريخ_الاحتساب)))</f>
        <v/>
      </c>
      <c r="K643" s="34" t="str">
        <f aca="false">IF($G643="","",IF(AND(H643=0,I643=0),"جارية","مغلقة"))</f>
        <v/>
      </c>
      <c r="L643" s="26" t="str">
        <f aca="false">IF($G643="","",MAX(0,NETWORKDAYS.INTL($E643,J643,رمز_العطلة,أيام_الأجازات)-1))</f>
        <v/>
      </c>
      <c r="M643" s="26" t="str">
        <f aca="false">IF($G643="","",MAX(0,L643-مهلة_المراجعة))</f>
        <v/>
      </c>
      <c r="N643" s="30" t="str">
        <f aca="false">IF($A643="",IF(OR($D643&lt;&gt;"",$E643&lt;&gt;""),"رقم المخرج ناقص",""),IF(ISNA(MATCH($A643,قائمة_المخرجات,0)),"رقم مخرج غير موجود",IF($D643="","نوع الحركة ناقص",IF(NOT(ISNUMBER($E643)),"التاريخ ناقص",IF($E643&gt;تاريخ_الاحتساب,"تاريخ بعد تاريخ الاحتساب",IF(AND($D643&lt;&gt;"تسليم",COUNTIFS($A$5:$A$1504,$A643,$D$5:$D$1504,"تسليم",$E$5:$E$1504,"&lt;="&amp;$E643)=0),"لا يوجد تسليم قبل الحركة دي",""))))))</f>
        <v/>
      </c>
    </row>
    <row r="644" customFormat="false" ht="15" hidden="false" customHeight="false" outlineLevel="0" collapsed="false">
      <c r="A644" s="20"/>
      <c r="B644" s="35" t="str">
        <f aca="false">IF($A644="","",IFERROR(INDEX(مخرج_البند,MATCH($A644,قائمة_المخرجات,0)),""))</f>
        <v/>
      </c>
      <c r="C644" s="30" t="str">
        <f aca="false">IF($A644="","",IFERROR(INDEX(مخرج_الوصف,MATCH($A644,قائمة_المخرجات,0)),""))</f>
        <v/>
      </c>
      <c r="D644" s="20"/>
      <c r="E644" s="31"/>
      <c r="F644" s="22"/>
      <c r="G644" s="36" t="str">
        <f aca="false">IF(OR($A644="",$D644&lt;&gt;"تسليم",NOT(ISNUMBER($E644))),"",COUNTIFS($A$5:$A$1504,$A644,$D$5:$D$1504,"تسليم",$E$5:$E$1504,"&lt;"&amp;$E644)+1)</f>
        <v/>
      </c>
      <c r="H644" s="33" t="str">
        <f aca="false">IF($G644="","",_xlfn.MINIFS($E$5:$E$1504,$A$5:$A$1504,$A644,$D$5:$D$1504,"&lt;&gt;تسليم",$E$5:$E$1504,"&gt;="&amp;$E644))</f>
        <v/>
      </c>
      <c r="I644" s="33" t="str">
        <f aca="false">IF($G644="","",_xlfn.MINIFS($E$5:$E$1504,$A$5:$A$1504,$A644,$D$5:$D$1504,"تسليم",$E$5:$E$1504,"&gt;"&amp;$E644))</f>
        <v/>
      </c>
      <c r="J644" s="33" t="str">
        <f aca="false">IF($G644="","",IF(H644&gt;0,IF(I644&gt;0,MIN(H644,I644),H644),IF(I644&gt;0,I644,تاريخ_الاحتساب)))</f>
        <v/>
      </c>
      <c r="K644" s="34" t="str">
        <f aca="false">IF($G644="","",IF(AND(H644=0,I644=0),"جارية","مغلقة"))</f>
        <v/>
      </c>
      <c r="L644" s="26" t="str">
        <f aca="false">IF($G644="","",MAX(0,NETWORKDAYS.INTL($E644,J644,رمز_العطلة,أيام_الأجازات)-1))</f>
        <v/>
      </c>
      <c r="M644" s="26" t="str">
        <f aca="false">IF($G644="","",MAX(0,L644-مهلة_المراجعة))</f>
        <v/>
      </c>
      <c r="N644" s="30" t="str">
        <f aca="false">IF($A644="",IF(OR($D644&lt;&gt;"",$E644&lt;&gt;""),"رقم المخرج ناقص",""),IF(ISNA(MATCH($A644,قائمة_المخرجات,0)),"رقم مخرج غير موجود",IF($D644="","نوع الحركة ناقص",IF(NOT(ISNUMBER($E644)),"التاريخ ناقص",IF($E644&gt;تاريخ_الاحتساب,"تاريخ بعد تاريخ الاحتساب",IF(AND($D644&lt;&gt;"تسليم",COUNTIFS($A$5:$A$1504,$A644,$D$5:$D$1504,"تسليم",$E$5:$E$1504,"&lt;="&amp;$E644)=0),"لا يوجد تسليم قبل الحركة دي",""))))))</f>
        <v/>
      </c>
    </row>
    <row r="645" customFormat="false" ht="15" hidden="false" customHeight="false" outlineLevel="0" collapsed="false">
      <c r="A645" s="20"/>
      <c r="B645" s="35" t="str">
        <f aca="false">IF($A645="","",IFERROR(INDEX(مخرج_البند,MATCH($A645,قائمة_المخرجات,0)),""))</f>
        <v/>
      </c>
      <c r="C645" s="30" t="str">
        <f aca="false">IF($A645="","",IFERROR(INDEX(مخرج_الوصف,MATCH($A645,قائمة_المخرجات,0)),""))</f>
        <v/>
      </c>
      <c r="D645" s="20"/>
      <c r="E645" s="31"/>
      <c r="F645" s="22"/>
      <c r="G645" s="36" t="str">
        <f aca="false">IF(OR($A645="",$D645&lt;&gt;"تسليم",NOT(ISNUMBER($E645))),"",COUNTIFS($A$5:$A$1504,$A645,$D$5:$D$1504,"تسليم",$E$5:$E$1504,"&lt;"&amp;$E645)+1)</f>
        <v/>
      </c>
      <c r="H645" s="33" t="str">
        <f aca="false">IF($G645="","",_xlfn.MINIFS($E$5:$E$1504,$A$5:$A$1504,$A645,$D$5:$D$1504,"&lt;&gt;تسليم",$E$5:$E$1504,"&gt;="&amp;$E645))</f>
        <v/>
      </c>
      <c r="I645" s="33" t="str">
        <f aca="false">IF($G645="","",_xlfn.MINIFS($E$5:$E$1504,$A$5:$A$1504,$A645,$D$5:$D$1504,"تسليم",$E$5:$E$1504,"&gt;"&amp;$E645))</f>
        <v/>
      </c>
      <c r="J645" s="33" t="str">
        <f aca="false">IF($G645="","",IF(H645&gt;0,IF(I645&gt;0,MIN(H645,I645),H645),IF(I645&gt;0,I645,تاريخ_الاحتساب)))</f>
        <v/>
      </c>
      <c r="K645" s="34" t="str">
        <f aca="false">IF($G645="","",IF(AND(H645=0,I645=0),"جارية","مغلقة"))</f>
        <v/>
      </c>
      <c r="L645" s="26" t="str">
        <f aca="false">IF($G645="","",MAX(0,NETWORKDAYS.INTL($E645,J645,رمز_العطلة,أيام_الأجازات)-1))</f>
        <v/>
      </c>
      <c r="M645" s="26" t="str">
        <f aca="false">IF($G645="","",MAX(0,L645-مهلة_المراجعة))</f>
        <v/>
      </c>
      <c r="N645" s="30" t="str">
        <f aca="false">IF($A645="",IF(OR($D645&lt;&gt;"",$E645&lt;&gt;""),"رقم المخرج ناقص",""),IF(ISNA(MATCH($A645,قائمة_المخرجات,0)),"رقم مخرج غير موجود",IF($D645="","نوع الحركة ناقص",IF(NOT(ISNUMBER($E645)),"التاريخ ناقص",IF($E645&gt;تاريخ_الاحتساب,"تاريخ بعد تاريخ الاحتساب",IF(AND($D645&lt;&gt;"تسليم",COUNTIFS($A$5:$A$1504,$A645,$D$5:$D$1504,"تسليم",$E$5:$E$1504,"&lt;="&amp;$E645)=0),"لا يوجد تسليم قبل الحركة دي",""))))))</f>
        <v/>
      </c>
    </row>
    <row r="646" customFormat="false" ht="15" hidden="false" customHeight="false" outlineLevel="0" collapsed="false">
      <c r="A646" s="20"/>
      <c r="B646" s="35" t="str">
        <f aca="false">IF($A646="","",IFERROR(INDEX(مخرج_البند,MATCH($A646,قائمة_المخرجات,0)),""))</f>
        <v/>
      </c>
      <c r="C646" s="30" t="str">
        <f aca="false">IF($A646="","",IFERROR(INDEX(مخرج_الوصف,MATCH($A646,قائمة_المخرجات,0)),""))</f>
        <v/>
      </c>
      <c r="D646" s="20"/>
      <c r="E646" s="31"/>
      <c r="F646" s="22"/>
      <c r="G646" s="36" t="str">
        <f aca="false">IF(OR($A646="",$D646&lt;&gt;"تسليم",NOT(ISNUMBER($E646))),"",COUNTIFS($A$5:$A$1504,$A646,$D$5:$D$1504,"تسليم",$E$5:$E$1504,"&lt;"&amp;$E646)+1)</f>
        <v/>
      </c>
      <c r="H646" s="33" t="str">
        <f aca="false">IF($G646="","",_xlfn.MINIFS($E$5:$E$1504,$A$5:$A$1504,$A646,$D$5:$D$1504,"&lt;&gt;تسليم",$E$5:$E$1504,"&gt;="&amp;$E646))</f>
        <v/>
      </c>
      <c r="I646" s="33" t="str">
        <f aca="false">IF($G646="","",_xlfn.MINIFS($E$5:$E$1504,$A$5:$A$1504,$A646,$D$5:$D$1504,"تسليم",$E$5:$E$1504,"&gt;"&amp;$E646))</f>
        <v/>
      </c>
      <c r="J646" s="33" t="str">
        <f aca="false">IF($G646="","",IF(H646&gt;0,IF(I646&gt;0,MIN(H646,I646),H646),IF(I646&gt;0,I646,تاريخ_الاحتساب)))</f>
        <v/>
      </c>
      <c r="K646" s="34" t="str">
        <f aca="false">IF($G646="","",IF(AND(H646=0,I646=0),"جارية","مغلقة"))</f>
        <v/>
      </c>
      <c r="L646" s="26" t="str">
        <f aca="false">IF($G646="","",MAX(0,NETWORKDAYS.INTL($E646,J646,رمز_العطلة,أيام_الأجازات)-1))</f>
        <v/>
      </c>
      <c r="M646" s="26" t="str">
        <f aca="false">IF($G646="","",MAX(0,L646-مهلة_المراجعة))</f>
        <v/>
      </c>
      <c r="N646" s="30" t="str">
        <f aca="false">IF($A646="",IF(OR($D646&lt;&gt;"",$E646&lt;&gt;""),"رقم المخرج ناقص",""),IF(ISNA(MATCH($A646,قائمة_المخرجات,0)),"رقم مخرج غير موجود",IF($D646="","نوع الحركة ناقص",IF(NOT(ISNUMBER($E646)),"التاريخ ناقص",IF($E646&gt;تاريخ_الاحتساب,"تاريخ بعد تاريخ الاحتساب",IF(AND($D646&lt;&gt;"تسليم",COUNTIFS($A$5:$A$1504,$A646,$D$5:$D$1504,"تسليم",$E$5:$E$1504,"&lt;="&amp;$E646)=0),"لا يوجد تسليم قبل الحركة دي",""))))))</f>
        <v/>
      </c>
    </row>
    <row r="647" customFormat="false" ht="15" hidden="false" customHeight="false" outlineLevel="0" collapsed="false">
      <c r="A647" s="20"/>
      <c r="B647" s="35" t="str">
        <f aca="false">IF($A647="","",IFERROR(INDEX(مخرج_البند,MATCH($A647,قائمة_المخرجات,0)),""))</f>
        <v/>
      </c>
      <c r="C647" s="30" t="str">
        <f aca="false">IF($A647="","",IFERROR(INDEX(مخرج_الوصف,MATCH($A647,قائمة_المخرجات,0)),""))</f>
        <v/>
      </c>
      <c r="D647" s="20"/>
      <c r="E647" s="31"/>
      <c r="F647" s="22"/>
      <c r="G647" s="36" t="str">
        <f aca="false">IF(OR($A647="",$D647&lt;&gt;"تسليم",NOT(ISNUMBER($E647))),"",COUNTIFS($A$5:$A$1504,$A647,$D$5:$D$1504,"تسليم",$E$5:$E$1504,"&lt;"&amp;$E647)+1)</f>
        <v/>
      </c>
      <c r="H647" s="33" t="str">
        <f aca="false">IF($G647="","",_xlfn.MINIFS($E$5:$E$1504,$A$5:$A$1504,$A647,$D$5:$D$1504,"&lt;&gt;تسليم",$E$5:$E$1504,"&gt;="&amp;$E647))</f>
        <v/>
      </c>
      <c r="I647" s="33" t="str">
        <f aca="false">IF($G647="","",_xlfn.MINIFS($E$5:$E$1504,$A$5:$A$1504,$A647,$D$5:$D$1504,"تسليم",$E$5:$E$1504,"&gt;"&amp;$E647))</f>
        <v/>
      </c>
      <c r="J647" s="33" t="str">
        <f aca="false">IF($G647="","",IF(H647&gt;0,IF(I647&gt;0,MIN(H647,I647),H647),IF(I647&gt;0,I647,تاريخ_الاحتساب)))</f>
        <v/>
      </c>
      <c r="K647" s="34" t="str">
        <f aca="false">IF($G647="","",IF(AND(H647=0,I647=0),"جارية","مغلقة"))</f>
        <v/>
      </c>
      <c r="L647" s="26" t="str">
        <f aca="false">IF($G647="","",MAX(0,NETWORKDAYS.INTL($E647,J647,رمز_العطلة,أيام_الأجازات)-1))</f>
        <v/>
      </c>
      <c r="M647" s="26" t="str">
        <f aca="false">IF($G647="","",MAX(0,L647-مهلة_المراجعة))</f>
        <v/>
      </c>
      <c r="N647" s="30" t="str">
        <f aca="false">IF($A647="",IF(OR($D647&lt;&gt;"",$E647&lt;&gt;""),"رقم المخرج ناقص",""),IF(ISNA(MATCH($A647,قائمة_المخرجات,0)),"رقم مخرج غير موجود",IF($D647="","نوع الحركة ناقص",IF(NOT(ISNUMBER($E647)),"التاريخ ناقص",IF($E647&gt;تاريخ_الاحتساب,"تاريخ بعد تاريخ الاحتساب",IF(AND($D647&lt;&gt;"تسليم",COUNTIFS($A$5:$A$1504,$A647,$D$5:$D$1504,"تسليم",$E$5:$E$1504,"&lt;="&amp;$E647)=0),"لا يوجد تسليم قبل الحركة دي",""))))))</f>
        <v/>
      </c>
    </row>
    <row r="648" customFormat="false" ht="15" hidden="false" customHeight="false" outlineLevel="0" collapsed="false">
      <c r="A648" s="20"/>
      <c r="B648" s="35" t="str">
        <f aca="false">IF($A648="","",IFERROR(INDEX(مخرج_البند,MATCH($A648,قائمة_المخرجات,0)),""))</f>
        <v/>
      </c>
      <c r="C648" s="30" t="str">
        <f aca="false">IF($A648="","",IFERROR(INDEX(مخرج_الوصف,MATCH($A648,قائمة_المخرجات,0)),""))</f>
        <v/>
      </c>
      <c r="D648" s="20"/>
      <c r="E648" s="31"/>
      <c r="F648" s="22"/>
      <c r="G648" s="36" t="str">
        <f aca="false">IF(OR($A648="",$D648&lt;&gt;"تسليم",NOT(ISNUMBER($E648))),"",COUNTIFS($A$5:$A$1504,$A648,$D$5:$D$1504,"تسليم",$E$5:$E$1504,"&lt;"&amp;$E648)+1)</f>
        <v/>
      </c>
      <c r="H648" s="33" t="str">
        <f aca="false">IF($G648="","",_xlfn.MINIFS($E$5:$E$1504,$A$5:$A$1504,$A648,$D$5:$D$1504,"&lt;&gt;تسليم",$E$5:$E$1504,"&gt;="&amp;$E648))</f>
        <v/>
      </c>
      <c r="I648" s="33" t="str">
        <f aca="false">IF($G648="","",_xlfn.MINIFS($E$5:$E$1504,$A$5:$A$1504,$A648,$D$5:$D$1504,"تسليم",$E$5:$E$1504,"&gt;"&amp;$E648))</f>
        <v/>
      </c>
      <c r="J648" s="33" t="str">
        <f aca="false">IF($G648="","",IF(H648&gt;0,IF(I648&gt;0,MIN(H648,I648),H648),IF(I648&gt;0,I648,تاريخ_الاحتساب)))</f>
        <v/>
      </c>
      <c r="K648" s="34" t="str">
        <f aca="false">IF($G648="","",IF(AND(H648=0,I648=0),"جارية","مغلقة"))</f>
        <v/>
      </c>
      <c r="L648" s="26" t="str">
        <f aca="false">IF($G648="","",MAX(0,NETWORKDAYS.INTL($E648,J648,رمز_العطلة,أيام_الأجازات)-1))</f>
        <v/>
      </c>
      <c r="M648" s="26" t="str">
        <f aca="false">IF($G648="","",MAX(0,L648-مهلة_المراجعة))</f>
        <v/>
      </c>
      <c r="N648" s="30" t="str">
        <f aca="false">IF($A648="",IF(OR($D648&lt;&gt;"",$E648&lt;&gt;""),"رقم المخرج ناقص",""),IF(ISNA(MATCH($A648,قائمة_المخرجات,0)),"رقم مخرج غير موجود",IF($D648="","نوع الحركة ناقص",IF(NOT(ISNUMBER($E648)),"التاريخ ناقص",IF($E648&gt;تاريخ_الاحتساب,"تاريخ بعد تاريخ الاحتساب",IF(AND($D648&lt;&gt;"تسليم",COUNTIFS($A$5:$A$1504,$A648,$D$5:$D$1504,"تسليم",$E$5:$E$1504,"&lt;="&amp;$E648)=0),"لا يوجد تسليم قبل الحركة دي",""))))))</f>
        <v/>
      </c>
    </row>
    <row r="649" customFormat="false" ht="15" hidden="false" customHeight="false" outlineLevel="0" collapsed="false">
      <c r="A649" s="20"/>
      <c r="B649" s="35" t="str">
        <f aca="false">IF($A649="","",IFERROR(INDEX(مخرج_البند,MATCH($A649,قائمة_المخرجات,0)),""))</f>
        <v/>
      </c>
      <c r="C649" s="30" t="str">
        <f aca="false">IF($A649="","",IFERROR(INDEX(مخرج_الوصف,MATCH($A649,قائمة_المخرجات,0)),""))</f>
        <v/>
      </c>
      <c r="D649" s="20"/>
      <c r="E649" s="31"/>
      <c r="F649" s="22"/>
      <c r="G649" s="36" t="str">
        <f aca="false">IF(OR($A649="",$D649&lt;&gt;"تسليم",NOT(ISNUMBER($E649))),"",COUNTIFS($A$5:$A$1504,$A649,$D$5:$D$1504,"تسليم",$E$5:$E$1504,"&lt;"&amp;$E649)+1)</f>
        <v/>
      </c>
      <c r="H649" s="33" t="str">
        <f aca="false">IF($G649="","",_xlfn.MINIFS($E$5:$E$1504,$A$5:$A$1504,$A649,$D$5:$D$1504,"&lt;&gt;تسليم",$E$5:$E$1504,"&gt;="&amp;$E649))</f>
        <v/>
      </c>
      <c r="I649" s="33" t="str">
        <f aca="false">IF($G649="","",_xlfn.MINIFS($E$5:$E$1504,$A$5:$A$1504,$A649,$D$5:$D$1504,"تسليم",$E$5:$E$1504,"&gt;"&amp;$E649))</f>
        <v/>
      </c>
      <c r="J649" s="33" t="str">
        <f aca="false">IF($G649="","",IF(H649&gt;0,IF(I649&gt;0,MIN(H649,I649),H649),IF(I649&gt;0,I649,تاريخ_الاحتساب)))</f>
        <v/>
      </c>
      <c r="K649" s="34" t="str">
        <f aca="false">IF($G649="","",IF(AND(H649=0,I649=0),"جارية","مغلقة"))</f>
        <v/>
      </c>
      <c r="L649" s="26" t="str">
        <f aca="false">IF($G649="","",MAX(0,NETWORKDAYS.INTL($E649,J649,رمز_العطلة,أيام_الأجازات)-1))</f>
        <v/>
      </c>
      <c r="M649" s="26" t="str">
        <f aca="false">IF($G649="","",MAX(0,L649-مهلة_المراجعة))</f>
        <v/>
      </c>
      <c r="N649" s="30" t="str">
        <f aca="false">IF($A649="",IF(OR($D649&lt;&gt;"",$E649&lt;&gt;""),"رقم المخرج ناقص",""),IF(ISNA(MATCH($A649,قائمة_المخرجات,0)),"رقم مخرج غير موجود",IF($D649="","نوع الحركة ناقص",IF(NOT(ISNUMBER($E649)),"التاريخ ناقص",IF($E649&gt;تاريخ_الاحتساب,"تاريخ بعد تاريخ الاحتساب",IF(AND($D649&lt;&gt;"تسليم",COUNTIFS($A$5:$A$1504,$A649,$D$5:$D$1504,"تسليم",$E$5:$E$1504,"&lt;="&amp;$E649)=0),"لا يوجد تسليم قبل الحركة دي",""))))))</f>
        <v/>
      </c>
    </row>
    <row r="650" customFormat="false" ht="15" hidden="false" customHeight="false" outlineLevel="0" collapsed="false">
      <c r="A650" s="20"/>
      <c r="B650" s="35" t="str">
        <f aca="false">IF($A650="","",IFERROR(INDEX(مخرج_البند,MATCH($A650,قائمة_المخرجات,0)),""))</f>
        <v/>
      </c>
      <c r="C650" s="30" t="str">
        <f aca="false">IF($A650="","",IFERROR(INDEX(مخرج_الوصف,MATCH($A650,قائمة_المخرجات,0)),""))</f>
        <v/>
      </c>
      <c r="D650" s="20"/>
      <c r="E650" s="31"/>
      <c r="F650" s="22"/>
      <c r="G650" s="36" t="str">
        <f aca="false">IF(OR($A650="",$D650&lt;&gt;"تسليم",NOT(ISNUMBER($E650))),"",COUNTIFS($A$5:$A$1504,$A650,$D$5:$D$1504,"تسليم",$E$5:$E$1504,"&lt;"&amp;$E650)+1)</f>
        <v/>
      </c>
      <c r="H650" s="33" t="str">
        <f aca="false">IF($G650="","",_xlfn.MINIFS($E$5:$E$1504,$A$5:$A$1504,$A650,$D$5:$D$1504,"&lt;&gt;تسليم",$E$5:$E$1504,"&gt;="&amp;$E650))</f>
        <v/>
      </c>
      <c r="I650" s="33" t="str">
        <f aca="false">IF($G650="","",_xlfn.MINIFS($E$5:$E$1504,$A$5:$A$1504,$A650,$D$5:$D$1504,"تسليم",$E$5:$E$1504,"&gt;"&amp;$E650))</f>
        <v/>
      </c>
      <c r="J650" s="33" t="str">
        <f aca="false">IF($G650="","",IF(H650&gt;0,IF(I650&gt;0,MIN(H650,I650),H650),IF(I650&gt;0,I650,تاريخ_الاحتساب)))</f>
        <v/>
      </c>
      <c r="K650" s="34" t="str">
        <f aca="false">IF($G650="","",IF(AND(H650=0,I650=0),"جارية","مغلقة"))</f>
        <v/>
      </c>
      <c r="L650" s="26" t="str">
        <f aca="false">IF($G650="","",MAX(0,NETWORKDAYS.INTL($E650,J650,رمز_العطلة,أيام_الأجازات)-1))</f>
        <v/>
      </c>
      <c r="M650" s="26" t="str">
        <f aca="false">IF($G650="","",MAX(0,L650-مهلة_المراجعة))</f>
        <v/>
      </c>
      <c r="N650" s="30" t="str">
        <f aca="false">IF($A650="",IF(OR($D650&lt;&gt;"",$E650&lt;&gt;""),"رقم المخرج ناقص",""),IF(ISNA(MATCH($A650,قائمة_المخرجات,0)),"رقم مخرج غير موجود",IF($D650="","نوع الحركة ناقص",IF(NOT(ISNUMBER($E650)),"التاريخ ناقص",IF($E650&gt;تاريخ_الاحتساب,"تاريخ بعد تاريخ الاحتساب",IF(AND($D650&lt;&gt;"تسليم",COUNTIFS($A$5:$A$1504,$A650,$D$5:$D$1504,"تسليم",$E$5:$E$1504,"&lt;="&amp;$E650)=0),"لا يوجد تسليم قبل الحركة دي",""))))))</f>
        <v/>
      </c>
    </row>
    <row r="651" customFormat="false" ht="15" hidden="false" customHeight="false" outlineLevel="0" collapsed="false">
      <c r="A651" s="20"/>
      <c r="B651" s="35" t="str">
        <f aca="false">IF($A651="","",IFERROR(INDEX(مخرج_البند,MATCH($A651,قائمة_المخرجات,0)),""))</f>
        <v/>
      </c>
      <c r="C651" s="30" t="str">
        <f aca="false">IF($A651="","",IFERROR(INDEX(مخرج_الوصف,MATCH($A651,قائمة_المخرجات,0)),""))</f>
        <v/>
      </c>
      <c r="D651" s="20"/>
      <c r="E651" s="31"/>
      <c r="F651" s="22"/>
      <c r="G651" s="36" t="str">
        <f aca="false">IF(OR($A651="",$D651&lt;&gt;"تسليم",NOT(ISNUMBER($E651))),"",COUNTIFS($A$5:$A$1504,$A651,$D$5:$D$1504,"تسليم",$E$5:$E$1504,"&lt;"&amp;$E651)+1)</f>
        <v/>
      </c>
      <c r="H651" s="33" t="str">
        <f aca="false">IF($G651="","",_xlfn.MINIFS($E$5:$E$1504,$A$5:$A$1504,$A651,$D$5:$D$1504,"&lt;&gt;تسليم",$E$5:$E$1504,"&gt;="&amp;$E651))</f>
        <v/>
      </c>
      <c r="I651" s="33" t="str">
        <f aca="false">IF($G651="","",_xlfn.MINIFS($E$5:$E$1504,$A$5:$A$1504,$A651,$D$5:$D$1504,"تسليم",$E$5:$E$1504,"&gt;"&amp;$E651))</f>
        <v/>
      </c>
      <c r="J651" s="33" t="str">
        <f aca="false">IF($G651="","",IF(H651&gt;0,IF(I651&gt;0,MIN(H651,I651),H651),IF(I651&gt;0,I651,تاريخ_الاحتساب)))</f>
        <v/>
      </c>
      <c r="K651" s="34" t="str">
        <f aca="false">IF($G651="","",IF(AND(H651=0,I651=0),"جارية","مغلقة"))</f>
        <v/>
      </c>
      <c r="L651" s="26" t="str">
        <f aca="false">IF($G651="","",MAX(0,NETWORKDAYS.INTL($E651,J651,رمز_العطلة,أيام_الأجازات)-1))</f>
        <v/>
      </c>
      <c r="M651" s="26" t="str">
        <f aca="false">IF($G651="","",MAX(0,L651-مهلة_المراجعة))</f>
        <v/>
      </c>
      <c r="N651" s="30" t="str">
        <f aca="false">IF($A651="",IF(OR($D651&lt;&gt;"",$E651&lt;&gt;""),"رقم المخرج ناقص",""),IF(ISNA(MATCH($A651,قائمة_المخرجات,0)),"رقم مخرج غير موجود",IF($D651="","نوع الحركة ناقص",IF(NOT(ISNUMBER($E651)),"التاريخ ناقص",IF($E651&gt;تاريخ_الاحتساب,"تاريخ بعد تاريخ الاحتساب",IF(AND($D651&lt;&gt;"تسليم",COUNTIFS($A$5:$A$1504,$A651,$D$5:$D$1504,"تسليم",$E$5:$E$1504,"&lt;="&amp;$E651)=0),"لا يوجد تسليم قبل الحركة دي",""))))))</f>
        <v/>
      </c>
    </row>
    <row r="652" customFormat="false" ht="15" hidden="false" customHeight="false" outlineLevel="0" collapsed="false">
      <c r="A652" s="20"/>
      <c r="B652" s="35" t="str">
        <f aca="false">IF($A652="","",IFERROR(INDEX(مخرج_البند,MATCH($A652,قائمة_المخرجات,0)),""))</f>
        <v/>
      </c>
      <c r="C652" s="30" t="str">
        <f aca="false">IF($A652="","",IFERROR(INDEX(مخرج_الوصف,MATCH($A652,قائمة_المخرجات,0)),""))</f>
        <v/>
      </c>
      <c r="D652" s="20"/>
      <c r="E652" s="31"/>
      <c r="F652" s="22"/>
      <c r="G652" s="36" t="str">
        <f aca="false">IF(OR($A652="",$D652&lt;&gt;"تسليم",NOT(ISNUMBER($E652))),"",COUNTIFS($A$5:$A$1504,$A652,$D$5:$D$1504,"تسليم",$E$5:$E$1504,"&lt;"&amp;$E652)+1)</f>
        <v/>
      </c>
      <c r="H652" s="33" t="str">
        <f aca="false">IF($G652="","",_xlfn.MINIFS($E$5:$E$1504,$A$5:$A$1504,$A652,$D$5:$D$1504,"&lt;&gt;تسليم",$E$5:$E$1504,"&gt;="&amp;$E652))</f>
        <v/>
      </c>
      <c r="I652" s="33" t="str">
        <f aca="false">IF($G652="","",_xlfn.MINIFS($E$5:$E$1504,$A$5:$A$1504,$A652,$D$5:$D$1504,"تسليم",$E$5:$E$1504,"&gt;"&amp;$E652))</f>
        <v/>
      </c>
      <c r="J652" s="33" t="str">
        <f aca="false">IF($G652="","",IF(H652&gt;0,IF(I652&gt;0,MIN(H652,I652),H652),IF(I652&gt;0,I652,تاريخ_الاحتساب)))</f>
        <v/>
      </c>
      <c r="K652" s="34" t="str">
        <f aca="false">IF($G652="","",IF(AND(H652=0,I652=0),"جارية","مغلقة"))</f>
        <v/>
      </c>
      <c r="L652" s="26" t="str">
        <f aca="false">IF($G652="","",MAX(0,NETWORKDAYS.INTL($E652,J652,رمز_العطلة,أيام_الأجازات)-1))</f>
        <v/>
      </c>
      <c r="M652" s="26" t="str">
        <f aca="false">IF($G652="","",MAX(0,L652-مهلة_المراجعة))</f>
        <v/>
      </c>
      <c r="N652" s="30" t="str">
        <f aca="false">IF($A652="",IF(OR($D652&lt;&gt;"",$E652&lt;&gt;""),"رقم المخرج ناقص",""),IF(ISNA(MATCH($A652,قائمة_المخرجات,0)),"رقم مخرج غير موجود",IF($D652="","نوع الحركة ناقص",IF(NOT(ISNUMBER($E652)),"التاريخ ناقص",IF($E652&gt;تاريخ_الاحتساب,"تاريخ بعد تاريخ الاحتساب",IF(AND($D652&lt;&gt;"تسليم",COUNTIFS($A$5:$A$1504,$A652,$D$5:$D$1504,"تسليم",$E$5:$E$1504,"&lt;="&amp;$E652)=0),"لا يوجد تسليم قبل الحركة دي",""))))))</f>
        <v/>
      </c>
    </row>
    <row r="653" customFormat="false" ht="15" hidden="false" customHeight="false" outlineLevel="0" collapsed="false">
      <c r="A653" s="20"/>
      <c r="B653" s="35" t="str">
        <f aca="false">IF($A653="","",IFERROR(INDEX(مخرج_البند,MATCH($A653,قائمة_المخرجات,0)),""))</f>
        <v/>
      </c>
      <c r="C653" s="30" t="str">
        <f aca="false">IF($A653="","",IFERROR(INDEX(مخرج_الوصف,MATCH($A653,قائمة_المخرجات,0)),""))</f>
        <v/>
      </c>
      <c r="D653" s="20"/>
      <c r="E653" s="31"/>
      <c r="F653" s="22"/>
      <c r="G653" s="36" t="str">
        <f aca="false">IF(OR($A653="",$D653&lt;&gt;"تسليم",NOT(ISNUMBER($E653))),"",COUNTIFS($A$5:$A$1504,$A653,$D$5:$D$1504,"تسليم",$E$5:$E$1504,"&lt;"&amp;$E653)+1)</f>
        <v/>
      </c>
      <c r="H653" s="33" t="str">
        <f aca="false">IF($G653="","",_xlfn.MINIFS($E$5:$E$1504,$A$5:$A$1504,$A653,$D$5:$D$1504,"&lt;&gt;تسليم",$E$5:$E$1504,"&gt;="&amp;$E653))</f>
        <v/>
      </c>
      <c r="I653" s="33" t="str">
        <f aca="false">IF($G653="","",_xlfn.MINIFS($E$5:$E$1504,$A$5:$A$1504,$A653,$D$5:$D$1504,"تسليم",$E$5:$E$1504,"&gt;"&amp;$E653))</f>
        <v/>
      </c>
      <c r="J653" s="33" t="str">
        <f aca="false">IF($G653="","",IF(H653&gt;0,IF(I653&gt;0,MIN(H653,I653),H653),IF(I653&gt;0,I653,تاريخ_الاحتساب)))</f>
        <v/>
      </c>
      <c r="K653" s="34" t="str">
        <f aca="false">IF($G653="","",IF(AND(H653=0,I653=0),"جارية","مغلقة"))</f>
        <v/>
      </c>
      <c r="L653" s="26" t="str">
        <f aca="false">IF($G653="","",MAX(0,NETWORKDAYS.INTL($E653,J653,رمز_العطلة,أيام_الأجازات)-1))</f>
        <v/>
      </c>
      <c r="M653" s="26" t="str">
        <f aca="false">IF($G653="","",MAX(0,L653-مهلة_المراجعة))</f>
        <v/>
      </c>
      <c r="N653" s="30" t="str">
        <f aca="false">IF($A653="",IF(OR($D653&lt;&gt;"",$E653&lt;&gt;""),"رقم المخرج ناقص",""),IF(ISNA(MATCH($A653,قائمة_المخرجات,0)),"رقم مخرج غير موجود",IF($D653="","نوع الحركة ناقص",IF(NOT(ISNUMBER($E653)),"التاريخ ناقص",IF($E653&gt;تاريخ_الاحتساب,"تاريخ بعد تاريخ الاحتساب",IF(AND($D653&lt;&gt;"تسليم",COUNTIFS($A$5:$A$1504,$A653,$D$5:$D$1504,"تسليم",$E$5:$E$1504,"&lt;="&amp;$E653)=0),"لا يوجد تسليم قبل الحركة دي",""))))))</f>
        <v/>
      </c>
    </row>
    <row r="654" customFormat="false" ht="15" hidden="false" customHeight="false" outlineLevel="0" collapsed="false">
      <c r="A654" s="20"/>
      <c r="B654" s="35" t="str">
        <f aca="false">IF($A654="","",IFERROR(INDEX(مخرج_البند,MATCH($A654,قائمة_المخرجات,0)),""))</f>
        <v/>
      </c>
      <c r="C654" s="30" t="str">
        <f aca="false">IF($A654="","",IFERROR(INDEX(مخرج_الوصف,MATCH($A654,قائمة_المخرجات,0)),""))</f>
        <v/>
      </c>
      <c r="D654" s="20"/>
      <c r="E654" s="31"/>
      <c r="F654" s="22"/>
      <c r="G654" s="36" t="str">
        <f aca="false">IF(OR($A654="",$D654&lt;&gt;"تسليم",NOT(ISNUMBER($E654))),"",COUNTIFS($A$5:$A$1504,$A654,$D$5:$D$1504,"تسليم",$E$5:$E$1504,"&lt;"&amp;$E654)+1)</f>
        <v/>
      </c>
      <c r="H654" s="33" t="str">
        <f aca="false">IF($G654="","",_xlfn.MINIFS($E$5:$E$1504,$A$5:$A$1504,$A654,$D$5:$D$1504,"&lt;&gt;تسليم",$E$5:$E$1504,"&gt;="&amp;$E654))</f>
        <v/>
      </c>
      <c r="I654" s="33" t="str">
        <f aca="false">IF($G654="","",_xlfn.MINIFS($E$5:$E$1504,$A$5:$A$1504,$A654,$D$5:$D$1504,"تسليم",$E$5:$E$1504,"&gt;"&amp;$E654))</f>
        <v/>
      </c>
      <c r="J654" s="33" t="str">
        <f aca="false">IF($G654="","",IF(H654&gt;0,IF(I654&gt;0,MIN(H654,I654),H654),IF(I654&gt;0,I654,تاريخ_الاحتساب)))</f>
        <v/>
      </c>
      <c r="K654" s="34" t="str">
        <f aca="false">IF($G654="","",IF(AND(H654=0,I654=0),"جارية","مغلقة"))</f>
        <v/>
      </c>
      <c r="L654" s="26" t="str">
        <f aca="false">IF($G654="","",MAX(0,NETWORKDAYS.INTL($E654,J654,رمز_العطلة,أيام_الأجازات)-1))</f>
        <v/>
      </c>
      <c r="M654" s="26" t="str">
        <f aca="false">IF($G654="","",MAX(0,L654-مهلة_المراجعة))</f>
        <v/>
      </c>
      <c r="N654" s="30" t="str">
        <f aca="false">IF($A654="",IF(OR($D654&lt;&gt;"",$E654&lt;&gt;""),"رقم المخرج ناقص",""),IF(ISNA(MATCH($A654,قائمة_المخرجات,0)),"رقم مخرج غير موجود",IF($D654="","نوع الحركة ناقص",IF(NOT(ISNUMBER($E654)),"التاريخ ناقص",IF($E654&gt;تاريخ_الاحتساب,"تاريخ بعد تاريخ الاحتساب",IF(AND($D654&lt;&gt;"تسليم",COUNTIFS($A$5:$A$1504,$A654,$D$5:$D$1504,"تسليم",$E$5:$E$1504,"&lt;="&amp;$E654)=0),"لا يوجد تسليم قبل الحركة دي",""))))))</f>
        <v/>
      </c>
    </row>
    <row r="655" customFormat="false" ht="15" hidden="false" customHeight="false" outlineLevel="0" collapsed="false">
      <c r="A655" s="20"/>
      <c r="B655" s="35" t="str">
        <f aca="false">IF($A655="","",IFERROR(INDEX(مخرج_البند,MATCH($A655,قائمة_المخرجات,0)),""))</f>
        <v/>
      </c>
      <c r="C655" s="30" t="str">
        <f aca="false">IF($A655="","",IFERROR(INDEX(مخرج_الوصف,MATCH($A655,قائمة_المخرجات,0)),""))</f>
        <v/>
      </c>
      <c r="D655" s="20"/>
      <c r="E655" s="31"/>
      <c r="F655" s="22"/>
      <c r="G655" s="36" t="str">
        <f aca="false">IF(OR($A655="",$D655&lt;&gt;"تسليم",NOT(ISNUMBER($E655))),"",COUNTIFS($A$5:$A$1504,$A655,$D$5:$D$1504,"تسليم",$E$5:$E$1504,"&lt;"&amp;$E655)+1)</f>
        <v/>
      </c>
      <c r="H655" s="33" t="str">
        <f aca="false">IF($G655="","",_xlfn.MINIFS($E$5:$E$1504,$A$5:$A$1504,$A655,$D$5:$D$1504,"&lt;&gt;تسليم",$E$5:$E$1504,"&gt;="&amp;$E655))</f>
        <v/>
      </c>
      <c r="I655" s="33" t="str">
        <f aca="false">IF($G655="","",_xlfn.MINIFS($E$5:$E$1504,$A$5:$A$1504,$A655,$D$5:$D$1504,"تسليم",$E$5:$E$1504,"&gt;"&amp;$E655))</f>
        <v/>
      </c>
      <c r="J655" s="33" t="str">
        <f aca="false">IF($G655="","",IF(H655&gt;0,IF(I655&gt;0,MIN(H655,I655),H655),IF(I655&gt;0,I655,تاريخ_الاحتساب)))</f>
        <v/>
      </c>
      <c r="K655" s="34" t="str">
        <f aca="false">IF($G655="","",IF(AND(H655=0,I655=0),"جارية","مغلقة"))</f>
        <v/>
      </c>
      <c r="L655" s="26" t="str">
        <f aca="false">IF($G655="","",MAX(0,NETWORKDAYS.INTL($E655,J655,رمز_العطلة,أيام_الأجازات)-1))</f>
        <v/>
      </c>
      <c r="M655" s="26" t="str">
        <f aca="false">IF($G655="","",MAX(0,L655-مهلة_المراجعة))</f>
        <v/>
      </c>
      <c r="N655" s="30" t="str">
        <f aca="false">IF($A655="",IF(OR($D655&lt;&gt;"",$E655&lt;&gt;""),"رقم المخرج ناقص",""),IF(ISNA(MATCH($A655,قائمة_المخرجات,0)),"رقم مخرج غير موجود",IF($D655="","نوع الحركة ناقص",IF(NOT(ISNUMBER($E655)),"التاريخ ناقص",IF($E655&gt;تاريخ_الاحتساب,"تاريخ بعد تاريخ الاحتساب",IF(AND($D655&lt;&gt;"تسليم",COUNTIFS($A$5:$A$1504,$A655,$D$5:$D$1504,"تسليم",$E$5:$E$1504,"&lt;="&amp;$E655)=0),"لا يوجد تسليم قبل الحركة دي",""))))))</f>
        <v/>
      </c>
    </row>
    <row r="656" customFormat="false" ht="15" hidden="false" customHeight="false" outlineLevel="0" collapsed="false">
      <c r="A656" s="20"/>
      <c r="B656" s="35" t="str">
        <f aca="false">IF($A656="","",IFERROR(INDEX(مخرج_البند,MATCH($A656,قائمة_المخرجات,0)),""))</f>
        <v/>
      </c>
      <c r="C656" s="30" t="str">
        <f aca="false">IF($A656="","",IFERROR(INDEX(مخرج_الوصف,MATCH($A656,قائمة_المخرجات,0)),""))</f>
        <v/>
      </c>
      <c r="D656" s="20"/>
      <c r="E656" s="31"/>
      <c r="F656" s="22"/>
      <c r="G656" s="36" t="str">
        <f aca="false">IF(OR($A656="",$D656&lt;&gt;"تسليم",NOT(ISNUMBER($E656))),"",COUNTIFS($A$5:$A$1504,$A656,$D$5:$D$1504,"تسليم",$E$5:$E$1504,"&lt;"&amp;$E656)+1)</f>
        <v/>
      </c>
      <c r="H656" s="33" t="str">
        <f aca="false">IF($G656="","",_xlfn.MINIFS($E$5:$E$1504,$A$5:$A$1504,$A656,$D$5:$D$1504,"&lt;&gt;تسليم",$E$5:$E$1504,"&gt;="&amp;$E656))</f>
        <v/>
      </c>
      <c r="I656" s="33" t="str">
        <f aca="false">IF($G656="","",_xlfn.MINIFS($E$5:$E$1504,$A$5:$A$1504,$A656,$D$5:$D$1504,"تسليم",$E$5:$E$1504,"&gt;"&amp;$E656))</f>
        <v/>
      </c>
      <c r="J656" s="33" t="str">
        <f aca="false">IF($G656="","",IF(H656&gt;0,IF(I656&gt;0,MIN(H656,I656),H656),IF(I656&gt;0,I656,تاريخ_الاحتساب)))</f>
        <v/>
      </c>
      <c r="K656" s="34" t="str">
        <f aca="false">IF($G656="","",IF(AND(H656=0,I656=0),"جارية","مغلقة"))</f>
        <v/>
      </c>
      <c r="L656" s="26" t="str">
        <f aca="false">IF($G656="","",MAX(0,NETWORKDAYS.INTL($E656,J656,رمز_العطلة,أيام_الأجازات)-1))</f>
        <v/>
      </c>
      <c r="M656" s="26" t="str">
        <f aca="false">IF($G656="","",MAX(0,L656-مهلة_المراجعة))</f>
        <v/>
      </c>
      <c r="N656" s="30" t="str">
        <f aca="false">IF($A656="",IF(OR($D656&lt;&gt;"",$E656&lt;&gt;""),"رقم المخرج ناقص",""),IF(ISNA(MATCH($A656,قائمة_المخرجات,0)),"رقم مخرج غير موجود",IF($D656="","نوع الحركة ناقص",IF(NOT(ISNUMBER($E656)),"التاريخ ناقص",IF($E656&gt;تاريخ_الاحتساب,"تاريخ بعد تاريخ الاحتساب",IF(AND($D656&lt;&gt;"تسليم",COUNTIFS($A$5:$A$1504,$A656,$D$5:$D$1504,"تسليم",$E$5:$E$1504,"&lt;="&amp;$E656)=0),"لا يوجد تسليم قبل الحركة دي",""))))))</f>
        <v/>
      </c>
    </row>
    <row r="657" customFormat="false" ht="15" hidden="false" customHeight="false" outlineLevel="0" collapsed="false">
      <c r="A657" s="20"/>
      <c r="B657" s="35" t="str">
        <f aca="false">IF($A657="","",IFERROR(INDEX(مخرج_البند,MATCH($A657,قائمة_المخرجات,0)),""))</f>
        <v/>
      </c>
      <c r="C657" s="30" t="str">
        <f aca="false">IF($A657="","",IFERROR(INDEX(مخرج_الوصف,MATCH($A657,قائمة_المخرجات,0)),""))</f>
        <v/>
      </c>
      <c r="D657" s="20"/>
      <c r="E657" s="31"/>
      <c r="F657" s="22"/>
      <c r="G657" s="36" t="str">
        <f aca="false">IF(OR($A657="",$D657&lt;&gt;"تسليم",NOT(ISNUMBER($E657))),"",COUNTIFS($A$5:$A$1504,$A657,$D$5:$D$1504,"تسليم",$E$5:$E$1504,"&lt;"&amp;$E657)+1)</f>
        <v/>
      </c>
      <c r="H657" s="33" t="str">
        <f aca="false">IF($G657="","",_xlfn.MINIFS($E$5:$E$1504,$A$5:$A$1504,$A657,$D$5:$D$1504,"&lt;&gt;تسليم",$E$5:$E$1504,"&gt;="&amp;$E657))</f>
        <v/>
      </c>
      <c r="I657" s="33" t="str">
        <f aca="false">IF($G657="","",_xlfn.MINIFS($E$5:$E$1504,$A$5:$A$1504,$A657,$D$5:$D$1504,"تسليم",$E$5:$E$1504,"&gt;"&amp;$E657))</f>
        <v/>
      </c>
      <c r="J657" s="33" t="str">
        <f aca="false">IF($G657="","",IF(H657&gt;0,IF(I657&gt;0,MIN(H657,I657),H657),IF(I657&gt;0,I657,تاريخ_الاحتساب)))</f>
        <v/>
      </c>
      <c r="K657" s="34" t="str">
        <f aca="false">IF($G657="","",IF(AND(H657=0,I657=0),"جارية","مغلقة"))</f>
        <v/>
      </c>
      <c r="L657" s="26" t="str">
        <f aca="false">IF($G657="","",MAX(0,NETWORKDAYS.INTL($E657,J657,رمز_العطلة,أيام_الأجازات)-1))</f>
        <v/>
      </c>
      <c r="M657" s="26" t="str">
        <f aca="false">IF($G657="","",MAX(0,L657-مهلة_المراجعة))</f>
        <v/>
      </c>
      <c r="N657" s="30" t="str">
        <f aca="false">IF($A657="",IF(OR($D657&lt;&gt;"",$E657&lt;&gt;""),"رقم المخرج ناقص",""),IF(ISNA(MATCH($A657,قائمة_المخرجات,0)),"رقم مخرج غير موجود",IF($D657="","نوع الحركة ناقص",IF(NOT(ISNUMBER($E657)),"التاريخ ناقص",IF($E657&gt;تاريخ_الاحتساب,"تاريخ بعد تاريخ الاحتساب",IF(AND($D657&lt;&gt;"تسليم",COUNTIFS($A$5:$A$1504,$A657,$D$5:$D$1504,"تسليم",$E$5:$E$1504,"&lt;="&amp;$E657)=0),"لا يوجد تسليم قبل الحركة دي",""))))))</f>
        <v/>
      </c>
    </row>
    <row r="658" customFormat="false" ht="15" hidden="false" customHeight="false" outlineLevel="0" collapsed="false">
      <c r="A658" s="20"/>
      <c r="B658" s="35" t="str">
        <f aca="false">IF($A658="","",IFERROR(INDEX(مخرج_البند,MATCH($A658,قائمة_المخرجات,0)),""))</f>
        <v/>
      </c>
      <c r="C658" s="30" t="str">
        <f aca="false">IF($A658="","",IFERROR(INDEX(مخرج_الوصف,MATCH($A658,قائمة_المخرجات,0)),""))</f>
        <v/>
      </c>
      <c r="D658" s="20"/>
      <c r="E658" s="31"/>
      <c r="F658" s="22"/>
      <c r="G658" s="36" t="str">
        <f aca="false">IF(OR($A658="",$D658&lt;&gt;"تسليم",NOT(ISNUMBER($E658))),"",COUNTIFS($A$5:$A$1504,$A658,$D$5:$D$1504,"تسليم",$E$5:$E$1504,"&lt;"&amp;$E658)+1)</f>
        <v/>
      </c>
      <c r="H658" s="33" t="str">
        <f aca="false">IF($G658="","",_xlfn.MINIFS($E$5:$E$1504,$A$5:$A$1504,$A658,$D$5:$D$1504,"&lt;&gt;تسليم",$E$5:$E$1504,"&gt;="&amp;$E658))</f>
        <v/>
      </c>
      <c r="I658" s="33" t="str">
        <f aca="false">IF($G658="","",_xlfn.MINIFS($E$5:$E$1504,$A$5:$A$1504,$A658,$D$5:$D$1504,"تسليم",$E$5:$E$1504,"&gt;"&amp;$E658))</f>
        <v/>
      </c>
      <c r="J658" s="33" t="str">
        <f aca="false">IF($G658="","",IF(H658&gt;0,IF(I658&gt;0,MIN(H658,I658),H658),IF(I658&gt;0,I658,تاريخ_الاحتساب)))</f>
        <v/>
      </c>
      <c r="K658" s="34" t="str">
        <f aca="false">IF($G658="","",IF(AND(H658=0,I658=0),"جارية","مغلقة"))</f>
        <v/>
      </c>
      <c r="L658" s="26" t="str">
        <f aca="false">IF($G658="","",MAX(0,NETWORKDAYS.INTL($E658,J658,رمز_العطلة,أيام_الأجازات)-1))</f>
        <v/>
      </c>
      <c r="M658" s="26" t="str">
        <f aca="false">IF($G658="","",MAX(0,L658-مهلة_المراجعة))</f>
        <v/>
      </c>
      <c r="N658" s="30" t="str">
        <f aca="false">IF($A658="",IF(OR($D658&lt;&gt;"",$E658&lt;&gt;""),"رقم المخرج ناقص",""),IF(ISNA(MATCH($A658,قائمة_المخرجات,0)),"رقم مخرج غير موجود",IF($D658="","نوع الحركة ناقص",IF(NOT(ISNUMBER($E658)),"التاريخ ناقص",IF($E658&gt;تاريخ_الاحتساب,"تاريخ بعد تاريخ الاحتساب",IF(AND($D658&lt;&gt;"تسليم",COUNTIFS($A$5:$A$1504,$A658,$D$5:$D$1504,"تسليم",$E$5:$E$1504,"&lt;="&amp;$E658)=0),"لا يوجد تسليم قبل الحركة دي",""))))))</f>
        <v/>
      </c>
    </row>
    <row r="659" customFormat="false" ht="15" hidden="false" customHeight="false" outlineLevel="0" collapsed="false">
      <c r="A659" s="20"/>
      <c r="B659" s="35" t="str">
        <f aca="false">IF($A659="","",IFERROR(INDEX(مخرج_البند,MATCH($A659,قائمة_المخرجات,0)),""))</f>
        <v/>
      </c>
      <c r="C659" s="30" t="str">
        <f aca="false">IF($A659="","",IFERROR(INDEX(مخرج_الوصف,MATCH($A659,قائمة_المخرجات,0)),""))</f>
        <v/>
      </c>
      <c r="D659" s="20"/>
      <c r="E659" s="31"/>
      <c r="F659" s="22"/>
      <c r="G659" s="36" t="str">
        <f aca="false">IF(OR($A659="",$D659&lt;&gt;"تسليم",NOT(ISNUMBER($E659))),"",COUNTIFS($A$5:$A$1504,$A659,$D$5:$D$1504,"تسليم",$E$5:$E$1504,"&lt;"&amp;$E659)+1)</f>
        <v/>
      </c>
      <c r="H659" s="33" t="str">
        <f aca="false">IF($G659="","",_xlfn.MINIFS($E$5:$E$1504,$A$5:$A$1504,$A659,$D$5:$D$1504,"&lt;&gt;تسليم",$E$5:$E$1504,"&gt;="&amp;$E659))</f>
        <v/>
      </c>
      <c r="I659" s="33" t="str">
        <f aca="false">IF($G659="","",_xlfn.MINIFS($E$5:$E$1504,$A$5:$A$1504,$A659,$D$5:$D$1504,"تسليم",$E$5:$E$1504,"&gt;"&amp;$E659))</f>
        <v/>
      </c>
      <c r="J659" s="33" t="str">
        <f aca="false">IF($G659="","",IF(H659&gt;0,IF(I659&gt;0,MIN(H659,I659),H659),IF(I659&gt;0,I659,تاريخ_الاحتساب)))</f>
        <v/>
      </c>
      <c r="K659" s="34" t="str">
        <f aca="false">IF($G659="","",IF(AND(H659=0,I659=0),"جارية","مغلقة"))</f>
        <v/>
      </c>
      <c r="L659" s="26" t="str">
        <f aca="false">IF($G659="","",MAX(0,NETWORKDAYS.INTL($E659,J659,رمز_العطلة,أيام_الأجازات)-1))</f>
        <v/>
      </c>
      <c r="M659" s="26" t="str">
        <f aca="false">IF($G659="","",MAX(0,L659-مهلة_المراجعة))</f>
        <v/>
      </c>
      <c r="N659" s="30" t="str">
        <f aca="false">IF($A659="",IF(OR($D659&lt;&gt;"",$E659&lt;&gt;""),"رقم المخرج ناقص",""),IF(ISNA(MATCH($A659,قائمة_المخرجات,0)),"رقم مخرج غير موجود",IF($D659="","نوع الحركة ناقص",IF(NOT(ISNUMBER($E659)),"التاريخ ناقص",IF($E659&gt;تاريخ_الاحتساب,"تاريخ بعد تاريخ الاحتساب",IF(AND($D659&lt;&gt;"تسليم",COUNTIFS($A$5:$A$1504,$A659,$D$5:$D$1504,"تسليم",$E$5:$E$1504,"&lt;="&amp;$E659)=0),"لا يوجد تسليم قبل الحركة دي",""))))))</f>
        <v/>
      </c>
    </row>
    <row r="660" customFormat="false" ht="15" hidden="false" customHeight="false" outlineLevel="0" collapsed="false">
      <c r="A660" s="20"/>
      <c r="B660" s="35" t="str">
        <f aca="false">IF($A660="","",IFERROR(INDEX(مخرج_البند,MATCH($A660,قائمة_المخرجات,0)),""))</f>
        <v/>
      </c>
      <c r="C660" s="30" t="str">
        <f aca="false">IF($A660="","",IFERROR(INDEX(مخرج_الوصف,MATCH($A660,قائمة_المخرجات,0)),""))</f>
        <v/>
      </c>
      <c r="D660" s="20"/>
      <c r="E660" s="31"/>
      <c r="F660" s="22"/>
      <c r="G660" s="36" t="str">
        <f aca="false">IF(OR($A660="",$D660&lt;&gt;"تسليم",NOT(ISNUMBER($E660))),"",COUNTIFS($A$5:$A$1504,$A660,$D$5:$D$1504,"تسليم",$E$5:$E$1504,"&lt;"&amp;$E660)+1)</f>
        <v/>
      </c>
      <c r="H660" s="33" t="str">
        <f aca="false">IF($G660="","",_xlfn.MINIFS($E$5:$E$1504,$A$5:$A$1504,$A660,$D$5:$D$1504,"&lt;&gt;تسليم",$E$5:$E$1504,"&gt;="&amp;$E660))</f>
        <v/>
      </c>
      <c r="I660" s="33" t="str">
        <f aca="false">IF($G660="","",_xlfn.MINIFS($E$5:$E$1504,$A$5:$A$1504,$A660,$D$5:$D$1504,"تسليم",$E$5:$E$1504,"&gt;"&amp;$E660))</f>
        <v/>
      </c>
      <c r="J660" s="33" t="str">
        <f aca="false">IF($G660="","",IF(H660&gt;0,IF(I660&gt;0,MIN(H660,I660),H660),IF(I660&gt;0,I660,تاريخ_الاحتساب)))</f>
        <v/>
      </c>
      <c r="K660" s="34" t="str">
        <f aca="false">IF($G660="","",IF(AND(H660=0,I660=0),"جارية","مغلقة"))</f>
        <v/>
      </c>
      <c r="L660" s="26" t="str">
        <f aca="false">IF($G660="","",MAX(0,NETWORKDAYS.INTL($E660,J660,رمز_العطلة,أيام_الأجازات)-1))</f>
        <v/>
      </c>
      <c r="M660" s="26" t="str">
        <f aca="false">IF($G660="","",MAX(0,L660-مهلة_المراجعة))</f>
        <v/>
      </c>
      <c r="N660" s="30" t="str">
        <f aca="false">IF($A660="",IF(OR($D660&lt;&gt;"",$E660&lt;&gt;""),"رقم المخرج ناقص",""),IF(ISNA(MATCH($A660,قائمة_المخرجات,0)),"رقم مخرج غير موجود",IF($D660="","نوع الحركة ناقص",IF(NOT(ISNUMBER($E660)),"التاريخ ناقص",IF($E660&gt;تاريخ_الاحتساب,"تاريخ بعد تاريخ الاحتساب",IF(AND($D660&lt;&gt;"تسليم",COUNTIFS($A$5:$A$1504,$A660,$D$5:$D$1504,"تسليم",$E$5:$E$1504,"&lt;="&amp;$E660)=0),"لا يوجد تسليم قبل الحركة دي",""))))))</f>
        <v/>
      </c>
    </row>
    <row r="661" customFormat="false" ht="15" hidden="false" customHeight="false" outlineLevel="0" collapsed="false">
      <c r="A661" s="20"/>
      <c r="B661" s="35" t="str">
        <f aca="false">IF($A661="","",IFERROR(INDEX(مخرج_البند,MATCH($A661,قائمة_المخرجات,0)),""))</f>
        <v/>
      </c>
      <c r="C661" s="30" t="str">
        <f aca="false">IF($A661="","",IFERROR(INDEX(مخرج_الوصف,MATCH($A661,قائمة_المخرجات,0)),""))</f>
        <v/>
      </c>
      <c r="D661" s="20"/>
      <c r="E661" s="31"/>
      <c r="F661" s="22"/>
      <c r="G661" s="36" t="str">
        <f aca="false">IF(OR($A661="",$D661&lt;&gt;"تسليم",NOT(ISNUMBER($E661))),"",COUNTIFS($A$5:$A$1504,$A661,$D$5:$D$1504,"تسليم",$E$5:$E$1504,"&lt;"&amp;$E661)+1)</f>
        <v/>
      </c>
      <c r="H661" s="33" t="str">
        <f aca="false">IF($G661="","",_xlfn.MINIFS($E$5:$E$1504,$A$5:$A$1504,$A661,$D$5:$D$1504,"&lt;&gt;تسليم",$E$5:$E$1504,"&gt;="&amp;$E661))</f>
        <v/>
      </c>
      <c r="I661" s="33" t="str">
        <f aca="false">IF($G661="","",_xlfn.MINIFS($E$5:$E$1504,$A$5:$A$1504,$A661,$D$5:$D$1504,"تسليم",$E$5:$E$1504,"&gt;"&amp;$E661))</f>
        <v/>
      </c>
      <c r="J661" s="33" t="str">
        <f aca="false">IF($G661="","",IF(H661&gt;0,IF(I661&gt;0,MIN(H661,I661),H661),IF(I661&gt;0,I661,تاريخ_الاحتساب)))</f>
        <v/>
      </c>
      <c r="K661" s="34" t="str">
        <f aca="false">IF($G661="","",IF(AND(H661=0,I661=0),"جارية","مغلقة"))</f>
        <v/>
      </c>
      <c r="L661" s="26" t="str">
        <f aca="false">IF($G661="","",MAX(0,NETWORKDAYS.INTL($E661,J661,رمز_العطلة,أيام_الأجازات)-1))</f>
        <v/>
      </c>
      <c r="M661" s="26" t="str">
        <f aca="false">IF($G661="","",MAX(0,L661-مهلة_المراجعة))</f>
        <v/>
      </c>
      <c r="N661" s="30" t="str">
        <f aca="false">IF($A661="",IF(OR($D661&lt;&gt;"",$E661&lt;&gt;""),"رقم المخرج ناقص",""),IF(ISNA(MATCH($A661,قائمة_المخرجات,0)),"رقم مخرج غير موجود",IF($D661="","نوع الحركة ناقص",IF(NOT(ISNUMBER($E661)),"التاريخ ناقص",IF($E661&gt;تاريخ_الاحتساب,"تاريخ بعد تاريخ الاحتساب",IF(AND($D661&lt;&gt;"تسليم",COUNTIFS($A$5:$A$1504,$A661,$D$5:$D$1504,"تسليم",$E$5:$E$1504,"&lt;="&amp;$E661)=0),"لا يوجد تسليم قبل الحركة دي",""))))))</f>
        <v/>
      </c>
    </row>
    <row r="662" customFormat="false" ht="15" hidden="false" customHeight="false" outlineLevel="0" collapsed="false">
      <c r="A662" s="20"/>
      <c r="B662" s="35" t="str">
        <f aca="false">IF($A662="","",IFERROR(INDEX(مخرج_البند,MATCH($A662,قائمة_المخرجات,0)),""))</f>
        <v/>
      </c>
      <c r="C662" s="30" t="str">
        <f aca="false">IF($A662="","",IFERROR(INDEX(مخرج_الوصف,MATCH($A662,قائمة_المخرجات,0)),""))</f>
        <v/>
      </c>
      <c r="D662" s="20"/>
      <c r="E662" s="31"/>
      <c r="F662" s="22"/>
      <c r="G662" s="36" t="str">
        <f aca="false">IF(OR($A662="",$D662&lt;&gt;"تسليم",NOT(ISNUMBER($E662))),"",COUNTIFS($A$5:$A$1504,$A662,$D$5:$D$1504,"تسليم",$E$5:$E$1504,"&lt;"&amp;$E662)+1)</f>
        <v/>
      </c>
      <c r="H662" s="33" t="str">
        <f aca="false">IF($G662="","",_xlfn.MINIFS($E$5:$E$1504,$A$5:$A$1504,$A662,$D$5:$D$1504,"&lt;&gt;تسليم",$E$5:$E$1504,"&gt;="&amp;$E662))</f>
        <v/>
      </c>
      <c r="I662" s="33" t="str">
        <f aca="false">IF($G662="","",_xlfn.MINIFS($E$5:$E$1504,$A$5:$A$1504,$A662,$D$5:$D$1504,"تسليم",$E$5:$E$1504,"&gt;"&amp;$E662))</f>
        <v/>
      </c>
      <c r="J662" s="33" t="str">
        <f aca="false">IF($G662="","",IF(H662&gt;0,IF(I662&gt;0,MIN(H662,I662),H662),IF(I662&gt;0,I662,تاريخ_الاحتساب)))</f>
        <v/>
      </c>
      <c r="K662" s="34" t="str">
        <f aca="false">IF($G662="","",IF(AND(H662=0,I662=0),"جارية","مغلقة"))</f>
        <v/>
      </c>
      <c r="L662" s="26" t="str">
        <f aca="false">IF($G662="","",MAX(0,NETWORKDAYS.INTL($E662,J662,رمز_العطلة,أيام_الأجازات)-1))</f>
        <v/>
      </c>
      <c r="M662" s="26" t="str">
        <f aca="false">IF($G662="","",MAX(0,L662-مهلة_المراجعة))</f>
        <v/>
      </c>
      <c r="N662" s="30" t="str">
        <f aca="false">IF($A662="",IF(OR($D662&lt;&gt;"",$E662&lt;&gt;""),"رقم المخرج ناقص",""),IF(ISNA(MATCH($A662,قائمة_المخرجات,0)),"رقم مخرج غير موجود",IF($D662="","نوع الحركة ناقص",IF(NOT(ISNUMBER($E662)),"التاريخ ناقص",IF($E662&gt;تاريخ_الاحتساب,"تاريخ بعد تاريخ الاحتساب",IF(AND($D662&lt;&gt;"تسليم",COUNTIFS($A$5:$A$1504,$A662,$D$5:$D$1504,"تسليم",$E$5:$E$1504,"&lt;="&amp;$E662)=0),"لا يوجد تسليم قبل الحركة دي",""))))))</f>
        <v/>
      </c>
    </row>
    <row r="663" customFormat="false" ht="15" hidden="false" customHeight="false" outlineLevel="0" collapsed="false">
      <c r="A663" s="20"/>
      <c r="B663" s="35" t="str">
        <f aca="false">IF($A663="","",IFERROR(INDEX(مخرج_البند,MATCH($A663,قائمة_المخرجات,0)),""))</f>
        <v/>
      </c>
      <c r="C663" s="30" t="str">
        <f aca="false">IF($A663="","",IFERROR(INDEX(مخرج_الوصف,MATCH($A663,قائمة_المخرجات,0)),""))</f>
        <v/>
      </c>
      <c r="D663" s="20"/>
      <c r="E663" s="31"/>
      <c r="F663" s="22"/>
      <c r="G663" s="36" t="str">
        <f aca="false">IF(OR($A663="",$D663&lt;&gt;"تسليم",NOT(ISNUMBER($E663))),"",COUNTIFS($A$5:$A$1504,$A663,$D$5:$D$1504,"تسليم",$E$5:$E$1504,"&lt;"&amp;$E663)+1)</f>
        <v/>
      </c>
      <c r="H663" s="33" t="str">
        <f aca="false">IF($G663="","",_xlfn.MINIFS($E$5:$E$1504,$A$5:$A$1504,$A663,$D$5:$D$1504,"&lt;&gt;تسليم",$E$5:$E$1504,"&gt;="&amp;$E663))</f>
        <v/>
      </c>
      <c r="I663" s="33" t="str">
        <f aca="false">IF($G663="","",_xlfn.MINIFS($E$5:$E$1504,$A$5:$A$1504,$A663,$D$5:$D$1504,"تسليم",$E$5:$E$1504,"&gt;"&amp;$E663))</f>
        <v/>
      </c>
      <c r="J663" s="33" t="str">
        <f aca="false">IF($G663="","",IF(H663&gt;0,IF(I663&gt;0,MIN(H663,I663),H663),IF(I663&gt;0,I663,تاريخ_الاحتساب)))</f>
        <v/>
      </c>
      <c r="K663" s="34" t="str">
        <f aca="false">IF($G663="","",IF(AND(H663=0,I663=0),"جارية","مغلقة"))</f>
        <v/>
      </c>
      <c r="L663" s="26" t="str">
        <f aca="false">IF($G663="","",MAX(0,NETWORKDAYS.INTL($E663,J663,رمز_العطلة,أيام_الأجازات)-1))</f>
        <v/>
      </c>
      <c r="M663" s="26" t="str">
        <f aca="false">IF($G663="","",MAX(0,L663-مهلة_المراجعة))</f>
        <v/>
      </c>
      <c r="N663" s="30" t="str">
        <f aca="false">IF($A663="",IF(OR($D663&lt;&gt;"",$E663&lt;&gt;""),"رقم المخرج ناقص",""),IF(ISNA(MATCH($A663,قائمة_المخرجات,0)),"رقم مخرج غير موجود",IF($D663="","نوع الحركة ناقص",IF(NOT(ISNUMBER($E663)),"التاريخ ناقص",IF($E663&gt;تاريخ_الاحتساب,"تاريخ بعد تاريخ الاحتساب",IF(AND($D663&lt;&gt;"تسليم",COUNTIFS($A$5:$A$1504,$A663,$D$5:$D$1504,"تسليم",$E$5:$E$1504,"&lt;="&amp;$E663)=0),"لا يوجد تسليم قبل الحركة دي",""))))))</f>
        <v/>
      </c>
    </row>
    <row r="664" customFormat="false" ht="15" hidden="false" customHeight="false" outlineLevel="0" collapsed="false">
      <c r="A664" s="20"/>
      <c r="B664" s="35" t="str">
        <f aca="false">IF($A664="","",IFERROR(INDEX(مخرج_البند,MATCH($A664,قائمة_المخرجات,0)),""))</f>
        <v/>
      </c>
      <c r="C664" s="30" t="str">
        <f aca="false">IF($A664="","",IFERROR(INDEX(مخرج_الوصف,MATCH($A664,قائمة_المخرجات,0)),""))</f>
        <v/>
      </c>
      <c r="D664" s="20"/>
      <c r="E664" s="31"/>
      <c r="F664" s="22"/>
      <c r="G664" s="36" t="str">
        <f aca="false">IF(OR($A664="",$D664&lt;&gt;"تسليم",NOT(ISNUMBER($E664))),"",COUNTIFS($A$5:$A$1504,$A664,$D$5:$D$1504,"تسليم",$E$5:$E$1504,"&lt;"&amp;$E664)+1)</f>
        <v/>
      </c>
      <c r="H664" s="33" t="str">
        <f aca="false">IF($G664="","",_xlfn.MINIFS($E$5:$E$1504,$A$5:$A$1504,$A664,$D$5:$D$1504,"&lt;&gt;تسليم",$E$5:$E$1504,"&gt;="&amp;$E664))</f>
        <v/>
      </c>
      <c r="I664" s="33" t="str">
        <f aca="false">IF($G664="","",_xlfn.MINIFS($E$5:$E$1504,$A$5:$A$1504,$A664,$D$5:$D$1504,"تسليم",$E$5:$E$1504,"&gt;"&amp;$E664))</f>
        <v/>
      </c>
      <c r="J664" s="33" t="str">
        <f aca="false">IF($G664="","",IF(H664&gt;0,IF(I664&gt;0,MIN(H664,I664),H664),IF(I664&gt;0,I664,تاريخ_الاحتساب)))</f>
        <v/>
      </c>
      <c r="K664" s="34" t="str">
        <f aca="false">IF($G664="","",IF(AND(H664=0,I664=0),"جارية","مغلقة"))</f>
        <v/>
      </c>
      <c r="L664" s="26" t="str">
        <f aca="false">IF($G664="","",MAX(0,NETWORKDAYS.INTL($E664,J664,رمز_العطلة,أيام_الأجازات)-1))</f>
        <v/>
      </c>
      <c r="M664" s="26" t="str">
        <f aca="false">IF($G664="","",MAX(0,L664-مهلة_المراجعة))</f>
        <v/>
      </c>
      <c r="N664" s="30" t="str">
        <f aca="false">IF($A664="",IF(OR($D664&lt;&gt;"",$E664&lt;&gt;""),"رقم المخرج ناقص",""),IF(ISNA(MATCH($A664,قائمة_المخرجات,0)),"رقم مخرج غير موجود",IF($D664="","نوع الحركة ناقص",IF(NOT(ISNUMBER($E664)),"التاريخ ناقص",IF($E664&gt;تاريخ_الاحتساب,"تاريخ بعد تاريخ الاحتساب",IF(AND($D664&lt;&gt;"تسليم",COUNTIFS($A$5:$A$1504,$A664,$D$5:$D$1504,"تسليم",$E$5:$E$1504,"&lt;="&amp;$E664)=0),"لا يوجد تسليم قبل الحركة دي",""))))))</f>
        <v/>
      </c>
    </row>
    <row r="665" customFormat="false" ht="15" hidden="false" customHeight="false" outlineLevel="0" collapsed="false">
      <c r="A665" s="20"/>
      <c r="B665" s="35" t="str">
        <f aca="false">IF($A665="","",IFERROR(INDEX(مخرج_البند,MATCH($A665,قائمة_المخرجات,0)),""))</f>
        <v/>
      </c>
      <c r="C665" s="30" t="str">
        <f aca="false">IF($A665="","",IFERROR(INDEX(مخرج_الوصف,MATCH($A665,قائمة_المخرجات,0)),""))</f>
        <v/>
      </c>
      <c r="D665" s="20"/>
      <c r="E665" s="31"/>
      <c r="F665" s="22"/>
      <c r="G665" s="36" t="str">
        <f aca="false">IF(OR($A665="",$D665&lt;&gt;"تسليم",NOT(ISNUMBER($E665))),"",COUNTIFS($A$5:$A$1504,$A665,$D$5:$D$1504,"تسليم",$E$5:$E$1504,"&lt;"&amp;$E665)+1)</f>
        <v/>
      </c>
      <c r="H665" s="33" t="str">
        <f aca="false">IF($G665="","",_xlfn.MINIFS($E$5:$E$1504,$A$5:$A$1504,$A665,$D$5:$D$1504,"&lt;&gt;تسليم",$E$5:$E$1504,"&gt;="&amp;$E665))</f>
        <v/>
      </c>
      <c r="I665" s="33" t="str">
        <f aca="false">IF($G665="","",_xlfn.MINIFS($E$5:$E$1504,$A$5:$A$1504,$A665,$D$5:$D$1504,"تسليم",$E$5:$E$1504,"&gt;"&amp;$E665))</f>
        <v/>
      </c>
      <c r="J665" s="33" t="str">
        <f aca="false">IF($G665="","",IF(H665&gt;0,IF(I665&gt;0,MIN(H665,I665),H665),IF(I665&gt;0,I665,تاريخ_الاحتساب)))</f>
        <v/>
      </c>
      <c r="K665" s="34" t="str">
        <f aca="false">IF($G665="","",IF(AND(H665=0,I665=0),"جارية","مغلقة"))</f>
        <v/>
      </c>
      <c r="L665" s="26" t="str">
        <f aca="false">IF($G665="","",MAX(0,NETWORKDAYS.INTL($E665,J665,رمز_العطلة,أيام_الأجازات)-1))</f>
        <v/>
      </c>
      <c r="M665" s="26" t="str">
        <f aca="false">IF($G665="","",MAX(0,L665-مهلة_المراجعة))</f>
        <v/>
      </c>
      <c r="N665" s="30" t="str">
        <f aca="false">IF($A665="",IF(OR($D665&lt;&gt;"",$E665&lt;&gt;""),"رقم المخرج ناقص",""),IF(ISNA(MATCH($A665,قائمة_المخرجات,0)),"رقم مخرج غير موجود",IF($D665="","نوع الحركة ناقص",IF(NOT(ISNUMBER($E665)),"التاريخ ناقص",IF($E665&gt;تاريخ_الاحتساب,"تاريخ بعد تاريخ الاحتساب",IF(AND($D665&lt;&gt;"تسليم",COUNTIFS($A$5:$A$1504,$A665,$D$5:$D$1504,"تسليم",$E$5:$E$1504,"&lt;="&amp;$E665)=0),"لا يوجد تسليم قبل الحركة دي",""))))))</f>
        <v/>
      </c>
    </row>
    <row r="666" customFormat="false" ht="15" hidden="false" customHeight="false" outlineLevel="0" collapsed="false">
      <c r="A666" s="20"/>
      <c r="B666" s="35" t="str">
        <f aca="false">IF($A666="","",IFERROR(INDEX(مخرج_البند,MATCH($A666,قائمة_المخرجات,0)),""))</f>
        <v/>
      </c>
      <c r="C666" s="30" t="str">
        <f aca="false">IF($A666="","",IFERROR(INDEX(مخرج_الوصف,MATCH($A666,قائمة_المخرجات,0)),""))</f>
        <v/>
      </c>
      <c r="D666" s="20"/>
      <c r="E666" s="31"/>
      <c r="F666" s="22"/>
      <c r="G666" s="36" t="str">
        <f aca="false">IF(OR($A666="",$D666&lt;&gt;"تسليم",NOT(ISNUMBER($E666))),"",COUNTIFS($A$5:$A$1504,$A666,$D$5:$D$1504,"تسليم",$E$5:$E$1504,"&lt;"&amp;$E666)+1)</f>
        <v/>
      </c>
      <c r="H666" s="33" t="str">
        <f aca="false">IF($G666="","",_xlfn.MINIFS($E$5:$E$1504,$A$5:$A$1504,$A666,$D$5:$D$1504,"&lt;&gt;تسليم",$E$5:$E$1504,"&gt;="&amp;$E666))</f>
        <v/>
      </c>
      <c r="I666" s="33" t="str">
        <f aca="false">IF($G666="","",_xlfn.MINIFS($E$5:$E$1504,$A$5:$A$1504,$A666,$D$5:$D$1504,"تسليم",$E$5:$E$1504,"&gt;"&amp;$E666))</f>
        <v/>
      </c>
      <c r="J666" s="33" t="str">
        <f aca="false">IF($G666="","",IF(H666&gt;0,IF(I666&gt;0,MIN(H666,I666),H666),IF(I666&gt;0,I666,تاريخ_الاحتساب)))</f>
        <v/>
      </c>
      <c r="K666" s="34" t="str">
        <f aca="false">IF($G666="","",IF(AND(H666=0,I666=0),"جارية","مغلقة"))</f>
        <v/>
      </c>
      <c r="L666" s="26" t="str">
        <f aca="false">IF($G666="","",MAX(0,NETWORKDAYS.INTL($E666,J666,رمز_العطلة,أيام_الأجازات)-1))</f>
        <v/>
      </c>
      <c r="M666" s="26" t="str">
        <f aca="false">IF($G666="","",MAX(0,L666-مهلة_المراجعة))</f>
        <v/>
      </c>
      <c r="N666" s="30" t="str">
        <f aca="false">IF($A666="",IF(OR($D666&lt;&gt;"",$E666&lt;&gt;""),"رقم المخرج ناقص",""),IF(ISNA(MATCH($A666,قائمة_المخرجات,0)),"رقم مخرج غير موجود",IF($D666="","نوع الحركة ناقص",IF(NOT(ISNUMBER($E666)),"التاريخ ناقص",IF($E666&gt;تاريخ_الاحتساب,"تاريخ بعد تاريخ الاحتساب",IF(AND($D666&lt;&gt;"تسليم",COUNTIFS($A$5:$A$1504,$A666,$D$5:$D$1504,"تسليم",$E$5:$E$1504,"&lt;="&amp;$E666)=0),"لا يوجد تسليم قبل الحركة دي",""))))))</f>
        <v/>
      </c>
    </row>
    <row r="667" customFormat="false" ht="15" hidden="false" customHeight="false" outlineLevel="0" collapsed="false">
      <c r="A667" s="20"/>
      <c r="B667" s="35" t="str">
        <f aca="false">IF($A667="","",IFERROR(INDEX(مخرج_البند,MATCH($A667,قائمة_المخرجات,0)),""))</f>
        <v/>
      </c>
      <c r="C667" s="30" t="str">
        <f aca="false">IF($A667="","",IFERROR(INDEX(مخرج_الوصف,MATCH($A667,قائمة_المخرجات,0)),""))</f>
        <v/>
      </c>
      <c r="D667" s="20"/>
      <c r="E667" s="31"/>
      <c r="F667" s="22"/>
      <c r="G667" s="36" t="str">
        <f aca="false">IF(OR($A667="",$D667&lt;&gt;"تسليم",NOT(ISNUMBER($E667))),"",COUNTIFS($A$5:$A$1504,$A667,$D$5:$D$1504,"تسليم",$E$5:$E$1504,"&lt;"&amp;$E667)+1)</f>
        <v/>
      </c>
      <c r="H667" s="33" t="str">
        <f aca="false">IF($G667="","",_xlfn.MINIFS($E$5:$E$1504,$A$5:$A$1504,$A667,$D$5:$D$1504,"&lt;&gt;تسليم",$E$5:$E$1504,"&gt;="&amp;$E667))</f>
        <v/>
      </c>
      <c r="I667" s="33" t="str">
        <f aca="false">IF($G667="","",_xlfn.MINIFS($E$5:$E$1504,$A$5:$A$1504,$A667,$D$5:$D$1504,"تسليم",$E$5:$E$1504,"&gt;"&amp;$E667))</f>
        <v/>
      </c>
      <c r="J667" s="33" t="str">
        <f aca="false">IF($G667="","",IF(H667&gt;0,IF(I667&gt;0,MIN(H667,I667),H667),IF(I667&gt;0,I667,تاريخ_الاحتساب)))</f>
        <v/>
      </c>
      <c r="K667" s="34" t="str">
        <f aca="false">IF($G667="","",IF(AND(H667=0,I667=0),"جارية","مغلقة"))</f>
        <v/>
      </c>
      <c r="L667" s="26" t="str">
        <f aca="false">IF($G667="","",MAX(0,NETWORKDAYS.INTL($E667,J667,رمز_العطلة,أيام_الأجازات)-1))</f>
        <v/>
      </c>
      <c r="M667" s="26" t="str">
        <f aca="false">IF($G667="","",MAX(0,L667-مهلة_المراجعة))</f>
        <v/>
      </c>
      <c r="N667" s="30" t="str">
        <f aca="false">IF($A667="",IF(OR($D667&lt;&gt;"",$E667&lt;&gt;""),"رقم المخرج ناقص",""),IF(ISNA(MATCH($A667,قائمة_المخرجات,0)),"رقم مخرج غير موجود",IF($D667="","نوع الحركة ناقص",IF(NOT(ISNUMBER($E667)),"التاريخ ناقص",IF($E667&gt;تاريخ_الاحتساب,"تاريخ بعد تاريخ الاحتساب",IF(AND($D667&lt;&gt;"تسليم",COUNTIFS($A$5:$A$1504,$A667,$D$5:$D$1504,"تسليم",$E$5:$E$1504,"&lt;="&amp;$E667)=0),"لا يوجد تسليم قبل الحركة دي",""))))))</f>
        <v/>
      </c>
    </row>
    <row r="668" customFormat="false" ht="15" hidden="false" customHeight="false" outlineLevel="0" collapsed="false">
      <c r="A668" s="20"/>
      <c r="B668" s="35" t="str">
        <f aca="false">IF($A668="","",IFERROR(INDEX(مخرج_البند,MATCH($A668,قائمة_المخرجات,0)),""))</f>
        <v/>
      </c>
      <c r="C668" s="30" t="str">
        <f aca="false">IF($A668="","",IFERROR(INDEX(مخرج_الوصف,MATCH($A668,قائمة_المخرجات,0)),""))</f>
        <v/>
      </c>
      <c r="D668" s="20"/>
      <c r="E668" s="31"/>
      <c r="F668" s="22"/>
      <c r="G668" s="36" t="str">
        <f aca="false">IF(OR($A668="",$D668&lt;&gt;"تسليم",NOT(ISNUMBER($E668))),"",COUNTIFS($A$5:$A$1504,$A668,$D$5:$D$1504,"تسليم",$E$5:$E$1504,"&lt;"&amp;$E668)+1)</f>
        <v/>
      </c>
      <c r="H668" s="33" t="str">
        <f aca="false">IF($G668="","",_xlfn.MINIFS($E$5:$E$1504,$A$5:$A$1504,$A668,$D$5:$D$1504,"&lt;&gt;تسليم",$E$5:$E$1504,"&gt;="&amp;$E668))</f>
        <v/>
      </c>
      <c r="I668" s="33" t="str">
        <f aca="false">IF($G668="","",_xlfn.MINIFS($E$5:$E$1504,$A$5:$A$1504,$A668,$D$5:$D$1504,"تسليم",$E$5:$E$1504,"&gt;"&amp;$E668))</f>
        <v/>
      </c>
      <c r="J668" s="33" t="str">
        <f aca="false">IF($G668="","",IF(H668&gt;0,IF(I668&gt;0,MIN(H668,I668),H668),IF(I668&gt;0,I668,تاريخ_الاحتساب)))</f>
        <v/>
      </c>
      <c r="K668" s="34" t="str">
        <f aca="false">IF($G668="","",IF(AND(H668=0,I668=0),"جارية","مغلقة"))</f>
        <v/>
      </c>
      <c r="L668" s="26" t="str">
        <f aca="false">IF($G668="","",MAX(0,NETWORKDAYS.INTL($E668,J668,رمز_العطلة,أيام_الأجازات)-1))</f>
        <v/>
      </c>
      <c r="M668" s="26" t="str">
        <f aca="false">IF($G668="","",MAX(0,L668-مهلة_المراجعة))</f>
        <v/>
      </c>
      <c r="N668" s="30" t="str">
        <f aca="false">IF($A668="",IF(OR($D668&lt;&gt;"",$E668&lt;&gt;""),"رقم المخرج ناقص",""),IF(ISNA(MATCH($A668,قائمة_المخرجات,0)),"رقم مخرج غير موجود",IF($D668="","نوع الحركة ناقص",IF(NOT(ISNUMBER($E668)),"التاريخ ناقص",IF($E668&gt;تاريخ_الاحتساب,"تاريخ بعد تاريخ الاحتساب",IF(AND($D668&lt;&gt;"تسليم",COUNTIFS($A$5:$A$1504,$A668,$D$5:$D$1504,"تسليم",$E$5:$E$1504,"&lt;="&amp;$E668)=0),"لا يوجد تسليم قبل الحركة دي",""))))))</f>
        <v/>
      </c>
    </row>
    <row r="669" customFormat="false" ht="15" hidden="false" customHeight="false" outlineLevel="0" collapsed="false">
      <c r="A669" s="20"/>
      <c r="B669" s="35" t="str">
        <f aca="false">IF($A669="","",IFERROR(INDEX(مخرج_البند,MATCH($A669,قائمة_المخرجات,0)),""))</f>
        <v/>
      </c>
      <c r="C669" s="30" t="str">
        <f aca="false">IF($A669="","",IFERROR(INDEX(مخرج_الوصف,MATCH($A669,قائمة_المخرجات,0)),""))</f>
        <v/>
      </c>
      <c r="D669" s="20"/>
      <c r="E669" s="31"/>
      <c r="F669" s="22"/>
      <c r="G669" s="36" t="str">
        <f aca="false">IF(OR($A669="",$D669&lt;&gt;"تسليم",NOT(ISNUMBER($E669))),"",COUNTIFS($A$5:$A$1504,$A669,$D$5:$D$1504,"تسليم",$E$5:$E$1504,"&lt;"&amp;$E669)+1)</f>
        <v/>
      </c>
      <c r="H669" s="33" t="str">
        <f aca="false">IF($G669="","",_xlfn.MINIFS($E$5:$E$1504,$A$5:$A$1504,$A669,$D$5:$D$1504,"&lt;&gt;تسليم",$E$5:$E$1504,"&gt;="&amp;$E669))</f>
        <v/>
      </c>
      <c r="I669" s="33" t="str">
        <f aca="false">IF($G669="","",_xlfn.MINIFS($E$5:$E$1504,$A$5:$A$1504,$A669,$D$5:$D$1504,"تسليم",$E$5:$E$1504,"&gt;"&amp;$E669))</f>
        <v/>
      </c>
      <c r="J669" s="33" t="str">
        <f aca="false">IF($G669="","",IF(H669&gt;0,IF(I669&gt;0,MIN(H669,I669),H669),IF(I669&gt;0,I669,تاريخ_الاحتساب)))</f>
        <v/>
      </c>
      <c r="K669" s="34" t="str">
        <f aca="false">IF($G669="","",IF(AND(H669=0,I669=0),"جارية","مغلقة"))</f>
        <v/>
      </c>
      <c r="L669" s="26" t="str">
        <f aca="false">IF($G669="","",MAX(0,NETWORKDAYS.INTL($E669,J669,رمز_العطلة,أيام_الأجازات)-1))</f>
        <v/>
      </c>
      <c r="M669" s="26" t="str">
        <f aca="false">IF($G669="","",MAX(0,L669-مهلة_المراجعة))</f>
        <v/>
      </c>
      <c r="N669" s="30" t="str">
        <f aca="false">IF($A669="",IF(OR($D669&lt;&gt;"",$E669&lt;&gt;""),"رقم المخرج ناقص",""),IF(ISNA(MATCH($A669,قائمة_المخرجات,0)),"رقم مخرج غير موجود",IF($D669="","نوع الحركة ناقص",IF(NOT(ISNUMBER($E669)),"التاريخ ناقص",IF($E669&gt;تاريخ_الاحتساب,"تاريخ بعد تاريخ الاحتساب",IF(AND($D669&lt;&gt;"تسليم",COUNTIFS($A$5:$A$1504,$A669,$D$5:$D$1504,"تسليم",$E$5:$E$1504,"&lt;="&amp;$E669)=0),"لا يوجد تسليم قبل الحركة دي",""))))))</f>
        <v/>
      </c>
    </row>
    <row r="670" customFormat="false" ht="15" hidden="false" customHeight="false" outlineLevel="0" collapsed="false">
      <c r="A670" s="20"/>
      <c r="B670" s="35" t="str">
        <f aca="false">IF($A670="","",IFERROR(INDEX(مخرج_البند,MATCH($A670,قائمة_المخرجات,0)),""))</f>
        <v/>
      </c>
      <c r="C670" s="30" t="str">
        <f aca="false">IF($A670="","",IFERROR(INDEX(مخرج_الوصف,MATCH($A670,قائمة_المخرجات,0)),""))</f>
        <v/>
      </c>
      <c r="D670" s="20"/>
      <c r="E670" s="31"/>
      <c r="F670" s="22"/>
      <c r="G670" s="36" t="str">
        <f aca="false">IF(OR($A670="",$D670&lt;&gt;"تسليم",NOT(ISNUMBER($E670))),"",COUNTIFS($A$5:$A$1504,$A670,$D$5:$D$1504,"تسليم",$E$5:$E$1504,"&lt;"&amp;$E670)+1)</f>
        <v/>
      </c>
      <c r="H670" s="33" t="str">
        <f aca="false">IF($G670="","",_xlfn.MINIFS($E$5:$E$1504,$A$5:$A$1504,$A670,$D$5:$D$1504,"&lt;&gt;تسليم",$E$5:$E$1504,"&gt;="&amp;$E670))</f>
        <v/>
      </c>
      <c r="I670" s="33" t="str">
        <f aca="false">IF($G670="","",_xlfn.MINIFS($E$5:$E$1504,$A$5:$A$1504,$A670,$D$5:$D$1504,"تسليم",$E$5:$E$1504,"&gt;"&amp;$E670))</f>
        <v/>
      </c>
      <c r="J670" s="33" t="str">
        <f aca="false">IF($G670="","",IF(H670&gt;0,IF(I670&gt;0,MIN(H670,I670),H670),IF(I670&gt;0,I670,تاريخ_الاحتساب)))</f>
        <v/>
      </c>
      <c r="K670" s="34" t="str">
        <f aca="false">IF($G670="","",IF(AND(H670=0,I670=0),"جارية","مغلقة"))</f>
        <v/>
      </c>
      <c r="L670" s="26" t="str">
        <f aca="false">IF($G670="","",MAX(0,NETWORKDAYS.INTL($E670,J670,رمز_العطلة,أيام_الأجازات)-1))</f>
        <v/>
      </c>
      <c r="M670" s="26" t="str">
        <f aca="false">IF($G670="","",MAX(0,L670-مهلة_المراجعة))</f>
        <v/>
      </c>
      <c r="N670" s="30" t="str">
        <f aca="false">IF($A670="",IF(OR($D670&lt;&gt;"",$E670&lt;&gt;""),"رقم المخرج ناقص",""),IF(ISNA(MATCH($A670,قائمة_المخرجات,0)),"رقم مخرج غير موجود",IF($D670="","نوع الحركة ناقص",IF(NOT(ISNUMBER($E670)),"التاريخ ناقص",IF($E670&gt;تاريخ_الاحتساب,"تاريخ بعد تاريخ الاحتساب",IF(AND($D670&lt;&gt;"تسليم",COUNTIFS($A$5:$A$1504,$A670,$D$5:$D$1504,"تسليم",$E$5:$E$1504,"&lt;="&amp;$E670)=0),"لا يوجد تسليم قبل الحركة دي",""))))))</f>
        <v/>
      </c>
    </row>
    <row r="671" customFormat="false" ht="15" hidden="false" customHeight="false" outlineLevel="0" collapsed="false">
      <c r="A671" s="20"/>
      <c r="B671" s="35" t="str">
        <f aca="false">IF($A671="","",IFERROR(INDEX(مخرج_البند,MATCH($A671,قائمة_المخرجات,0)),""))</f>
        <v/>
      </c>
      <c r="C671" s="30" t="str">
        <f aca="false">IF($A671="","",IFERROR(INDEX(مخرج_الوصف,MATCH($A671,قائمة_المخرجات,0)),""))</f>
        <v/>
      </c>
      <c r="D671" s="20"/>
      <c r="E671" s="31"/>
      <c r="F671" s="22"/>
      <c r="G671" s="36" t="str">
        <f aca="false">IF(OR($A671="",$D671&lt;&gt;"تسليم",NOT(ISNUMBER($E671))),"",COUNTIFS($A$5:$A$1504,$A671,$D$5:$D$1504,"تسليم",$E$5:$E$1504,"&lt;"&amp;$E671)+1)</f>
        <v/>
      </c>
      <c r="H671" s="33" t="str">
        <f aca="false">IF($G671="","",_xlfn.MINIFS($E$5:$E$1504,$A$5:$A$1504,$A671,$D$5:$D$1504,"&lt;&gt;تسليم",$E$5:$E$1504,"&gt;="&amp;$E671))</f>
        <v/>
      </c>
      <c r="I671" s="33" t="str">
        <f aca="false">IF($G671="","",_xlfn.MINIFS($E$5:$E$1504,$A$5:$A$1504,$A671,$D$5:$D$1504,"تسليم",$E$5:$E$1504,"&gt;"&amp;$E671))</f>
        <v/>
      </c>
      <c r="J671" s="33" t="str">
        <f aca="false">IF($G671="","",IF(H671&gt;0,IF(I671&gt;0,MIN(H671,I671),H671),IF(I671&gt;0,I671,تاريخ_الاحتساب)))</f>
        <v/>
      </c>
      <c r="K671" s="34" t="str">
        <f aca="false">IF($G671="","",IF(AND(H671=0,I671=0),"جارية","مغلقة"))</f>
        <v/>
      </c>
      <c r="L671" s="26" t="str">
        <f aca="false">IF($G671="","",MAX(0,NETWORKDAYS.INTL($E671,J671,رمز_العطلة,أيام_الأجازات)-1))</f>
        <v/>
      </c>
      <c r="M671" s="26" t="str">
        <f aca="false">IF($G671="","",MAX(0,L671-مهلة_المراجعة))</f>
        <v/>
      </c>
      <c r="N671" s="30" t="str">
        <f aca="false">IF($A671="",IF(OR($D671&lt;&gt;"",$E671&lt;&gt;""),"رقم المخرج ناقص",""),IF(ISNA(MATCH($A671,قائمة_المخرجات,0)),"رقم مخرج غير موجود",IF($D671="","نوع الحركة ناقص",IF(NOT(ISNUMBER($E671)),"التاريخ ناقص",IF($E671&gt;تاريخ_الاحتساب,"تاريخ بعد تاريخ الاحتساب",IF(AND($D671&lt;&gt;"تسليم",COUNTIFS($A$5:$A$1504,$A671,$D$5:$D$1504,"تسليم",$E$5:$E$1504,"&lt;="&amp;$E671)=0),"لا يوجد تسليم قبل الحركة دي",""))))))</f>
        <v/>
      </c>
    </row>
    <row r="672" customFormat="false" ht="15" hidden="false" customHeight="false" outlineLevel="0" collapsed="false">
      <c r="A672" s="20"/>
      <c r="B672" s="35" t="str">
        <f aca="false">IF($A672="","",IFERROR(INDEX(مخرج_البند,MATCH($A672,قائمة_المخرجات,0)),""))</f>
        <v/>
      </c>
      <c r="C672" s="30" t="str">
        <f aca="false">IF($A672="","",IFERROR(INDEX(مخرج_الوصف,MATCH($A672,قائمة_المخرجات,0)),""))</f>
        <v/>
      </c>
      <c r="D672" s="20"/>
      <c r="E672" s="31"/>
      <c r="F672" s="22"/>
      <c r="G672" s="36" t="str">
        <f aca="false">IF(OR($A672="",$D672&lt;&gt;"تسليم",NOT(ISNUMBER($E672))),"",COUNTIFS($A$5:$A$1504,$A672,$D$5:$D$1504,"تسليم",$E$5:$E$1504,"&lt;"&amp;$E672)+1)</f>
        <v/>
      </c>
      <c r="H672" s="33" t="str">
        <f aca="false">IF($G672="","",_xlfn.MINIFS($E$5:$E$1504,$A$5:$A$1504,$A672,$D$5:$D$1504,"&lt;&gt;تسليم",$E$5:$E$1504,"&gt;="&amp;$E672))</f>
        <v/>
      </c>
      <c r="I672" s="33" t="str">
        <f aca="false">IF($G672="","",_xlfn.MINIFS($E$5:$E$1504,$A$5:$A$1504,$A672,$D$5:$D$1504,"تسليم",$E$5:$E$1504,"&gt;"&amp;$E672))</f>
        <v/>
      </c>
      <c r="J672" s="33" t="str">
        <f aca="false">IF($G672="","",IF(H672&gt;0,IF(I672&gt;0,MIN(H672,I672),H672),IF(I672&gt;0,I672,تاريخ_الاحتساب)))</f>
        <v/>
      </c>
      <c r="K672" s="34" t="str">
        <f aca="false">IF($G672="","",IF(AND(H672=0,I672=0),"جارية","مغلقة"))</f>
        <v/>
      </c>
      <c r="L672" s="26" t="str">
        <f aca="false">IF($G672="","",MAX(0,NETWORKDAYS.INTL($E672,J672,رمز_العطلة,أيام_الأجازات)-1))</f>
        <v/>
      </c>
      <c r="M672" s="26" t="str">
        <f aca="false">IF($G672="","",MAX(0,L672-مهلة_المراجعة))</f>
        <v/>
      </c>
      <c r="N672" s="30" t="str">
        <f aca="false">IF($A672="",IF(OR($D672&lt;&gt;"",$E672&lt;&gt;""),"رقم المخرج ناقص",""),IF(ISNA(MATCH($A672,قائمة_المخرجات,0)),"رقم مخرج غير موجود",IF($D672="","نوع الحركة ناقص",IF(NOT(ISNUMBER($E672)),"التاريخ ناقص",IF($E672&gt;تاريخ_الاحتساب,"تاريخ بعد تاريخ الاحتساب",IF(AND($D672&lt;&gt;"تسليم",COUNTIFS($A$5:$A$1504,$A672,$D$5:$D$1504,"تسليم",$E$5:$E$1504,"&lt;="&amp;$E672)=0),"لا يوجد تسليم قبل الحركة دي",""))))))</f>
        <v/>
      </c>
    </row>
    <row r="673" customFormat="false" ht="15" hidden="false" customHeight="false" outlineLevel="0" collapsed="false">
      <c r="A673" s="20"/>
      <c r="B673" s="35" t="str">
        <f aca="false">IF($A673="","",IFERROR(INDEX(مخرج_البند,MATCH($A673,قائمة_المخرجات,0)),""))</f>
        <v/>
      </c>
      <c r="C673" s="30" t="str">
        <f aca="false">IF($A673="","",IFERROR(INDEX(مخرج_الوصف,MATCH($A673,قائمة_المخرجات,0)),""))</f>
        <v/>
      </c>
      <c r="D673" s="20"/>
      <c r="E673" s="31"/>
      <c r="F673" s="22"/>
      <c r="G673" s="36" t="str">
        <f aca="false">IF(OR($A673="",$D673&lt;&gt;"تسليم",NOT(ISNUMBER($E673))),"",COUNTIFS($A$5:$A$1504,$A673,$D$5:$D$1504,"تسليم",$E$5:$E$1504,"&lt;"&amp;$E673)+1)</f>
        <v/>
      </c>
      <c r="H673" s="33" t="str">
        <f aca="false">IF($G673="","",_xlfn.MINIFS($E$5:$E$1504,$A$5:$A$1504,$A673,$D$5:$D$1504,"&lt;&gt;تسليم",$E$5:$E$1504,"&gt;="&amp;$E673))</f>
        <v/>
      </c>
      <c r="I673" s="33" t="str">
        <f aca="false">IF($G673="","",_xlfn.MINIFS($E$5:$E$1504,$A$5:$A$1504,$A673,$D$5:$D$1504,"تسليم",$E$5:$E$1504,"&gt;"&amp;$E673))</f>
        <v/>
      </c>
      <c r="J673" s="33" t="str">
        <f aca="false">IF($G673="","",IF(H673&gt;0,IF(I673&gt;0,MIN(H673,I673),H673),IF(I673&gt;0,I673,تاريخ_الاحتساب)))</f>
        <v/>
      </c>
      <c r="K673" s="34" t="str">
        <f aca="false">IF($G673="","",IF(AND(H673=0,I673=0),"جارية","مغلقة"))</f>
        <v/>
      </c>
      <c r="L673" s="26" t="str">
        <f aca="false">IF($G673="","",MAX(0,NETWORKDAYS.INTL($E673,J673,رمز_العطلة,أيام_الأجازات)-1))</f>
        <v/>
      </c>
      <c r="M673" s="26" t="str">
        <f aca="false">IF($G673="","",MAX(0,L673-مهلة_المراجعة))</f>
        <v/>
      </c>
      <c r="N673" s="30" t="str">
        <f aca="false">IF($A673="",IF(OR($D673&lt;&gt;"",$E673&lt;&gt;""),"رقم المخرج ناقص",""),IF(ISNA(MATCH($A673,قائمة_المخرجات,0)),"رقم مخرج غير موجود",IF($D673="","نوع الحركة ناقص",IF(NOT(ISNUMBER($E673)),"التاريخ ناقص",IF($E673&gt;تاريخ_الاحتساب,"تاريخ بعد تاريخ الاحتساب",IF(AND($D673&lt;&gt;"تسليم",COUNTIFS($A$5:$A$1504,$A673,$D$5:$D$1504,"تسليم",$E$5:$E$1504,"&lt;="&amp;$E673)=0),"لا يوجد تسليم قبل الحركة دي",""))))))</f>
        <v/>
      </c>
    </row>
    <row r="674" customFormat="false" ht="15" hidden="false" customHeight="false" outlineLevel="0" collapsed="false">
      <c r="A674" s="20"/>
      <c r="B674" s="35" t="str">
        <f aca="false">IF($A674="","",IFERROR(INDEX(مخرج_البند,MATCH($A674,قائمة_المخرجات,0)),""))</f>
        <v/>
      </c>
      <c r="C674" s="30" t="str">
        <f aca="false">IF($A674="","",IFERROR(INDEX(مخرج_الوصف,MATCH($A674,قائمة_المخرجات,0)),""))</f>
        <v/>
      </c>
      <c r="D674" s="20"/>
      <c r="E674" s="31"/>
      <c r="F674" s="22"/>
      <c r="G674" s="36" t="str">
        <f aca="false">IF(OR($A674="",$D674&lt;&gt;"تسليم",NOT(ISNUMBER($E674))),"",COUNTIFS($A$5:$A$1504,$A674,$D$5:$D$1504,"تسليم",$E$5:$E$1504,"&lt;"&amp;$E674)+1)</f>
        <v/>
      </c>
      <c r="H674" s="33" t="str">
        <f aca="false">IF($G674="","",_xlfn.MINIFS($E$5:$E$1504,$A$5:$A$1504,$A674,$D$5:$D$1504,"&lt;&gt;تسليم",$E$5:$E$1504,"&gt;="&amp;$E674))</f>
        <v/>
      </c>
      <c r="I674" s="33" t="str">
        <f aca="false">IF($G674="","",_xlfn.MINIFS($E$5:$E$1504,$A$5:$A$1504,$A674,$D$5:$D$1504,"تسليم",$E$5:$E$1504,"&gt;"&amp;$E674))</f>
        <v/>
      </c>
      <c r="J674" s="33" t="str">
        <f aca="false">IF($G674="","",IF(H674&gt;0,IF(I674&gt;0,MIN(H674,I674),H674),IF(I674&gt;0,I674,تاريخ_الاحتساب)))</f>
        <v/>
      </c>
      <c r="K674" s="34" t="str">
        <f aca="false">IF($G674="","",IF(AND(H674=0,I674=0),"جارية","مغلقة"))</f>
        <v/>
      </c>
      <c r="L674" s="26" t="str">
        <f aca="false">IF($G674="","",MAX(0,NETWORKDAYS.INTL($E674,J674,رمز_العطلة,أيام_الأجازات)-1))</f>
        <v/>
      </c>
      <c r="M674" s="26" t="str">
        <f aca="false">IF($G674="","",MAX(0,L674-مهلة_المراجعة))</f>
        <v/>
      </c>
      <c r="N674" s="30" t="str">
        <f aca="false">IF($A674="",IF(OR($D674&lt;&gt;"",$E674&lt;&gt;""),"رقم المخرج ناقص",""),IF(ISNA(MATCH($A674,قائمة_المخرجات,0)),"رقم مخرج غير موجود",IF($D674="","نوع الحركة ناقص",IF(NOT(ISNUMBER($E674)),"التاريخ ناقص",IF($E674&gt;تاريخ_الاحتساب,"تاريخ بعد تاريخ الاحتساب",IF(AND($D674&lt;&gt;"تسليم",COUNTIFS($A$5:$A$1504,$A674,$D$5:$D$1504,"تسليم",$E$5:$E$1504,"&lt;="&amp;$E674)=0),"لا يوجد تسليم قبل الحركة دي",""))))))</f>
        <v/>
      </c>
    </row>
    <row r="675" customFormat="false" ht="15" hidden="false" customHeight="false" outlineLevel="0" collapsed="false">
      <c r="A675" s="20"/>
      <c r="B675" s="35" t="str">
        <f aca="false">IF($A675="","",IFERROR(INDEX(مخرج_البند,MATCH($A675,قائمة_المخرجات,0)),""))</f>
        <v/>
      </c>
      <c r="C675" s="30" t="str">
        <f aca="false">IF($A675="","",IFERROR(INDEX(مخرج_الوصف,MATCH($A675,قائمة_المخرجات,0)),""))</f>
        <v/>
      </c>
      <c r="D675" s="20"/>
      <c r="E675" s="31"/>
      <c r="F675" s="22"/>
      <c r="G675" s="36" t="str">
        <f aca="false">IF(OR($A675="",$D675&lt;&gt;"تسليم",NOT(ISNUMBER($E675))),"",COUNTIFS($A$5:$A$1504,$A675,$D$5:$D$1504,"تسليم",$E$5:$E$1504,"&lt;"&amp;$E675)+1)</f>
        <v/>
      </c>
      <c r="H675" s="33" t="str">
        <f aca="false">IF($G675="","",_xlfn.MINIFS($E$5:$E$1504,$A$5:$A$1504,$A675,$D$5:$D$1504,"&lt;&gt;تسليم",$E$5:$E$1504,"&gt;="&amp;$E675))</f>
        <v/>
      </c>
      <c r="I675" s="33" t="str">
        <f aca="false">IF($G675="","",_xlfn.MINIFS($E$5:$E$1504,$A$5:$A$1504,$A675,$D$5:$D$1504,"تسليم",$E$5:$E$1504,"&gt;"&amp;$E675))</f>
        <v/>
      </c>
      <c r="J675" s="33" t="str">
        <f aca="false">IF($G675="","",IF(H675&gt;0,IF(I675&gt;0,MIN(H675,I675),H675),IF(I675&gt;0,I675,تاريخ_الاحتساب)))</f>
        <v/>
      </c>
      <c r="K675" s="34" t="str">
        <f aca="false">IF($G675="","",IF(AND(H675=0,I675=0),"جارية","مغلقة"))</f>
        <v/>
      </c>
      <c r="L675" s="26" t="str">
        <f aca="false">IF($G675="","",MAX(0,NETWORKDAYS.INTL($E675,J675,رمز_العطلة,أيام_الأجازات)-1))</f>
        <v/>
      </c>
      <c r="M675" s="26" t="str">
        <f aca="false">IF($G675="","",MAX(0,L675-مهلة_المراجعة))</f>
        <v/>
      </c>
      <c r="N675" s="30" t="str">
        <f aca="false">IF($A675="",IF(OR($D675&lt;&gt;"",$E675&lt;&gt;""),"رقم المخرج ناقص",""),IF(ISNA(MATCH($A675,قائمة_المخرجات,0)),"رقم مخرج غير موجود",IF($D675="","نوع الحركة ناقص",IF(NOT(ISNUMBER($E675)),"التاريخ ناقص",IF($E675&gt;تاريخ_الاحتساب,"تاريخ بعد تاريخ الاحتساب",IF(AND($D675&lt;&gt;"تسليم",COUNTIFS($A$5:$A$1504,$A675,$D$5:$D$1504,"تسليم",$E$5:$E$1504,"&lt;="&amp;$E675)=0),"لا يوجد تسليم قبل الحركة دي",""))))))</f>
        <v/>
      </c>
    </row>
    <row r="676" customFormat="false" ht="15" hidden="false" customHeight="false" outlineLevel="0" collapsed="false">
      <c r="A676" s="20"/>
      <c r="B676" s="35" t="str">
        <f aca="false">IF($A676="","",IFERROR(INDEX(مخرج_البند,MATCH($A676,قائمة_المخرجات,0)),""))</f>
        <v/>
      </c>
      <c r="C676" s="30" t="str">
        <f aca="false">IF($A676="","",IFERROR(INDEX(مخرج_الوصف,MATCH($A676,قائمة_المخرجات,0)),""))</f>
        <v/>
      </c>
      <c r="D676" s="20"/>
      <c r="E676" s="31"/>
      <c r="F676" s="22"/>
      <c r="G676" s="36" t="str">
        <f aca="false">IF(OR($A676="",$D676&lt;&gt;"تسليم",NOT(ISNUMBER($E676))),"",COUNTIFS($A$5:$A$1504,$A676,$D$5:$D$1504,"تسليم",$E$5:$E$1504,"&lt;"&amp;$E676)+1)</f>
        <v/>
      </c>
      <c r="H676" s="33" t="str">
        <f aca="false">IF($G676="","",_xlfn.MINIFS($E$5:$E$1504,$A$5:$A$1504,$A676,$D$5:$D$1504,"&lt;&gt;تسليم",$E$5:$E$1504,"&gt;="&amp;$E676))</f>
        <v/>
      </c>
      <c r="I676" s="33" t="str">
        <f aca="false">IF($G676="","",_xlfn.MINIFS($E$5:$E$1504,$A$5:$A$1504,$A676,$D$5:$D$1504,"تسليم",$E$5:$E$1504,"&gt;"&amp;$E676))</f>
        <v/>
      </c>
      <c r="J676" s="33" t="str">
        <f aca="false">IF($G676="","",IF(H676&gt;0,IF(I676&gt;0,MIN(H676,I676),H676),IF(I676&gt;0,I676,تاريخ_الاحتساب)))</f>
        <v/>
      </c>
      <c r="K676" s="34" t="str">
        <f aca="false">IF($G676="","",IF(AND(H676=0,I676=0),"جارية","مغلقة"))</f>
        <v/>
      </c>
      <c r="L676" s="26" t="str">
        <f aca="false">IF($G676="","",MAX(0,NETWORKDAYS.INTL($E676,J676,رمز_العطلة,أيام_الأجازات)-1))</f>
        <v/>
      </c>
      <c r="M676" s="26" t="str">
        <f aca="false">IF($G676="","",MAX(0,L676-مهلة_المراجعة))</f>
        <v/>
      </c>
      <c r="N676" s="30" t="str">
        <f aca="false">IF($A676="",IF(OR($D676&lt;&gt;"",$E676&lt;&gt;""),"رقم المخرج ناقص",""),IF(ISNA(MATCH($A676,قائمة_المخرجات,0)),"رقم مخرج غير موجود",IF($D676="","نوع الحركة ناقص",IF(NOT(ISNUMBER($E676)),"التاريخ ناقص",IF($E676&gt;تاريخ_الاحتساب,"تاريخ بعد تاريخ الاحتساب",IF(AND($D676&lt;&gt;"تسليم",COUNTIFS($A$5:$A$1504,$A676,$D$5:$D$1504,"تسليم",$E$5:$E$1504,"&lt;="&amp;$E676)=0),"لا يوجد تسليم قبل الحركة دي",""))))))</f>
        <v/>
      </c>
    </row>
    <row r="677" customFormat="false" ht="15" hidden="false" customHeight="false" outlineLevel="0" collapsed="false">
      <c r="A677" s="20"/>
      <c r="B677" s="35" t="str">
        <f aca="false">IF($A677="","",IFERROR(INDEX(مخرج_البند,MATCH($A677,قائمة_المخرجات,0)),""))</f>
        <v/>
      </c>
      <c r="C677" s="30" t="str">
        <f aca="false">IF($A677="","",IFERROR(INDEX(مخرج_الوصف,MATCH($A677,قائمة_المخرجات,0)),""))</f>
        <v/>
      </c>
      <c r="D677" s="20"/>
      <c r="E677" s="31"/>
      <c r="F677" s="22"/>
      <c r="G677" s="36" t="str">
        <f aca="false">IF(OR($A677="",$D677&lt;&gt;"تسليم",NOT(ISNUMBER($E677))),"",COUNTIFS($A$5:$A$1504,$A677,$D$5:$D$1504,"تسليم",$E$5:$E$1504,"&lt;"&amp;$E677)+1)</f>
        <v/>
      </c>
      <c r="H677" s="33" t="str">
        <f aca="false">IF($G677="","",_xlfn.MINIFS($E$5:$E$1504,$A$5:$A$1504,$A677,$D$5:$D$1504,"&lt;&gt;تسليم",$E$5:$E$1504,"&gt;="&amp;$E677))</f>
        <v/>
      </c>
      <c r="I677" s="33" t="str">
        <f aca="false">IF($G677="","",_xlfn.MINIFS($E$5:$E$1504,$A$5:$A$1504,$A677,$D$5:$D$1504,"تسليم",$E$5:$E$1504,"&gt;"&amp;$E677))</f>
        <v/>
      </c>
      <c r="J677" s="33" t="str">
        <f aca="false">IF($G677="","",IF(H677&gt;0,IF(I677&gt;0,MIN(H677,I677),H677),IF(I677&gt;0,I677,تاريخ_الاحتساب)))</f>
        <v/>
      </c>
      <c r="K677" s="34" t="str">
        <f aca="false">IF($G677="","",IF(AND(H677=0,I677=0),"جارية","مغلقة"))</f>
        <v/>
      </c>
      <c r="L677" s="26" t="str">
        <f aca="false">IF($G677="","",MAX(0,NETWORKDAYS.INTL($E677,J677,رمز_العطلة,أيام_الأجازات)-1))</f>
        <v/>
      </c>
      <c r="M677" s="26" t="str">
        <f aca="false">IF($G677="","",MAX(0,L677-مهلة_المراجعة))</f>
        <v/>
      </c>
      <c r="N677" s="30" t="str">
        <f aca="false">IF($A677="",IF(OR($D677&lt;&gt;"",$E677&lt;&gt;""),"رقم المخرج ناقص",""),IF(ISNA(MATCH($A677,قائمة_المخرجات,0)),"رقم مخرج غير موجود",IF($D677="","نوع الحركة ناقص",IF(NOT(ISNUMBER($E677)),"التاريخ ناقص",IF($E677&gt;تاريخ_الاحتساب,"تاريخ بعد تاريخ الاحتساب",IF(AND($D677&lt;&gt;"تسليم",COUNTIFS($A$5:$A$1504,$A677,$D$5:$D$1504,"تسليم",$E$5:$E$1504,"&lt;="&amp;$E677)=0),"لا يوجد تسليم قبل الحركة دي",""))))))</f>
        <v/>
      </c>
    </row>
    <row r="678" customFormat="false" ht="15" hidden="false" customHeight="false" outlineLevel="0" collapsed="false">
      <c r="A678" s="20"/>
      <c r="B678" s="35" t="str">
        <f aca="false">IF($A678="","",IFERROR(INDEX(مخرج_البند,MATCH($A678,قائمة_المخرجات,0)),""))</f>
        <v/>
      </c>
      <c r="C678" s="30" t="str">
        <f aca="false">IF($A678="","",IFERROR(INDEX(مخرج_الوصف,MATCH($A678,قائمة_المخرجات,0)),""))</f>
        <v/>
      </c>
      <c r="D678" s="20"/>
      <c r="E678" s="31"/>
      <c r="F678" s="22"/>
      <c r="G678" s="36" t="str">
        <f aca="false">IF(OR($A678="",$D678&lt;&gt;"تسليم",NOT(ISNUMBER($E678))),"",COUNTIFS($A$5:$A$1504,$A678,$D$5:$D$1504,"تسليم",$E$5:$E$1504,"&lt;"&amp;$E678)+1)</f>
        <v/>
      </c>
      <c r="H678" s="33" t="str">
        <f aca="false">IF($G678="","",_xlfn.MINIFS($E$5:$E$1504,$A$5:$A$1504,$A678,$D$5:$D$1504,"&lt;&gt;تسليم",$E$5:$E$1504,"&gt;="&amp;$E678))</f>
        <v/>
      </c>
      <c r="I678" s="33" t="str">
        <f aca="false">IF($G678="","",_xlfn.MINIFS($E$5:$E$1504,$A$5:$A$1504,$A678,$D$5:$D$1504,"تسليم",$E$5:$E$1504,"&gt;"&amp;$E678))</f>
        <v/>
      </c>
      <c r="J678" s="33" t="str">
        <f aca="false">IF($G678="","",IF(H678&gt;0,IF(I678&gt;0,MIN(H678,I678),H678),IF(I678&gt;0,I678,تاريخ_الاحتساب)))</f>
        <v/>
      </c>
      <c r="K678" s="34" t="str">
        <f aca="false">IF($G678="","",IF(AND(H678=0,I678=0),"جارية","مغلقة"))</f>
        <v/>
      </c>
      <c r="L678" s="26" t="str">
        <f aca="false">IF($G678="","",MAX(0,NETWORKDAYS.INTL($E678,J678,رمز_العطلة,أيام_الأجازات)-1))</f>
        <v/>
      </c>
      <c r="M678" s="26" t="str">
        <f aca="false">IF($G678="","",MAX(0,L678-مهلة_المراجعة))</f>
        <v/>
      </c>
      <c r="N678" s="30" t="str">
        <f aca="false">IF($A678="",IF(OR($D678&lt;&gt;"",$E678&lt;&gt;""),"رقم المخرج ناقص",""),IF(ISNA(MATCH($A678,قائمة_المخرجات,0)),"رقم مخرج غير موجود",IF($D678="","نوع الحركة ناقص",IF(NOT(ISNUMBER($E678)),"التاريخ ناقص",IF($E678&gt;تاريخ_الاحتساب,"تاريخ بعد تاريخ الاحتساب",IF(AND($D678&lt;&gt;"تسليم",COUNTIFS($A$5:$A$1504,$A678,$D$5:$D$1504,"تسليم",$E$5:$E$1504,"&lt;="&amp;$E678)=0),"لا يوجد تسليم قبل الحركة دي",""))))))</f>
        <v/>
      </c>
    </row>
    <row r="679" customFormat="false" ht="15" hidden="false" customHeight="false" outlineLevel="0" collapsed="false">
      <c r="A679" s="20"/>
      <c r="B679" s="35" t="str">
        <f aca="false">IF($A679="","",IFERROR(INDEX(مخرج_البند,MATCH($A679,قائمة_المخرجات,0)),""))</f>
        <v/>
      </c>
      <c r="C679" s="30" t="str">
        <f aca="false">IF($A679="","",IFERROR(INDEX(مخرج_الوصف,MATCH($A679,قائمة_المخرجات,0)),""))</f>
        <v/>
      </c>
      <c r="D679" s="20"/>
      <c r="E679" s="31"/>
      <c r="F679" s="22"/>
      <c r="G679" s="36" t="str">
        <f aca="false">IF(OR($A679="",$D679&lt;&gt;"تسليم",NOT(ISNUMBER($E679))),"",COUNTIFS($A$5:$A$1504,$A679,$D$5:$D$1504,"تسليم",$E$5:$E$1504,"&lt;"&amp;$E679)+1)</f>
        <v/>
      </c>
      <c r="H679" s="33" t="str">
        <f aca="false">IF($G679="","",_xlfn.MINIFS($E$5:$E$1504,$A$5:$A$1504,$A679,$D$5:$D$1504,"&lt;&gt;تسليم",$E$5:$E$1504,"&gt;="&amp;$E679))</f>
        <v/>
      </c>
      <c r="I679" s="33" t="str">
        <f aca="false">IF($G679="","",_xlfn.MINIFS($E$5:$E$1504,$A$5:$A$1504,$A679,$D$5:$D$1504,"تسليم",$E$5:$E$1504,"&gt;"&amp;$E679))</f>
        <v/>
      </c>
      <c r="J679" s="33" t="str">
        <f aca="false">IF($G679="","",IF(H679&gt;0,IF(I679&gt;0,MIN(H679,I679),H679),IF(I679&gt;0,I679,تاريخ_الاحتساب)))</f>
        <v/>
      </c>
      <c r="K679" s="34" t="str">
        <f aca="false">IF($G679="","",IF(AND(H679=0,I679=0),"جارية","مغلقة"))</f>
        <v/>
      </c>
      <c r="L679" s="26" t="str">
        <f aca="false">IF($G679="","",MAX(0,NETWORKDAYS.INTL($E679,J679,رمز_العطلة,أيام_الأجازات)-1))</f>
        <v/>
      </c>
      <c r="M679" s="26" t="str">
        <f aca="false">IF($G679="","",MAX(0,L679-مهلة_المراجعة))</f>
        <v/>
      </c>
      <c r="N679" s="30" t="str">
        <f aca="false">IF($A679="",IF(OR($D679&lt;&gt;"",$E679&lt;&gt;""),"رقم المخرج ناقص",""),IF(ISNA(MATCH($A679,قائمة_المخرجات,0)),"رقم مخرج غير موجود",IF($D679="","نوع الحركة ناقص",IF(NOT(ISNUMBER($E679)),"التاريخ ناقص",IF($E679&gt;تاريخ_الاحتساب,"تاريخ بعد تاريخ الاحتساب",IF(AND($D679&lt;&gt;"تسليم",COUNTIFS($A$5:$A$1504,$A679,$D$5:$D$1504,"تسليم",$E$5:$E$1504,"&lt;="&amp;$E679)=0),"لا يوجد تسليم قبل الحركة دي",""))))))</f>
        <v/>
      </c>
    </row>
    <row r="680" customFormat="false" ht="15" hidden="false" customHeight="false" outlineLevel="0" collapsed="false">
      <c r="A680" s="20"/>
      <c r="B680" s="35" t="str">
        <f aca="false">IF($A680="","",IFERROR(INDEX(مخرج_البند,MATCH($A680,قائمة_المخرجات,0)),""))</f>
        <v/>
      </c>
      <c r="C680" s="30" t="str">
        <f aca="false">IF($A680="","",IFERROR(INDEX(مخرج_الوصف,MATCH($A680,قائمة_المخرجات,0)),""))</f>
        <v/>
      </c>
      <c r="D680" s="20"/>
      <c r="E680" s="31"/>
      <c r="F680" s="22"/>
      <c r="G680" s="36" t="str">
        <f aca="false">IF(OR($A680="",$D680&lt;&gt;"تسليم",NOT(ISNUMBER($E680))),"",COUNTIFS($A$5:$A$1504,$A680,$D$5:$D$1504,"تسليم",$E$5:$E$1504,"&lt;"&amp;$E680)+1)</f>
        <v/>
      </c>
      <c r="H680" s="33" t="str">
        <f aca="false">IF($G680="","",_xlfn.MINIFS($E$5:$E$1504,$A$5:$A$1504,$A680,$D$5:$D$1504,"&lt;&gt;تسليم",$E$5:$E$1504,"&gt;="&amp;$E680))</f>
        <v/>
      </c>
      <c r="I680" s="33" t="str">
        <f aca="false">IF($G680="","",_xlfn.MINIFS($E$5:$E$1504,$A$5:$A$1504,$A680,$D$5:$D$1504,"تسليم",$E$5:$E$1504,"&gt;"&amp;$E680))</f>
        <v/>
      </c>
      <c r="J680" s="33" t="str">
        <f aca="false">IF($G680="","",IF(H680&gt;0,IF(I680&gt;0,MIN(H680,I680),H680),IF(I680&gt;0,I680,تاريخ_الاحتساب)))</f>
        <v/>
      </c>
      <c r="K680" s="34" t="str">
        <f aca="false">IF($G680="","",IF(AND(H680=0,I680=0),"جارية","مغلقة"))</f>
        <v/>
      </c>
      <c r="L680" s="26" t="str">
        <f aca="false">IF($G680="","",MAX(0,NETWORKDAYS.INTL($E680,J680,رمز_العطلة,أيام_الأجازات)-1))</f>
        <v/>
      </c>
      <c r="M680" s="26" t="str">
        <f aca="false">IF($G680="","",MAX(0,L680-مهلة_المراجعة))</f>
        <v/>
      </c>
      <c r="N680" s="30" t="str">
        <f aca="false">IF($A680="",IF(OR($D680&lt;&gt;"",$E680&lt;&gt;""),"رقم المخرج ناقص",""),IF(ISNA(MATCH($A680,قائمة_المخرجات,0)),"رقم مخرج غير موجود",IF($D680="","نوع الحركة ناقص",IF(NOT(ISNUMBER($E680)),"التاريخ ناقص",IF($E680&gt;تاريخ_الاحتساب,"تاريخ بعد تاريخ الاحتساب",IF(AND($D680&lt;&gt;"تسليم",COUNTIFS($A$5:$A$1504,$A680,$D$5:$D$1504,"تسليم",$E$5:$E$1504,"&lt;="&amp;$E680)=0),"لا يوجد تسليم قبل الحركة دي",""))))))</f>
        <v/>
      </c>
    </row>
    <row r="681" customFormat="false" ht="15" hidden="false" customHeight="false" outlineLevel="0" collapsed="false">
      <c r="A681" s="20"/>
      <c r="B681" s="35" t="str">
        <f aca="false">IF($A681="","",IFERROR(INDEX(مخرج_البند,MATCH($A681,قائمة_المخرجات,0)),""))</f>
        <v/>
      </c>
      <c r="C681" s="30" t="str">
        <f aca="false">IF($A681="","",IFERROR(INDEX(مخرج_الوصف,MATCH($A681,قائمة_المخرجات,0)),""))</f>
        <v/>
      </c>
      <c r="D681" s="20"/>
      <c r="E681" s="31"/>
      <c r="F681" s="22"/>
      <c r="G681" s="36" t="str">
        <f aca="false">IF(OR($A681="",$D681&lt;&gt;"تسليم",NOT(ISNUMBER($E681))),"",COUNTIFS($A$5:$A$1504,$A681,$D$5:$D$1504,"تسليم",$E$5:$E$1504,"&lt;"&amp;$E681)+1)</f>
        <v/>
      </c>
      <c r="H681" s="33" t="str">
        <f aca="false">IF($G681="","",_xlfn.MINIFS($E$5:$E$1504,$A$5:$A$1504,$A681,$D$5:$D$1504,"&lt;&gt;تسليم",$E$5:$E$1504,"&gt;="&amp;$E681))</f>
        <v/>
      </c>
      <c r="I681" s="33" t="str">
        <f aca="false">IF($G681="","",_xlfn.MINIFS($E$5:$E$1504,$A$5:$A$1504,$A681,$D$5:$D$1504,"تسليم",$E$5:$E$1504,"&gt;"&amp;$E681))</f>
        <v/>
      </c>
      <c r="J681" s="33" t="str">
        <f aca="false">IF($G681="","",IF(H681&gt;0,IF(I681&gt;0,MIN(H681,I681),H681),IF(I681&gt;0,I681,تاريخ_الاحتساب)))</f>
        <v/>
      </c>
      <c r="K681" s="34" t="str">
        <f aca="false">IF($G681="","",IF(AND(H681=0,I681=0),"جارية","مغلقة"))</f>
        <v/>
      </c>
      <c r="L681" s="26" t="str">
        <f aca="false">IF($G681="","",MAX(0,NETWORKDAYS.INTL($E681,J681,رمز_العطلة,أيام_الأجازات)-1))</f>
        <v/>
      </c>
      <c r="M681" s="26" t="str">
        <f aca="false">IF($G681="","",MAX(0,L681-مهلة_المراجعة))</f>
        <v/>
      </c>
      <c r="N681" s="30" t="str">
        <f aca="false">IF($A681="",IF(OR($D681&lt;&gt;"",$E681&lt;&gt;""),"رقم المخرج ناقص",""),IF(ISNA(MATCH($A681,قائمة_المخرجات,0)),"رقم مخرج غير موجود",IF($D681="","نوع الحركة ناقص",IF(NOT(ISNUMBER($E681)),"التاريخ ناقص",IF($E681&gt;تاريخ_الاحتساب,"تاريخ بعد تاريخ الاحتساب",IF(AND($D681&lt;&gt;"تسليم",COUNTIFS($A$5:$A$1504,$A681,$D$5:$D$1504,"تسليم",$E$5:$E$1504,"&lt;="&amp;$E681)=0),"لا يوجد تسليم قبل الحركة دي",""))))))</f>
        <v/>
      </c>
    </row>
    <row r="682" customFormat="false" ht="15" hidden="false" customHeight="false" outlineLevel="0" collapsed="false">
      <c r="A682" s="20"/>
      <c r="B682" s="35" t="str">
        <f aca="false">IF($A682="","",IFERROR(INDEX(مخرج_البند,MATCH($A682,قائمة_المخرجات,0)),""))</f>
        <v/>
      </c>
      <c r="C682" s="30" t="str">
        <f aca="false">IF($A682="","",IFERROR(INDEX(مخرج_الوصف,MATCH($A682,قائمة_المخرجات,0)),""))</f>
        <v/>
      </c>
      <c r="D682" s="20"/>
      <c r="E682" s="31"/>
      <c r="F682" s="22"/>
      <c r="G682" s="36" t="str">
        <f aca="false">IF(OR($A682="",$D682&lt;&gt;"تسليم",NOT(ISNUMBER($E682))),"",COUNTIFS($A$5:$A$1504,$A682,$D$5:$D$1504,"تسليم",$E$5:$E$1504,"&lt;"&amp;$E682)+1)</f>
        <v/>
      </c>
      <c r="H682" s="33" t="str">
        <f aca="false">IF($G682="","",_xlfn.MINIFS($E$5:$E$1504,$A$5:$A$1504,$A682,$D$5:$D$1504,"&lt;&gt;تسليم",$E$5:$E$1504,"&gt;="&amp;$E682))</f>
        <v/>
      </c>
      <c r="I682" s="33" t="str">
        <f aca="false">IF($G682="","",_xlfn.MINIFS($E$5:$E$1504,$A$5:$A$1504,$A682,$D$5:$D$1504,"تسليم",$E$5:$E$1504,"&gt;"&amp;$E682))</f>
        <v/>
      </c>
      <c r="J682" s="33" t="str">
        <f aca="false">IF($G682="","",IF(H682&gt;0,IF(I682&gt;0,MIN(H682,I682),H682),IF(I682&gt;0,I682,تاريخ_الاحتساب)))</f>
        <v/>
      </c>
      <c r="K682" s="34" t="str">
        <f aca="false">IF($G682="","",IF(AND(H682=0,I682=0),"جارية","مغلقة"))</f>
        <v/>
      </c>
      <c r="L682" s="26" t="str">
        <f aca="false">IF($G682="","",MAX(0,NETWORKDAYS.INTL($E682,J682,رمز_العطلة,أيام_الأجازات)-1))</f>
        <v/>
      </c>
      <c r="M682" s="26" t="str">
        <f aca="false">IF($G682="","",MAX(0,L682-مهلة_المراجعة))</f>
        <v/>
      </c>
      <c r="N682" s="30" t="str">
        <f aca="false">IF($A682="",IF(OR($D682&lt;&gt;"",$E682&lt;&gt;""),"رقم المخرج ناقص",""),IF(ISNA(MATCH($A682,قائمة_المخرجات,0)),"رقم مخرج غير موجود",IF($D682="","نوع الحركة ناقص",IF(NOT(ISNUMBER($E682)),"التاريخ ناقص",IF($E682&gt;تاريخ_الاحتساب,"تاريخ بعد تاريخ الاحتساب",IF(AND($D682&lt;&gt;"تسليم",COUNTIFS($A$5:$A$1504,$A682,$D$5:$D$1504,"تسليم",$E$5:$E$1504,"&lt;="&amp;$E682)=0),"لا يوجد تسليم قبل الحركة دي",""))))))</f>
        <v/>
      </c>
    </row>
    <row r="683" customFormat="false" ht="15" hidden="false" customHeight="false" outlineLevel="0" collapsed="false">
      <c r="A683" s="20"/>
      <c r="B683" s="35" t="str">
        <f aca="false">IF($A683="","",IFERROR(INDEX(مخرج_البند,MATCH($A683,قائمة_المخرجات,0)),""))</f>
        <v/>
      </c>
      <c r="C683" s="30" t="str">
        <f aca="false">IF($A683="","",IFERROR(INDEX(مخرج_الوصف,MATCH($A683,قائمة_المخرجات,0)),""))</f>
        <v/>
      </c>
      <c r="D683" s="20"/>
      <c r="E683" s="31"/>
      <c r="F683" s="22"/>
      <c r="G683" s="36" t="str">
        <f aca="false">IF(OR($A683="",$D683&lt;&gt;"تسليم",NOT(ISNUMBER($E683))),"",COUNTIFS($A$5:$A$1504,$A683,$D$5:$D$1504,"تسليم",$E$5:$E$1504,"&lt;"&amp;$E683)+1)</f>
        <v/>
      </c>
      <c r="H683" s="33" t="str">
        <f aca="false">IF($G683="","",_xlfn.MINIFS($E$5:$E$1504,$A$5:$A$1504,$A683,$D$5:$D$1504,"&lt;&gt;تسليم",$E$5:$E$1504,"&gt;="&amp;$E683))</f>
        <v/>
      </c>
      <c r="I683" s="33" t="str">
        <f aca="false">IF($G683="","",_xlfn.MINIFS($E$5:$E$1504,$A$5:$A$1504,$A683,$D$5:$D$1504,"تسليم",$E$5:$E$1504,"&gt;"&amp;$E683))</f>
        <v/>
      </c>
      <c r="J683" s="33" t="str">
        <f aca="false">IF($G683="","",IF(H683&gt;0,IF(I683&gt;0,MIN(H683,I683),H683),IF(I683&gt;0,I683,تاريخ_الاحتساب)))</f>
        <v/>
      </c>
      <c r="K683" s="34" t="str">
        <f aca="false">IF($G683="","",IF(AND(H683=0,I683=0),"جارية","مغلقة"))</f>
        <v/>
      </c>
      <c r="L683" s="26" t="str">
        <f aca="false">IF($G683="","",MAX(0,NETWORKDAYS.INTL($E683,J683,رمز_العطلة,أيام_الأجازات)-1))</f>
        <v/>
      </c>
      <c r="M683" s="26" t="str">
        <f aca="false">IF($G683="","",MAX(0,L683-مهلة_المراجعة))</f>
        <v/>
      </c>
      <c r="N683" s="30" t="str">
        <f aca="false">IF($A683="",IF(OR($D683&lt;&gt;"",$E683&lt;&gt;""),"رقم المخرج ناقص",""),IF(ISNA(MATCH($A683,قائمة_المخرجات,0)),"رقم مخرج غير موجود",IF($D683="","نوع الحركة ناقص",IF(NOT(ISNUMBER($E683)),"التاريخ ناقص",IF($E683&gt;تاريخ_الاحتساب,"تاريخ بعد تاريخ الاحتساب",IF(AND($D683&lt;&gt;"تسليم",COUNTIFS($A$5:$A$1504,$A683,$D$5:$D$1504,"تسليم",$E$5:$E$1504,"&lt;="&amp;$E683)=0),"لا يوجد تسليم قبل الحركة دي",""))))))</f>
        <v/>
      </c>
    </row>
    <row r="684" customFormat="false" ht="15" hidden="false" customHeight="false" outlineLevel="0" collapsed="false">
      <c r="A684" s="20"/>
      <c r="B684" s="35" t="str">
        <f aca="false">IF($A684="","",IFERROR(INDEX(مخرج_البند,MATCH($A684,قائمة_المخرجات,0)),""))</f>
        <v/>
      </c>
      <c r="C684" s="30" t="str">
        <f aca="false">IF($A684="","",IFERROR(INDEX(مخرج_الوصف,MATCH($A684,قائمة_المخرجات,0)),""))</f>
        <v/>
      </c>
      <c r="D684" s="20"/>
      <c r="E684" s="31"/>
      <c r="F684" s="22"/>
      <c r="G684" s="36" t="str">
        <f aca="false">IF(OR($A684="",$D684&lt;&gt;"تسليم",NOT(ISNUMBER($E684))),"",COUNTIFS($A$5:$A$1504,$A684,$D$5:$D$1504,"تسليم",$E$5:$E$1504,"&lt;"&amp;$E684)+1)</f>
        <v/>
      </c>
      <c r="H684" s="33" t="str">
        <f aca="false">IF($G684="","",_xlfn.MINIFS($E$5:$E$1504,$A$5:$A$1504,$A684,$D$5:$D$1504,"&lt;&gt;تسليم",$E$5:$E$1504,"&gt;="&amp;$E684))</f>
        <v/>
      </c>
      <c r="I684" s="33" t="str">
        <f aca="false">IF($G684="","",_xlfn.MINIFS($E$5:$E$1504,$A$5:$A$1504,$A684,$D$5:$D$1504,"تسليم",$E$5:$E$1504,"&gt;"&amp;$E684))</f>
        <v/>
      </c>
      <c r="J684" s="33" t="str">
        <f aca="false">IF($G684="","",IF(H684&gt;0,IF(I684&gt;0,MIN(H684,I684),H684),IF(I684&gt;0,I684,تاريخ_الاحتساب)))</f>
        <v/>
      </c>
      <c r="K684" s="34" t="str">
        <f aca="false">IF($G684="","",IF(AND(H684=0,I684=0),"جارية","مغلقة"))</f>
        <v/>
      </c>
      <c r="L684" s="26" t="str">
        <f aca="false">IF($G684="","",MAX(0,NETWORKDAYS.INTL($E684,J684,رمز_العطلة,أيام_الأجازات)-1))</f>
        <v/>
      </c>
      <c r="M684" s="26" t="str">
        <f aca="false">IF($G684="","",MAX(0,L684-مهلة_المراجعة))</f>
        <v/>
      </c>
      <c r="N684" s="30" t="str">
        <f aca="false">IF($A684="",IF(OR($D684&lt;&gt;"",$E684&lt;&gt;""),"رقم المخرج ناقص",""),IF(ISNA(MATCH($A684,قائمة_المخرجات,0)),"رقم مخرج غير موجود",IF($D684="","نوع الحركة ناقص",IF(NOT(ISNUMBER($E684)),"التاريخ ناقص",IF($E684&gt;تاريخ_الاحتساب,"تاريخ بعد تاريخ الاحتساب",IF(AND($D684&lt;&gt;"تسليم",COUNTIFS($A$5:$A$1504,$A684,$D$5:$D$1504,"تسليم",$E$5:$E$1504,"&lt;="&amp;$E684)=0),"لا يوجد تسليم قبل الحركة دي",""))))))</f>
        <v/>
      </c>
    </row>
    <row r="685" customFormat="false" ht="15" hidden="false" customHeight="false" outlineLevel="0" collapsed="false">
      <c r="A685" s="20"/>
      <c r="B685" s="35" t="str">
        <f aca="false">IF($A685="","",IFERROR(INDEX(مخرج_البند,MATCH($A685,قائمة_المخرجات,0)),""))</f>
        <v/>
      </c>
      <c r="C685" s="30" t="str">
        <f aca="false">IF($A685="","",IFERROR(INDEX(مخرج_الوصف,MATCH($A685,قائمة_المخرجات,0)),""))</f>
        <v/>
      </c>
      <c r="D685" s="20"/>
      <c r="E685" s="31"/>
      <c r="F685" s="22"/>
      <c r="G685" s="36" t="str">
        <f aca="false">IF(OR($A685="",$D685&lt;&gt;"تسليم",NOT(ISNUMBER($E685))),"",COUNTIFS($A$5:$A$1504,$A685,$D$5:$D$1504,"تسليم",$E$5:$E$1504,"&lt;"&amp;$E685)+1)</f>
        <v/>
      </c>
      <c r="H685" s="33" t="str">
        <f aca="false">IF($G685="","",_xlfn.MINIFS($E$5:$E$1504,$A$5:$A$1504,$A685,$D$5:$D$1504,"&lt;&gt;تسليم",$E$5:$E$1504,"&gt;="&amp;$E685))</f>
        <v/>
      </c>
      <c r="I685" s="33" t="str">
        <f aca="false">IF($G685="","",_xlfn.MINIFS($E$5:$E$1504,$A$5:$A$1504,$A685,$D$5:$D$1504,"تسليم",$E$5:$E$1504,"&gt;"&amp;$E685))</f>
        <v/>
      </c>
      <c r="J685" s="33" t="str">
        <f aca="false">IF($G685="","",IF(H685&gt;0,IF(I685&gt;0,MIN(H685,I685),H685),IF(I685&gt;0,I685,تاريخ_الاحتساب)))</f>
        <v/>
      </c>
      <c r="K685" s="34" t="str">
        <f aca="false">IF($G685="","",IF(AND(H685=0,I685=0),"جارية","مغلقة"))</f>
        <v/>
      </c>
      <c r="L685" s="26" t="str">
        <f aca="false">IF($G685="","",MAX(0,NETWORKDAYS.INTL($E685,J685,رمز_العطلة,أيام_الأجازات)-1))</f>
        <v/>
      </c>
      <c r="M685" s="26" t="str">
        <f aca="false">IF($G685="","",MAX(0,L685-مهلة_المراجعة))</f>
        <v/>
      </c>
      <c r="N685" s="30" t="str">
        <f aca="false">IF($A685="",IF(OR($D685&lt;&gt;"",$E685&lt;&gt;""),"رقم المخرج ناقص",""),IF(ISNA(MATCH($A685,قائمة_المخرجات,0)),"رقم مخرج غير موجود",IF($D685="","نوع الحركة ناقص",IF(NOT(ISNUMBER($E685)),"التاريخ ناقص",IF($E685&gt;تاريخ_الاحتساب,"تاريخ بعد تاريخ الاحتساب",IF(AND($D685&lt;&gt;"تسليم",COUNTIFS($A$5:$A$1504,$A685,$D$5:$D$1504,"تسليم",$E$5:$E$1504,"&lt;="&amp;$E685)=0),"لا يوجد تسليم قبل الحركة دي",""))))))</f>
        <v/>
      </c>
    </row>
    <row r="686" customFormat="false" ht="15" hidden="false" customHeight="false" outlineLevel="0" collapsed="false">
      <c r="A686" s="20"/>
      <c r="B686" s="35" t="str">
        <f aca="false">IF($A686="","",IFERROR(INDEX(مخرج_البند,MATCH($A686,قائمة_المخرجات,0)),""))</f>
        <v/>
      </c>
      <c r="C686" s="30" t="str">
        <f aca="false">IF($A686="","",IFERROR(INDEX(مخرج_الوصف,MATCH($A686,قائمة_المخرجات,0)),""))</f>
        <v/>
      </c>
      <c r="D686" s="20"/>
      <c r="E686" s="31"/>
      <c r="F686" s="22"/>
      <c r="G686" s="36" t="str">
        <f aca="false">IF(OR($A686="",$D686&lt;&gt;"تسليم",NOT(ISNUMBER($E686))),"",COUNTIFS($A$5:$A$1504,$A686,$D$5:$D$1504,"تسليم",$E$5:$E$1504,"&lt;"&amp;$E686)+1)</f>
        <v/>
      </c>
      <c r="H686" s="33" t="str">
        <f aca="false">IF($G686="","",_xlfn.MINIFS($E$5:$E$1504,$A$5:$A$1504,$A686,$D$5:$D$1504,"&lt;&gt;تسليم",$E$5:$E$1504,"&gt;="&amp;$E686))</f>
        <v/>
      </c>
      <c r="I686" s="33" t="str">
        <f aca="false">IF($G686="","",_xlfn.MINIFS($E$5:$E$1504,$A$5:$A$1504,$A686,$D$5:$D$1504,"تسليم",$E$5:$E$1504,"&gt;"&amp;$E686))</f>
        <v/>
      </c>
      <c r="J686" s="33" t="str">
        <f aca="false">IF($G686="","",IF(H686&gt;0,IF(I686&gt;0,MIN(H686,I686),H686),IF(I686&gt;0,I686,تاريخ_الاحتساب)))</f>
        <v/>
      </c>
      <c r="K686" s="34" t="str">
        <f aca="false">IF($G686="","",IF(AND(H686=0,I686=0),"جارية","مغلقة"))</f>
        <v/>
      </c>
      <c r="L686" s="26" t="str">
        <f aca="false">IF($G686="","",MAX(0,NETWORKDAYS.INTL($E686,J686,رمز_العطلة,أيام_الأجازات)-1))</f>
        <v/>
      </c>
      <c r="M686" s="26" t="str">
        <f aca="false">IF($G686="","",MAX(0,L686-مهلة_المراجعة))</f>
        <v/>
      </c>
      <c r="N686" s="30" t="str">
        <f aca="false">IF($A686="",IF(OR($D686&lt;&gt;"",$E686&lt;&gt;""),"رقم المخرج ناقص",""),IF(ISNA(MATCH($A686,قائمة_المخرجات,0)),"رقم مخرج غير موجود",IF($D686="","نوع الحركة ناقص",IF(NOT(ISNUMBER($E686)),"التاريخ ناقص",IF($E686&gt;تاريخ_الاحتساب,"تاريخ بعد تاريخ الاحتساب",IF(AND($D686&lt;&gt;"تسليم",COUNTIFS($A$5:$A$1504,$A686,$D$5:$D$1504,"تسليم",$E$5:$E$1504,"&lt;="&amp;$E686)=0),"لا يوجد تسليم قبل الحركة دي",""))))))</f>
        <v/>
      </c>
    </row>
    <row r="687" customFormat="false" ht="15" hidden="false" customHeight="false" outlineLevel="0" collapsed="false">
      <c r="A687" s="20"/>
      <c r="B687" s="35" t="str">
        <f aca="false">IF($A687="","",IFERROR(INDEX(مخرج_البند,MATCH($A687,قائمة_المخرجات,0)),""))</f>
        <v/>
      </c>
      <c r="C687" s="30" t="str">
        <f aca="false">IF($A687="","",IFERROR(INDEX(مخرج_الوصف,MATCH($A687,قائمة_المخرجات,0)),""))</f>
        <v/>
      </c>
      <c r="D687" s="20"/>
      <c r="E687" s="31"/>
      <c r="F687" s="22"/>
      <c r="G687" s="36" t="str">
        <f aca="false">IF(OR($A687="",$D687&lt;&gt;"تسليم",NOT(ISNUMBER($E687))),"",COUNTIFS($A$5:$A$1504,$A687,$D$5:$D$1504,"تسليم",$E$5:$E$1504,"&lt;"&amp;$E687)+1)</f>
        <v/>
      </c>
      <c r="H687" s="33" t="str">
        <f aca="false">IF($G687="","",_xlfn.MINIFS($E$5:$E$1504,$A$5:$A$1504,$A687,$D$5:$D$1504,"&lt;&gt;تسليم",$E$5:$E$1504,"&gt;="&amp;$E687))</f>
        <v/>
      </c>
      <c r="I687" s="33" t="str">
        <f aca="false">IF($G687="","",_xlfn.MINIFS($E$5:$E$1504,$A$5:$A$1504,$A687,$D$5:$D$1504,"تسليم",$E$5:$E$1504,"&gt;"&amp;$E687))</f>
        <v/>
      </c>
      <c r="J687" s="33" t="str">
        <f aca="false">IF($G687="","",IF(H687&gt;0,IF(I687&gt;0,MIN(H687,I687),H687),IF(I687&gt;0,I687,تاريخ_الاحتساب)))</f>
        <v/>
      </c>
      <c r="K687" s="34" t="str">
        <f aca="false">IF($G687="","",IF(AND(H687=0,I687=0),"جارية","مغلقة"))</f>
        <v/>
      </c>
      <c r="L687" s="26" t="str">
        <f aca="false">IF($G687="","",MAX(0,NETWORKDAYS.INTL($E687,J687,رمز_العطلة,أيام_الأجازات)-1))</f>
        <v/>
      </c>
      <c r="M687" s="26" t="str">
        <f aca="false">IF($G687="","",MAX(0,L687-مهلة_المراجعة))</f>
        <v/>
      </c>
      <c r="N687" s="30" t="str">
        <f aca="false">IF($A687="",IF(OR($D687&lt;&gt;"",$E687&lt;&gt;""),"رقم المخرج ناقص",""),IF(ISNA(MATCH($A687,قائمة_المخرجات,0)),"رقم مخرج غير موجود",IF($D687="","نوع الحركة ناقص",IF(NOT(ISNUMBER($E687)),"التاريخ ناقص",IF($E687&gt;تاريخ_الاحتساب,"تاريخ بعد تاريخ الاحتساب",IF(AND($D687&lt;&gt;"تسليم",COUNTIFS($A$5:$A$1504,$A687,$D$5:$D$1504,"تسليم",$E$5:$E$1504,"&lt;="&amp;$E687)=0),"لا يوجد تسليم قبل الحركة دي",""))))))</f>
        <v/>
      </c>
    </row>
    <row r="688" customFormat="false" ht="15" hidden="false" customHeight="false" outlineLevel="0" collapsed="false">
      <c r="A688" s="20"/>
      <c r="B688" s="35" t="str">
        <f aca="false">IF($A688="","",IFERROR(INDEX(مخرج_البند,MATCH($A688,قائمة_المخرجات,0)),""))</f>
        <v/>
      </c>
      <c r="C688" s="30" t="str">
        <f aca="false">IF($A688="","",IFERROR(INDEX(مخرج_الوصف,MATCH($A688,قائمة_المخرجات,0)),""))</f>
        <v/>
      </c>
      <c r="D688" s="20"/>
      <c r="E688" s="31"/>
      <c r="F688" s="22"/>
      <c r="G688" s="36" t="str">
        <f aca="false">IF(OR($A688="",$D688&lt;&gt;"تسليم",NOT(ISNUMBER($E688))),"",COUNTIFS($A$5:$A$1504,$A688,$D$5:$D$1504,"تسليم",$E$5:$E$1504,"&lt;"&amp;$E688)+1)</f>
        <v/>
      </c>
      <c r="H688" s="33" t="str">
        <f aca="false">IF($G688="","",_xlfn.MINIFS($E$5:$E$1504,$A$5:$A$1504,$A688,$D$5:$D$1504,"&lt;&gt;تسليم",$E$5:$E$1504,"&gt;="&amp;$E688))</f>
        <v/>
      </c>
      <c r="I688" s="33" t="str">
        <f aca="false">IF($G688="","",_xlfn.MINIFS($E$5:$E$1504,$A$5:$A$1504,$A688,$D$5:$D$1504,"تسليم",$E$5:$E$1504,"&gt;"&amp;$E688))</f>
        <v/>
      </c>
      <c r="J688" s="33" t="str">
        <f aca="false">IF($G688="","",IF(H688&gt;0,IF(I688&gt;0,MIN(H688,I688),H688),IF(I688&gt;0,I688,تاريخ_الاحتساب)))</f>
        <v/>
      </c>
      <c r="K688" s="34" t="str">
        <f aca="false">IF($G688="","",IF(AND(H688=0,I688=0),"جارية","مغلقة"))</f>
        <v/>
      </c>
      <c r="L688" s="26" t="str">
        <f aca="false">IF($G688="","",MAX(0,NETWORKDAYS.INTL($E688,J688,رمز_العطلة,أيام_الأجازات)-1))</f>
        <v/>
      </c>
      <c r="M688" s="26" t="str">
        <f aca="false">IF($G688="","",MAX(0,L688-مهلة_المراجعة))</f>
        <v/>
      </c>
      <c r="N688" s="30" t="str">
        <f aca="false">IF($A688="",IF(OR($D688&lt;&gt;"",$E688&lt;&gt;""),"رقم المخرج ناقص",""),IF(ISNA(MATCH($A688,قائمة_المخرجات,0)),"رقم مخرج غير موجود",IF($D688="","نوع الحركة ناقص",IF(NOT(ISNUMBER($E688)),"التاريخ ناقص",IF($E688&gt;تاريخ_الاحتساب,"تاريخ بعد تاريخ الاحتساب",IF(AND($D688&lt;&gt;"تسليم",COUNTIFS($A$5:$A$1504,$A688,$D$5:$D$1504,"تسليم",$E$5:$E$1504,"&lt;="&amp;$E688)=0),"لا يوجد تسليم قبل الحركة دي",""))))))</f>
        <v/>
      </c>
    </row>
    <row r="689" customFormat="false" ht="15" hidden="false" customHeight="false" outlineLevel="0" collapsed="false">
      <c r="A689" s="20"/>
      <c r="B689" s="35" t="str">
        <f aca="false">IF($A689="","",IFERROR(INDEX(مخرج_البند,MATCH($A689,قائمة_المخرجات,0)),""))</f>
        <v/>
      </c>
      <c r="C689" s="30" t="str">
        <f aca="false">IF($A689="","",IFERROR(INDEX(مخرج_الوصف,MATCH($A689,قائمة_المخرجات,0)),""))</f>
        <v/>
      </c>
      <c r="D689" s="20"/>
      <c r="E689" s="31"/>
      <c r="F689" s="22"/>
      <c r="G689" s="36" t="str">
        <f aca="false">IF(OR($A689="",$D689&lt;&gt;"تسليم",NOT(ISNUMBER($E689))),"",COUNTIFS($A$5:$A$1504,$A689,$D$5:$D$1504,"تسليم",$E$5:$E$1504,"&lt;"&amp;$E689)+1)</f>
        <v/>
      </c>
      <c r="H689" s="33" t="str">
        <f aca="false">IF($G689="","",_xlfn.MINIFS($E$5:$E$1504,$A$5:$A$1504,$A689,$D$5:$D$1504,"&lt;&gt;تسليم",$E$5:$E$1504,"&gt;="&amp;$E689))</f>
        <v/>
      </c>
      <c r="I689" s="33" t="str">
        <f aca="false">IF($G689="","",_xlfn.MINIFS($E$5:$E$1504,$A$5:$A$1504,$A689,$D$5:$D$1504,"تسليم",$E$5:$E$1504,"&gt;"&amp;$E689))</f>
        <v/>
      </c>
      <c r="J689" s="33" t="str">
        <f aca="false">IF($G689="","",IF(H689&gt;0,IF(I689&gt;0,MIN(H689,I689),H689),IF(I689&gt;0,I689,تاريخ_الاحتساب)))</f>
        <v/>
      </c>
      <c r="K689" s="34" t="str">
        <f aca="false">IF($G689="","",IF(AND(H689=0,I689=0),"جارية","مغلقة"))</f>
        <v/>
      </c>
      <c r="L689" s="26" t="str">
        <f aca="false">IF($G689="","",MAX(0,NETWORKDAYS.INTL($E689,J689,رمز_العطلة,أيام_الأجازات)-1))</f>
        <v/>
      </c>
      <c r="M689" s="26" t="str">
        <f aca="false">IF($G689="","",MAX(0,L689-مهلة_المراجعة))</f>
        <v/>
      </c>
      <c r="N689" s="30" t="str">
        <f aca="false">IF($A689="",IF(OR($D689&lt;&gt;"",$E689&lt;&gt;""),"رقم المخرج ناقص",""),IF(ISNA(MATCH($A689,قائمة_المخرجات,0)),"رقم مخرج غير موجود",IF($D689="","نوع الحركة ناقص",IF(NOT(ISNUMBER($E689)),"التاريخ ناقص",IF($E689&gt;تاريخ_الاحتساب,"تاريخ بعد تاريخ الاحتساب",IF(AND($D689&lt;&gt;"تسليم",COUNTIFS($A$5:$A$1504,$A689,$D$5:$D$1504,"تسليم",$E$5:$E$1504,"&lt;="&amp;$E689)=0),"لا يوجد تسليم قبل الحركة دي",""))))))</f>
        <v/>
      </c>
    </row>
    <row r="690" customFormat="false" ht="15" hidden="false" customHeight="false" outlineLevel="0" collapsed="false">
      <c r="A690" s="20"/>
      <c r="B690" s="35" t="str">
        <f aca="false">IF($A690="","",IFERROR(INDEX(مخرج_البند,MATCH($A690,قائمة_المخرجات,0)),""))</f>
        <v/>
      </c>
      <c r="C690" s="30" t="str">
        <f aca="false">IF($A690="","",IFERROR(INDEX(مخرج_الوصف,MATCH($A690,قائمة_المخرجات,0)),""))</f>
        <v/>
      </c>
      <c r="D690" s="20"/>
      <c r="E690" s="31"/>
      <c r="F690" s="22"/>
      <c r="G690" s="36" t="str">
        <f aca="false">IF(OR($A690="",$D690&lt;&gt;"تسليم",NOT(ISNUMBER($E690))),"",COUNTIFS($A$5:$A$1504,$A690,$D$5:$D$1504,"تسليم",$E$5:$E$1504,"&lt;"&amp;$E690)+1)</f>
        <v/>
      </c>
      <c r="H690" s="33" t="str">
        <f aca="false">IF($G690="","",_xlfn.MINIFS($E$5:$E$1504,$A$5:$A$1504,$A690,$D$5:$D$1504,"&lt;&gt;تسليم",$E$5:$E$1504,"&gt;="&amp;$E690))</f>
        <v/>
      </c>
      <c r="I690" s="33" t="str">
        <f aca="false">IF($G690="","",_xlfn.MINIFS($E$5:$E$1504,$A$5:$A$1504,$A690,$D$5:$D$1504,"تسليم",$E$5:$E$1504,"&gt;"&amp;$E690))</f>
        <v/>
      </c>
      <c r="J690" s="33" t="str">
        <f aca="false">IF($G690="","",IF(H690&gt;0,IF(I690&gt;0,MIN(H690,I690),H690),IF(I690&gt;0,I690,تاريخ_الاحتساب)))</f>
        <v/>
      </c>
      <c r="K690" s="34" t="str">
        <f aca="false">IF($G690="","",IF(AND(H690=0,I690=0),"جارية","مغلقة"))</f>
        <v/>
      </c>
      <c r="L690" s="26" t="str">
        <f aca="false">IF($G690="","",MAX(0,NETWORKDAYS.INTL($E690,J690,رمز_العطلة,أيام_الأجازات)-1))</f>
        <v/>
      </c>
      <c r="M690" s="26" t="str">
        <f aca="false">IF($G690="","",MAX(0,L690-مهلة_المراجعة))</f>
        <v/>
      </c>
      <c r="N690" s="30" t="str">
        <f aca="false">IF($A690="",IF(OR($D690&lt;&gt;"",$E690&lt;&gt;""),"رقم المخرج ناقص",""),IF(ISNA(MATCH($A690,قائمة_المخرجات,0)),"رقم مخرج غير موجود",IF($D690="","نوع الحركة ناقص",IF(NOT(ISNUMBER($E690)),"التاريخ ناقص",IF($E690&gt;تاريخ_الاحتساب,"تاريخ بعد تاريخ الاحتساب",IF(AND($D690&lt;&gt;"تسليم",COUNTIFS($A$5:$A$1504,$A690,$D$5:$D$1504,"تسليم",$E$5:$E$1504,"&lt;="&amp;$E690)=0),"لا يوجد تسليم قبل الحركة دي",""))))))</f>
        <v/>
      </c>
    </row>
    <row r="691" customFormat="false" ht="15" hidden="false" customHeight="false" outlineLevel="0" collapsed="false">
      <c r="A691" s="20"/>
      <c r="B691" s="35" t="str">
        <f aca="false">IF($A691="","",IFERROR(INDEX(مخرج_البند,MATCH($A691,قائمة_المخرجات,0)),""))</f>
        <v/>
      </c>
      <c r="C691" s="30" t="str">
        <f aca="false">IF($A691="","",IFERROR(INDEX(مخرج_الوصف,MATCH($A691,قائمة_المخرجات,0)),""))</f>
        <v/>
      </c>
      <c r="D691" s="20"/>
      <c r="E691" s="31"/>
      <c r="F691" s="22"/>
      <c r="G691" s="36" t="str">
        <f aca="false">IF(OR($A691="",$D691&lt;&gt;"تسليم",NOT(ISNUMBER($E691))),"",COUNTIFS($A$5:$A$1504,$A691,$D$5:$D$1504,"تسليم",$E$5:$E$1504,"&lt;"&amp;$E691)+1)</f>
        <v/>
      </c>
      <c r="H691" s="33" t="str">
        <f aca="false">IF($G691="","",_xlfn.MINIFS($E$5:$E$1504,$A$5:$A$1504,$A691,$D$5:$D$1504,"&lt;&gt;تسليم",$E$5:$E$1504,"&gt;="&amp;$E691))</f>
        <v/>
      </c>
      <c r="I691" s="33" t="str">
        <f aca="false">IF($G691="","",_xlfn.MINIFS($E$5:$E$1504,$A$5:$A$1504,$A691,$D$5:$D$1504,"تسليم",$E$5:$E$1504,"&gt;"&amp;$E691))</f>
        <v/>
      </c>
      <c r="J691" s="33" t="str">
        <f aca="false">IF($G691="","",IF(H691&gt;0,IF(I691&gt;0,MIN(H691,I691),H691),IF(I691&gt;0,I691,تاريخ_الاحتساب)))</f>
        <v/>
      </c>
      <c r="K691" s="34" t="str">
        <f aca="false">IF($G691="","",IF(AND(H691=0,I691=0),"جارية","مغلقة"))</f>
        <v/>
      </c>
      <c r="L691" s="26" t="str">
        <f aca="false">IF($G691="","",MAX(0,NETWORKDAYS.INTL($E691,J691,رمز_العطلة,أيام_الأجازات)-1))</f>
        <v/>
      </c>
      <c r="M691" s="26" t="str">
        <f aca="false">IF($G691="","",MAX(0,L691-مهلة_المراجعة))</f>
        <v/>
      </c>
      <c r="N691" s="30" t="str">
        <f aca="false">IF($A691="",IF(OR($D691&lt;&gt;"",$E691&lt;&gt;""),"رقم المخرج ناقص",""),IF(ISNA(MATCH($A691,قائمة_المخرجات,0)),"رقم مخرج غير موجود",IF($D691="","نوع الحركة ناقص",IF(NOT(ISNUMBER($E691)),"التاريخ ناقص",IF($E691&gt;تاريخ_الاحتساب,"تاريخ بعد تاريخ الاحتساب",IF(AND($D691&lt;&gt;"تسليم",COUNTIFS($A$5:$A$1504,$A691,$D$5:$D$1504,"تسليم",$E$5:$E$1504,"&lt;="&amp;$E691)=0),"لا يوجد تسليم قبل الحركة دي",""))))))</f>
        <v/>
      </c>
    </row>
    <row r="692" customFormat="false" ht="15" hidden="false" customHeight="false" outlineLevel="0" collapsed="false">
      <c r="A692" s="20"/>
      <c r="B692" s="35" t="str">
        <f aca="false">IF($A692="","",IFERROR(INDEX(مخرج_البند,MATCH($A692,قائمة_المخرجات,0)),""))</f>
        <v/>
      </c>
      <c r="C692" s="30" t="str">
        <f aca="false">IF($A692="","",IFERROR(INDEX(مخرج_الوصف,MATCH($A692,قائمة_المخرجات,0)),""))</f>
        <v/>
      </c>
      <c r="D692" s="20"/>
      <c r="E692" s="31"/>
      <c r="F692" s="22"/>
      <c r="G692" s="36" t="str">
        <f aca="false">IF(OR($A692="",$D692&lt;&gt;"تسليم",NOT(ISNUMBER($E692))),"",COUNTIFS($A$5:$A$1504,$A692,$D$5:$D$1504,"تسليم",$E$5:$E$1504,"&lt;"&amp;$E692)+1)</f>
        <v/>
      </c>
      <c r="H692" s="33" t="str">
        <f aca="false">IF($G692="","",_xlfn.MINIFS($E$5:$E$1504,$A$5:$A$1504,$A692,$D$5:$D$1504,"&lt;&gt;تسليم",$E$5:$E$1504,"&gt;="&amp;$E692))</f>
        <v/>
      </c>
      <c r="I692" s="33" t="str">
        <f aca="false">IF($G692="","",_xlfn.MINIFS($E$5:$E$1504,$A$5:$A$1504,$A692,$D$5:$D$1504,"تسليم",$E$5:$E$1504,"&gt;"&amp;$E692))</f>
        <v/>
      </c>
      <c r="J692" s="33" t="str">
        <f aca="false">IF($G692="","",IF(H692&gt;0,IF(I692&gt;0,MIN(H692,I692),H692),IF(I692&gt;0,I692,تاريخ_الاحتساب)))</f>
        <v/>
      </c>
      <c r="K692" s="34" t="str">
        <f aca="false">IF($G692="","",IF(AND(H692=0,I692=0),"جارية","مغلقة"))</f>
        <v/>
      </c>
      <c r="L692" s="26" t="str">
        <f aca="false">IF($G692="","",MAX(0,NETWORKDAYS.INTL($E692,J692,رمز_العطلة,أيام_الأجازات)-1))</f>
        <v/>
      </c>
      <c r="M692" s="26" t="str">
        <f aca="false">IF($G692="","",MAX(0,L692-مهلة_المراجعة))</f>
        <v/>
      </c>
      <c r="N692" s="30" t="str">
        <f aca="false">IF($A692="",IF(OR($D692&lt;&gt;"",$E692&lt;&gt;""),"رقم المخرج ناقص",""),IF(ISNA(MATCH($A692,قائمة_المخرجات,0)),"رقم مخرج غير موجود",IF($D692="","نوع الحركة ناقص",IF(NOT(ISNUMBER($E692)),"التاريخ ناقص",IF($E692&gt;تاريخ_الاحتساب,"تاريخ بعد تاريخ الاحتساب",IF(AND($D692&lt;&gt;"تسليم",COUNTIFS($A$5:$A$1504,$A692,$D$5:$D$1504,"تسليم",$E$5:$E$1504,"&lt;="&amp;$E692)=0),"لا يوجد تسليم قبل الحركة دي",""))))))</f>
        <v/>
      </c>
    </row>
    <row r="693" customFormat="false" ht="15" hidden="false" customHeight="false" outlineLevel="0" collapsed="false">
      <c r="A693" s="20"/>
      <c r="B693" s="35" t="str">
        <f aca="false">IF($A693="","",IFERROR(INDEX(مخرج_البند,MATCH($A693,قائمة_المخرجات,0)),""))</f>
        <v/>
      </c>
      <c r="C693" s="30" t="str">
        <f aca="false">IF($A693="","",IFERROR(INDEX(مخرج_الوصف,MATCH($A693,قائمة_المخرجات,0)),""))</f>
        <v/>
      </c>
      <c r="D693" s="20"/>
      <c r="E693" s="31"/>
      <c r="F693" s="22"/>
      <c r="G693" s="36" t="str">
        <f aca="false">IF(OR($A693="",$D693&lt;&gt;"تسليم",NOT(ISNUMBER($E693))),"",COUNTIFS($A$5:$A$1504,$A693,$D$5:$D$1504,"تسليم",$E$5:$E$1504,"&lt;"&amp;$E693)+1)</f>
        <v/>
      </c>
      <c r="H693" s="33" t="str">
        <f aca="false">IF($G693="","",_xlfn.MINIFS($E$5:$E$1504,$A$5:$A$1504,$A693,$D$5:$D$1504,"&lt;&gt;تسليم",$E$5:$E$1504,"&gt;="&amp;$E693))</f>
        <v/>
      </c>
      <c r="I693" s="33" t="str">
        <f aca="false">IF($G693="","",_xlfn.MINIFS($E$5:$E$1504,$A$5:$A$1504,$A693,$D$5:$D$1504,"تسليم",$E$5:$E$1504,"&gt;"&amp;$E693))</f>
        <v/>
      </c>
      <c r="J693" s="33" t="str">
        <f aca="false">IF($G693="","",IF(H693&gt;0,IF(I693&gt;0,MIN(H693,I693),H693),IF(I693&gt;0,I693,تاريخ_الاحتساب)))</f>
        <v/>
      </c>
      <c r="K693" s="34" t="str">
        <f aca="false">IF($G693="","",IF(AND(H693=0,I693=0),"جارية","مغلقة"))</f>
        <v/>
      </c>
      <c r="L693" s="26" t="str">
        <f aca="false">IF($G693="","",MAX(0,NETWORKDAYS.INTL($E693,J693,رمز_العطلة,أيام_الأجازات)-1))</f>
        <v/>
      </c>
      <c r="M693" s="26" t="str">
        <f aca="false">IF($G693="","",MAX(0,L693-مهلة_المراجعة))</f>
        <v/>
      </c>
      <c r="N693" s="30" t="str">
        <f aca="false">IF($A693="",IF(OR($D693&lt;&gt;"",$E693&lt;&gt;""),"رقم المخرج ناقص",""),IF(ISNA(MATCH($A693,قائمة_المخرجات,0)),"رقم مخرج غير موجود",IF($D693="","نوع الحركة ناقص",IF(NOT(ISNUMBER($E693)),"التاريخ ناقص",IF($E693&gt;تاريخ_الاحتساب,"تاريخ بعد تاريخ الاحتساب",IF(AND($D693&lt;&gt;"تسليم",COUNTIFS($A$5:$A$1504,$A693,$D$5:$D$1504,"تسليم",$E$5:$E$1504,"&lt;="&amp;$E693)=0),"لا يوجد تسليم قبل الحركة دي",""))))))</f>
        <v/>
      </c>
    </row>
    <row r="694" customFormat="false" ht="15" hidden="false" customHeight="false" outlineLevel="0" collapsed="false">
      <c r="A694" s="20"/>
      <c r="B694" s="35" t="str">
        <f aca="false">IF($A694="","",IFERROR(INDEX(مخرج_البند,MATCH($A694,قائمة_المخرجات,0)),""))</f>
        <v/>
      </c>
      <c r="C694" s="30" t="str">
        <f aca="false">IF($A694="","",IFERROR(INDEX(مخرج_الوصف,MATCH($A694,قائمة_المخرجات,0)),""))</f>
        <v/>
      </c>
      <c r="D694" s="20"/>
      <c r="E694" s="31"/>
      <c r="F694" s="22"/>
      <c r="G694" s="36" t="str">
        <f aca="false">IF(OR($A694="",$D694&lt;&gt;"تسليم",NOT(ISNUMBER($E694))),"",COUNTIFS($A$5:$A$1504,$A694,$D$5:$D$1504,"تسليم",$E$5:$E$1504,"&lt;"&amp;$E694)+1)</f>
        <v/>
      </c>
      <c r="H694" s="33" t="str">
        <f aca="false">IF($G694="","",_xlfn.MINIFS($E$5:$E$1504,$A$5:$A$1504,$A694,$D$5:$D$1504,"&lt;&gt;تسليم",$E$5:$E$1504,"&gt;="&amp;$E694))</f>
        <v/>
      </c>
      <c r="I694" s="33" t="str">
        <f aca="false">IF($G694="","",_xlfn.MINIFS($E$5:$E$1504,$A$5:$A$1504,$A694,$D$5:$D$1504,"تسليم",$E$5:$E$1504,"&gt;"&amp;$E694))</f>
        <v/>
      </c>
      <c r="J694" s="33" t="str">
        <f aca="false">IF($G694="","",IF(H694&gt;0,IF(I694&gt;0,MIN(H694,I694),H694),IF(I694&gt;0,I694,تاريخ_الاحتساب)))</f>
        <v/>
      </c>
      <c r="K694" s="34" t="str">
        <f aca="false">IF($G694="","",IF(AND(H694=0,I694=0),"جارية","مغلقة"))</f>
        <v/>
      </c>
      <c r="L694" s="26" t="str">
        <f aca="false">IF($G694="","",MAX(0,NETWORKDAYS.INTL($E694,J694,رمز_العطلة,أيام_الأجازات)-1))</f>
        <v/>
      </c>
      <c r="M694" s="26" t="str">
        <f aca="false">IF($G694="","",MAX(0,L694-مهلة_المراجعة))</f>
        <v/>
      </c>
      <c r="N694" s="30" t="str">
        <f aca="false">IF($A694="",IF(OR($D694&lt;&gt;"",$E694&lt;&gt;""),"رقم المخرج ناقص",""),IF(ISNA(MATCH($A694,قائمة_المخرجات,0)),"رقم مخرج غير موجود",IF($D694="","نوع الحركة ناقص",IF(NOT(ISNUMBER($E694)),"التاريخ ناقص",IF($E694&gt;تاريخ_الاحتساب,"تاريخ بعد تاريخ الاحتساب",IF(AND($D694&lt;&gt;"تسليم",COUNTIFS($A$5:$A$1504,$A694,$D$5:$D$1504,"تسليم",$E$5:$E$1504,"&lt;="&amp;$E694)=0),"لا يوجد تسليم قبل الحركة دي",""))))))</f>
        <v/>
      </c>
    </row>
    <row r="695" customFormat="false" ht="15" hidden="false" customHeight="false" outlineLevel="0" collapsed="false">
      <c r="A695" s="20"/>
      <c r="B695" s="35" t="str">
        <f aca="false">IF($A695="","",IFERROR(INDEX(مخرج_البند,MATCH($A695,قائمة_المخرجات,0)),""))</f>
        <v/>
      </c>
      <c r="C695" s="30" t="str">
        <f aca="false">IF($A695="","",IFERROR(INDEX(مخرج_الوصف,MATCH($A695,قائمة_المخرجات,0)),""))</f>
        <v/>
      </c>
      <c r="D695" s="20"/>
      <c r="E695" s="31"/>
      <c r="F695" s="22"/>
      <c r="G695" s="36" t="str">
        <f aca="false">IF(OR($A695="",$D695&lt;&gt;"تسليم",NOT(ISNUMBER($E695))),"",COUNTIFS($A$5:$A$1504,$A695,$D$5:$D$1504,"تسليم",$E$5:$E$1504,"&lt;"&amp;$E695)+1)</f>
        <v/>
      </c>
      <c r="H695" s="33" t="str">
        <f aca="false">IF($G695="","",_xlfn.MINIFS($E$5:$E$1504,$A$5:$A$1504,$A695,$D$5:$D$1504,"&lt;&gt;تسليم",$E$5:$E$1504,"&gt;="&amp;$E695))</f>
        <v/>
      </c>
      <c r="I695" s="33" t="str">
        <f aca="false">IF($G695="","",_xlfn.MINIFS($E$5:$E$1504,$A$5:$A$1504,$A695,$D$5:$D$1504,"تسليم",$E$5:$E$1504,"&gt;"&amp;$E695))</f>
        <v/>
      </c>
      <c r="J695" s="33" t="str">
        <f aca="false">IF($G695="","",IF(H695&gt;0,IF(I695&gt;0,MIN(H695,I695),H695),IF(I695&gt;0,I695,تاريخ_الاحتساب)))</f>
        <v/>
      </c>
      <c r="K695" s="34" t="str">
        <f aca="false">IF($G695="","",IF(AND(H695=0,I695=0),"جارية","مغلقة"))</f>
        <v/>
      </c>
      <c r="L695" s="26" t="str">
        <f aca="false">IF($G695="","",MAX(0,NETWORKDAYS.INTL($E695,J695,رمز_العطلة,أيام_الأجازات)-1))</f>
        <v/>
      </c>
      <c r="M695" s="26" t="str">
        <f aca="false">IF($G695="","",MAX(0,L695-مهلة_المراجعة))</f>
        <v/>
      </c>
      <c r="N695" s="30" t="str">
        <f aca="false">IF($A695="",IF(OR($D695&lt;&gt;"",$E695&lt;&gt;""),"رقم المخرج ناقص",""),IF(ISNA(MATCH($A695,قائمة_المخرجات,0)),"رقم مخرج غير موجود",IF($D695="","نوع الحركة ناقص",IF(NOT(ISNUMBER($E695)),"التاريخ ناقص",IF($E695&gt;تاريخ_الاحتساب,"تاريخ بعد تاريخ الاحتساب",IF(AND($D695&lt;&gt;"تسليم",COUNTIFS($A$5:$A$1504,$A695,$D$5:$D$1504,"تسليم",$E$5:$E$1504,"&lt;="&amp;$E695)=0),"لا يوجد تسليم قبل الحركة دي",""))))))</f>
        <v/>
      </c>
    </row>
    <row r="696" customFormat="false" ht="15" hidden="false" customHeight="false" outlineLevel="0" collapsed="false">
      <c r="A696" s="20"/>
      <c r="B696" s="35" t="str">
        <f aca="false">IF($A696="","",IFERROR(INDEX(مخرج_البند,MATCH($A696,قائمة_المخرجات,0)),""))</f>
        <v/>
      </c>
      <c r="C696" s="30" t="str">
        <f aca="false">IF($A696="","",IFERROR(INDEX(مخرج_الوصف,MATCH($A696,قائمة_المخرجات,0)),""))</f>
        <v/>
      </c>
      <c r="D696" s="20"/>
      <c r="E696" s="31"/>
      <c r="F696" s="22"/>
      <c r="G696" s="36" t="str">
        <f aca="false">IF(OR($A696="",$D696&lt;&gt;"تسليم",NOT(ISNUMBER($E696))),"",COUNTIFS($A$5:$A$1504,$A696,$D$5:$D$1504,"تسليم",$E$5:$E$1504,"&lt;"&amp;$E696)+1)</f>
        <v/>
      </c>
      <c r="H696" s="33" t="str">
        <f aca="false">IF($G696="","",_xlfn.MINIFS($E$5:$E$1504,$A$5:$A$1504,$A696,$D$5:$D$1504,"&lt;&gt;تسليم",$E$5:$E$1504,"&gt;="&amp;$E696))</f>
        <v/>
      </c>
      <c r="I696" s="33" t="str">
        <f aca="false">IF($G696="","",_xlfn.MINIFS($E$5:$E$1504,$A$5:$A$1504,$A696,$D$5:$D$1504,"تسليم",$E$5:$E$1504,"&gt;"&amp;$E696))</f>
        <v/>
      </c>
      <c r="J696" s="33" t="str">
        <f aca="false">IF($G696="","",IF(H696&gt;0,IF(I696&gt;0,MIN(H696,I696),H696),IF(I696&gt;0,I696,تاريخ_الاحتساب)))</f>
        <v/>
      </c>
      <c r="K696" s="34" t="str">
        <f aca="false">IF($G696="","",IF(AND(H696=0,I696=0),"جارية","مغلقة"))</f>
        <v/>
      </c>
      <c r="L696" s="26" t="str">
        <f aca="false">IF($G696="","",MAX(0,NETWORKDAYS.INTL($E696,J696,رمز_العطلة,أيام_الأجازات)-1))</f>
        <v/>
      </c>
      <c r="M696" s="26" t="str">
        <f aca="false">IF($G696="","",MAX(0,L696-مهلة_المراجعة))</f>
        <v/>
      </c>
      <c r="N696" s="30" t="str">
        <f aca="false">IF($A696="",IF(OR($D696&lt;&gt;"",$E696&lt;&gt;""),"رقم المخرج ناقص",""),IF(ISNA(MATCH($A696,قائمة_المخرجات,0)),"رقم مخرج غير موجود",IF($D696="","نوع الحركة ناقص",IF(NOT(ISNUMBER($E696)),"التاريخ ناقص",IF($E696&gt;تاريخ_الاحتساب,"تاريخ بعد تاريخ الاحتساب",IF(AND($D696&lt;&gt;"تسليم",COUNTIFS($A$5:$A$1504,$A696,$D$5:$D$1504,"تسليم",$E$5:$E$1504,"&lt;="&amp;$E696)=0),"لا يوجد تسليم قبل الحركة دي",""))))))</f>
        <v/>
      </c>
    </row>
    <row r="697" customFormat="false" ht="15" hidden="false" customHeight="false" outlineLevel="0" collapsed="false">
      <c r="A697" s="20"/>
      <c r="B697" s="35" t="str">
        <f aca="false">IF($A697="","",IFERROR(INDEX(مخرج_البند,MATCH($A697,قائمة_المخرجات,0)),""))</f>
        <v/>
      </c>
      <c r="C697" s="30" t="str">
        <f aca="false">IF($A697="","",IFERROR(INDEX(مخرج_الوصف,MATCH($A697,قائمة_المخرجات,0)),""))</f>
        <v/>
      </c>
      <c r="D697" s="20"/>
      <c r="E697" s="31"/>
      <c r="F697" s="22"/>
      <c r="G697" s="36" t="str">
        <f aca="false">IF(OR($A697="",$D697&lt;&gt;"تسليم",NOT(ISNUMBER($E697))),"",COUNTIFS($A$5:$A$1504,$A697,$D$5:$D$1504,"تسليم",$E$5:$E$1504,"&lt;"&amp;$E697)+1)</f>
        <v/>
      </c>
      <c r="H697" s="33" t="str">
        <f aca="false">IF($G697="","",_xlfn.MINIFS($E$5:$E$1504,$A$5:$A$1504,$A697,$D$5:$D$1504,"&lt;&gt;تسليم",$E$5:$E$1504,"&gt;="&amp;$E697))</f>
        <v/>
      </c>
      <c r="I697" s="33" t="str">
        <f aca="false">IF($G697="","",_xlfn.MINIFS($E$5:$E$1504,$A$5:$A$1504,$A697,$D$5:$D$1504,"تسليم",$E$5:$E$1504,"&gt;"&amp;$E697))</f>
        <v/>
      </c>
      <c r="J697" s="33" t="str">
        <f aca="false">IF($G697="","",IF(H697&gt;0,IF(I697&gt;0,MIN(H697,I697),H697),IF(I697&gt;0,I697,تاريخ_الاحتساب)))</f>
        <v/>
      </c>
      <c r="K697" s="34" t="str">
        <f aca="false">IF($G697="","",IF(AND(H697=0,I697=0),"جارية","مغلقة"))</f>
        <v/>
      </c>
      <c r="L697" s="26" t="str">
        <f aca="false">IF($G697="","",MAX(0,NETWORKDAYS.INTL($E697,J697,رمز_العطلة,أيام_الأجازات)-1))</f>
        <v/>
      </c>
      <c r="M697" s="26" t="str">
        <f aca="false">IF($G697="","",MAX(0,L697-مهلة_المراجعة))</f>
        <v/>
      </c>
      <c r="N697" s="30" t="str">
        <f aca="false">IF($A697="",IF(OR($D697&lt;&gt;"",$E697&lt;&gt;""),"رقم المخرج ناقص",""),IF(ISNA(MATCH($A697,قائمة_المخرجات,0)),"رقم مخرج غير موجود",IF($D697="","نوع الحركة ناقص",IF(NOT(ISNUMBER($E697)),"التاريخ ناقص",IF($E697&gt;تاريخ_الاحتساب,"تاريخ بعد تاريخ الاحتساب",IF(AND($D697&lt;&gt;"تسليم",COUNTIFS($A$5:$A$1504,$A697,$D$5:$D$1504,"تسليم",$E$5:$E$1504,"&lt;="&amp;$E697)=0),"لا يوجد تسليم قبل الحركة دي",""))))))</f>
        <v/>
      </c>
    </row>
    <row r="698" customFormat="false" ht="15" hidden="false" customHeight="false" outlineLevel="0" collapsed="false">
      <c r="A698" s="20"/>
      <c r="B698" s="35" t="str">
        <f aca="false">IF($A698="","",IFERROR(INDEX(مخرج_البند,MATCH($A698,قائمة_المخرجات,0)),""))</f>
        <v/>
      </c>
      <c r="C698" s="30" t="str">
        <f aca="false">IF($A698="","",IFERROR(INDEX(مخرج_الوصف,MATCH($A698,قائمة_المخرجات,0)),""))</f>
        <v/>
      </c>
      <c r="D698" s="20"/>
      <c r="E698" s="31"/>
      <c r="F698" s="22"/>
      <c r="G698" s="36" t="str">
        <f aca="false">IF(OR($A698="",$D698&lt;&gt;"تسليم",NOT(ISNUMBER($E698))),"",COUNTIFS($A$5:$A$1504,$A698,$D$5:$D$1504,"تسليم",$E$5:$E$1504,"&lt;"&amp;$E698)+1)</f>
        <v/>
      </c>
      <c r="H698" s="33" t="str">
        <f aca="false">IF($G698="","",_xlfn.MINIFS($E$5:$E$1504,$A$5:$A$1504,$A698,$D$5:$D$1504,"&lt;&gt;تسليم",$E$5:$E$1504,"&gt;="&amp;$E698))</f>
        <v/>
      </c>
      <c r="I698" s="33" t="str">
        <f aca="false">IF($G698="","",_xlfn.MINIFS($E$5:$E$1504,$A$5:$A$1504,$A698,$D$5:$D$1504,"تسليم",$E$5:$E$1504,"&gt;"&amp;$E698))</f>
        <v/>
      </c>
      <c r="J698" s="33" t="str">
        <f aca="false">IF($G698="","",IF(H698&gt;0,IF(I698&gt;0,MIN(H698,I698),H698),IF(I698&gt;0,I698,تاريخ_الاحتساب)))</f>
        <v/>
      </c>
      <c r="K698" s="34" t="str">
        <f aca="false">IF($G698="","",IF(AND(H698=0,I698=0),"جارية","مغلقة"))</f>
        <v/>
      </c>
      <c r="L698" s="26" t="str">
        <f aca="false">IF($G698="","",MAX(0,NETWORKDAYS.INTL($E698,J698,رمز_العطلة,أيام_الأجازات)-1))</f>
        <v/>
      </c>
      <c r="M698" s="26" t="str">
        <f aca="false">IF($G698="","",MAX(0,L698-مهلة_المراجعة))</f>
        <v/>
      </c>
      <c r="N698" s="30" t="str">
        <f aca="false">IF($A698="",IF(OR($D698&lt;&gt;"",$E698&lt;&gt;""),"رقم المخرج ناقص",""),IF(ISNA(MATCH($A698,قائمة_المخرجات,0)),"رقم مخرج غير موجود",IF($D698="","نوع الحركة ناقص",IF(NOT(ISNUMBER($E698)),"التاريخ ناقص",IF($E698&gt;تاريخ_الاحتساب,"تاريخ بعد تاريخ الاحتساب",IF(AND($D698&lt;&gt;"تسليم",COUNTIFS($A$5:$A$1504,$A698,$D$5:$D$1504,"تسليم",$E$5:$E$1504,"&lt;="&amp;$E698)=0),"لا يوجد تسليم قبل الحركة دي",""))))))</f>
        <v/>
      </c>
    </row>
    <row r="699" customFormat="false" ht="15" hidden="false" customHeight="false" outlineLevel="0" collapsed="false">
      <c r="A699" s="20"/>
      <c r="B699" s="35" t="str">
        <f aca="false">IF($A699="","",IFERROR(INDEX(مخرج_البند,MATCH($A699,قائمة_المخرجات,0)),""))</f>
        <v/>
      </c>
      <c r="C699" s="30" t="str">
        <f aca="false">IF($A699="","",IFERROR(INDEX(مخرج_الوصف,MATCH($A699,قائمة_المخرجات,0)),""))</f>
        <v/>
      </c>
      <c r="D699" s="20"/>
      <c r="E699" s="31"/>
      <c r="F699" s="22"/>
      <c r="G699" s="36" t="str">
        <f aca="false">IF(OR($A699="",$D699&lt;&gt;"تسليم",NOT(ISNUMBER($E699))),"",COUNTIFS($A$5:$A$1504,$A699,$D$5:$D$1504,"تسليم",$E$5:$E$1504,"&lt;"&amp;$E699)+1)</f>
        <v/>
      </c>
      <c r="H699" s="33" t="str">
        <f aca="false">IF($G699="","",_xlfn.MINIFS($E$5:$E$1504,$A$5:$A$1504,$A699,$D$5:$D$1504,"&lt;&gt;تسليم",$E$5:$E$1504,"&gt;="&amp;$E699))</f>
        <v/>
      </c>
      <c r="I699" s="33" t="str">
        <f aca="false">IF($G699="","",_xlfn.MINIFS($E$5:$E$1504,$A$5:$A$1504,$A699,$D$5:$D$1504,"تسليم",$E$5:$E$1504,"&gt;"&amp;$E699))</f>
        <v/>
      </c>
      <c r="J699" s="33" t="str">
        <f aca="false">IF($G699="","",IF(H699&gt;0,IF(I699&gt;0,MIN(H699,I699),H699),IF(I699&gt;0,I699,تاريخ_الاحتساب)))</f>
        <v/>
      </c>
      <c r="K699" s="34" t="str">
        <f aca="false">IF($G699="","",IF(AND(H699=0,I699=0),"جارية","مغلقة"))</f>
        <v/>
      </c>
      <c r="L699" s="26" t="str">
        <f aca="false">IF($G699="","",MAX(0,NETWORKDAYS.INTL($E699,J699,رمز_العطلة,أيام_الأجازات)-1))</f>
        <v/>
      </c>
      <c r="M699" s="26" t="str">
        <f aca="false">IF($G699="","",MAX(0,L699-مهلة_المراجعة))</f>
        <v/>
      </c>
      <c r="N699" s="30" t="str">
        <f aca="false">IF($A699="",IF(OR($D699&lt;&gt;"",$E699&lt;&gt;""),"رقم المخرج ناقص",""),IF(ISNA(MATCH($A699,قائمة_المخرجات,0)),"رقم مخرج غير موجود",IF($D699="","نوع الحركة ناقص",IF(NOT(ISNUMBER($E699)),"التاريخ ناقص",IF($E699&gt;تاريخ_الاحتساب,"تاريخ بعد تاريخ الاحتساب",IF(AND($D699&lt;&gt;"تسليم",COUNTIFS($A$5:$A$1504,$A699,$D$5:$D$1504,"تسليم",$E$5:$E$1504,"&lt;="&amp;$E699)=0),"لا يوجد تسليم قبل الحركة دي",""))))))</f>
        <v/>
      </c>
    </row>
    <row r="700" customFormat="false" ht="15" hidden="false" customHeight="false" outlineLevel="0" collapsed="false">
      <c r="A700" s="20"/>
      <c r="B700" s="35" t="str">
        <f aca="false">IF($A700="","",IFERROR(INDEX(مخرج_البند,MATCH($A700,قائمة_المخرجات,0)),""))</f>
        <v/>
      </c>
      <c r="C700" s="30" t="str">
        <f aca="false">IF($A700="","",IFERROR(INDEX(مخرج_الوصف,MATCH($A700,قائمة_المخرجات,0)),""))</f>
        <v/>
      </c>
      <c r="D700" s="20"/>
      <c r="E700" s="31"/>
      <c r="F700" s="22"/>
      <c r="G700" s="36" t="str">
        <f aca="false">IF(OR($A700="",$D700&lt;&gt;"تسليم",NOT(ISNUMBER($E700))),"",COUNTIFS($A$5:$A$1504,$A700,$D$5:$D$1504,"تسليم",$E$5:$E$1504,"&lt;"&amp;$E700)+1)</f>
        <v/>
      </c>
      <c r="H700" s="33" t="str">
        <f aca="false">IF($G700="","",_xlfn.MINIFS($E$5:$E$1504,$A$5:$A$1504,$A700,$D$5:$D$1504,"&lt;&gt;تسليم",$E$5:$E$1504,"&gt;="&amp;$E700))</f>
        <v/>
      </c>
      <c r="I700" s="33" t="str">
        <f aca="false">IF($G700="","",_xlfn.MINIFS($E$5:$E$1504,$A$5:$A$1504,$A700,$D$5:$D$1504,"تسليم",$E$5:$E$1504,"&gt;"&amp;$E700))</f>
        <v/>
      </c>
      <c r="J700" s="33" t="str">
        <f aca="false">IF($G700="","",IF(H700&gt;0,IF(I700&gt;0,MIN(H700,I700),H700),IF(I700&gt;0,I700,تاريخ_الاحتساب)))</f>
        <v/>
      </c>
      <c r="K700" s="34" t="str">
        <f aca="false">IF($G700="","",IF(AND(H700=0,I700=0),"جارية","مغلقة"))</f>
        <v/>
      </c>
      <c r="L700" s="26" t="str">
        <f aca="false">IF($G700="","",MAX(0,NETWORKDAYS.INTL($E700,J700,رمز_العطلة,أيام_الأجازات)-1))</f>
        <v/>
      </c>
      <c r="M700" s="26" t="str">
        <f aca="false">IF($G700="","",MAX(0,L700-مهلة_المراجعة))</f>
        <v/>
      </c>
      <c r="N700" s="30" t="str">
        <f aca="false">IF($A700="",IF(OR($D700&lt;&gt;"",$E700&lt;&gt;""),"رقم المخرج ناقص",""),IF(ISNA(MATCH($A700,قائمة_المخرجات,0)),"رقم مخرج غير موجود",IF($D700="","نوع الحركة ناقص",IF(NOT(ISNUMBER($E700)),"التاريخ ناقص",IF($E700&gt;تاريخ_الاحتساب,"تاريخ بعد تاريخ الاحتساب",IF(AND($D700&lt;&gt;"تسليم",COUNTIFS($A$5:$A$1504,$A700,$D$5:$D$1504,"تسليم",$E$5:$E$1504,"&lt;="&amp;$E700)=0),"لا يوجد تسليم قبل الحركة دي",""))))))</f>
        <v/>
      </c>
    </row>
    <row r="701" customFormat="false" ht="15" hidden="false" customHeight="false" outlineLevel="0" collapsed="false">
      <c r="A701" s="20"/>
      <c r="B701" s="35" t="str">
        <f aca="false">IF($A701="","",IFERROR(INDEX(مخرج_البند,MATCH($A701,قائمة_المخرجات,0)),""))</f>
        <v/>
      </c>
      <c r="C701" s="30" t="str">
        <f aca="false">IF($A701="","",IFERROR(INDEX(مخرج_الوصف,MATCH($A701,قائمة_المخرجات,0)),""))</f>
        <v/>
      </c>
      <c r="D701" s="20"/>
      <c r="E701" s="31"/>
      <c r="F701" s="22"/>
      <c r="G701" s="36" t="str">
        <f aca="false">IF(OR($A701="",$D701&lt;&gt;"تسليم",NOT(ISNUMBER($E701))),"",COUNTIFS($A$5:$A$1504,$A701,$D$5:$D$1504,"تسليم",$E$5:$E$1504,"&lt;"&amp;$E701)+1)</f>
        <v/>
      </c>
      <c r="H701" s="33" t="str">
        <f aca="false">IF($G701="","",_xlfn.MINIFS($E$5:$E$1504,$A$5:$A$1504,$A701,$D$5:$D$1504,"&lt;&gt;تسليم",$E$5:$E$1504,"&gt;="&amp;$E701))</f>
        <v/>
      </c>
      <c r="I701" s="33" t="str">
        <f aca="false">IF($G701="","",_xlfn.MINIFS($E$5:$E$1504,$A$5:$A$1504,$A701,$D$5:$D$1504,"تسليم",$E$5:$E$1504,"&gt;"&amp;$E701))</f>
        <v/>
      </c>
      <c r="J701" s="33" t="str">
        <f aca="false">IF($G701="","",IF(H701&gt;0,IF(I701&gt;0,MIN(H701,I701),H701),IF(I701&gt;0,I701,تاريخ_الاحتساب)))</f>
        <v/>
      </c>
      <c r="K701" s="34" t="str">
        <f aca="false">IF($G701="","",IF(AND(H701=0,I701=0),"جارية","مغلقة"))</f>
        <v/>
      </c>
      <c r="L701" s="26" t="str">
        <f aca="false">IF($G701="","",MAX(0,NETWORKDAYS.INTL($E701,J701,رمز_العطلة,أيام_الأجازات)-1))</f>
        <v/>
      </c>
      <c r="M701" s="26" t="str">
        <f aca="false">IF($G701="","",MAX(0,L701-مهلة_المراجعة))</f>
        <v/>
      </c>
      <c r="N701" s="30" t="str">
        <f aca="false">IF($A701="",IF(OR($D701&lt;&gt;"",$E701&lt;&gt;""),"رقم المخرج ناقص",""),IF(ISNA(MATCH($A701,قائمة_المخرجات,0)),"رقم مخرج غير موجود",IF($D701="","نوع الحركة ناقص",IF(NOT(ISNUMBER($E701)),"التاريخ ناقص",IF($E701&gt;تاريخ_الاحتساب,"تاريخ بعد تاريخ الاحتساب",IF(AND($D701&lt;&gt;"تسليم",COUNTIFS($A$5:$A$1504,$A701,$D$5:$D$1504,"تسليم",$E$5:$E$1504,"&lt;="&amp;$E701)=0),"لا يوجد تسليم قبل الحركة دي",""))))))</f>
        <v/>
      </c>
    </row>
    <row r="702" customFormat="false" ht="15" hidden="false" customHeight="false" outlineLevel="0" collapsed="false">
      <c r="A702" s="20"/>
      <c r="B702" s="35" t="str">
        <f aca="false">IF($A702="","",IFERROR(INDEX(مخرج_البند,MATCH($A702,قائمة_المخرجات,0)),""))</f>
        <v/>
      </c>
      <c r="C702" s="30" t="str">
        <f aca="false">IF($A702="","",IFERROR(INDEX(مخرج_الوصف,MATCH($A702,قائمة_المخرجات,0)),""))</f>
        <v/>
      </c>
      <c r="D702" s="20"/>
      <c r="E702" s="31"/>
      <c r="F702" s="22"/>
      <c r="G702" s="36" t="str">
        <f aca="false">IF(OR($A702="",$D702&lt;&gt;"تسليم",NOT(ISNUMBER($E702))),"",COUNTIFS($A$5:$A$1504,$A702,$D$5:$D$1504,"تسليم",$E$5:$E$1504,"&lt;"&amp;$E702)+1)</f>
        <v/>
      </c>
      <c r="H702" s="33" t="str">
        <f aca="false">IF($G702="","",_xlfn.MINIFS($E$5:$E$1504,$A$5:$A$1504,$A702,$D$5:$D$1504,"&lt;&gt;تسليم",$E$5:$E$1504,"&gt;="&amp;$E702))</f>
        <v/>
      </c>
      <c r="I702" s="33" t="str">
        <f aca="false">IF($G702="","",_xlfn.MINIFS($E$5:$E$1504,$A$5:$A$1504,$A702,$D$5:$D$1504,"تسليم",$E$5:$E$1504,"&gt;"&amp;$E702))</f>
        <v/>
      </c>
      <c r="J702" s="33" t="str">
        <f aca="false">IF($G702="","",IF(H702&gt;0,IF(I702&gt;0,MIN(H702,I702),H702),IF(I702&gt;0,I702,تاريخ_الاحتساب)))</f>
        <v/>
      </c>
      <c r="K702" s="34" t="str">
        <f aca="false">IF($G702="","",IF(AND(H702=0,I702=0),"جارية","مغلقة"))</f>
        <v/>
      </c>
      <c r="L702" s="26" t="str">
        <f aca="false">IF($G702="","",MAX(0,NETWORKDAYS.INTL($E702,J702,رمز_العطلة,أيام_الأجازات)-1))</f>
        <v/>
      </c>
      <c r="M702" s="26" t="str">
        <f aca="false">IF($G702="","",MAX(0,L702-مهلة_المراجعة))</f>
        <v/>
      </c>
      <c r="N702" s="30" t="str">
        <f aca="false">IF($A702="",IF(OR($D702&lt;&gt;"",$E702&lt;&gt;""),"رقم المخرج ناقص",""),IF(ISNA(MATCH($A702,قائمة_المخرجات,0)),"رقم مخرج غير موجود",IF($D702="","نوع الحركة ناقص",IF(NOT(ISNUMBER($E702)),"التاريخ ناقص",IF($E702&gt;تاريخ_الاحتساب,"تاريخ بعد تاريخ الاحتساب",IF(AND($D702&lt;&gt;"تسليم",COUNTIFS($A$5:$A$1504,$A702,$D$5:$D$1504,"تسليم",$E$5:$E$1504,"&lt;="&amp;$E702)=0),"لا يوجد تسليم قبل الحركة دي",""))))))</f>
        <v/>
      </c>
    </row>
    <row r="703" customFormat="false" ht="15" hidden="false" customHeight="false" outlineLevel="0" collapsed="false">
      <c r="A703" s="20"/>
      <c r="B703" s="35" t="str">
        <f aca="false">IF($A703="","",IFERROR(INDEX(مخرج_البند,MATCH($A703,قائمة_المخرجات,0)),""))</f>
        <v/>
      </c>
      <c r="C703" s="30" t="str">
        <f aca="false">IF($A703="","",IFERROR(INDEX(مخرج_الوصف,MATCH($A703,قائمة_المخرجات,0)),""))</f>
        <v/>
      </c>
      <c r="D703" s="20"/>
      <c r="E703" s="31"/>
      <c r="F703" s="22"/>
      <c r="G703" s="36" t="str">
        <f aca="false">IF(OR($A703="",$D703&lt;&gt;"تسليم",NOT(ISNUMBER($E703))),"",COUNTIFS($A$5:$A$1504,$A703,$D$5:$D$1504,"تسليم",$E$5:$E$1504,"&lt;"&amp;$E703)+1)</f>
        <v/>
      </c>
      <c r="H703" s="33" t="str">
        <f aca="false">IF($G703="","",_xlfn.MINIFS($E$5:$E$1504,$A$5:$A$1504,$A703,$D$5:$D$1504,"&lt;&gt;تسليم",$E$5:$E$1504,"&gt;="&amp;$E703))</f>
        <v/>
      </c>
      <c r="I703" s="33" t="str">
        <f aca="false">IF($G703="","",_xlfn.MINIFS($E$5:$E$1504,$A$5:$A$1504,$A703,$D$5:$D$1504,"تسليم",$E$5:$E$1504,"&gt;"&amp;$E703))</f>
        <v/>
      </c>
      <c r="J703" s="33" t="str">
        <f aca="false">IF($G703="","",IF(H703&gt;0,IF(I703&gt;0,MIN(H703,I703),H703),IF(I703&gt;0,I703,تاريخ_الاحتساب)))</f>
        <v/>
      </c>
      <c r="K703" s="34" t="str">
        <f aca="false">IF($G703="","",IF(AND(H703=0,I703=0),"جارية","مغلقة"))</f>
        <v/>
      </c>
      <c r="L703" s="26" t="str">
        <f aca="false">IF($G703="","",MAX(0,NETWORKDAYS.INTL($E703,J703,رمز_العطلة,أيام_الأجازات)-1))</f>
        <v/>
      </c>
      <c r="M703" s="26" t="str">
        <f aca="false">IF($G703="","",MAX(0,L703-مهلة_المراجعة))</f>
        <v/>
      </c>
      <c r="N703" s="30" t="str">
        <f aca="false">IF($A703="",IF(OR($D703&lt;&gt;"",$E703&lt;&gt;""),"رقم المخرج ناقص",""),IF(ISNA(MATCH($A703,قائمة_المخرجات,0)),"رقم مخرج غير موجود",IF($D703="","نوع الحركة ناقص",IF(NOT(ISNUMBER($E703)),"التاريخ ناقص",IF($E703&gt;تاريخ_الاحتساب,"تاريخ بعد تاريخ الاحتساب",IF(AND($D703&lt;&gt;"تسليم",COUNTIFS($A$5:$A$1504,$A703,$D$5:$D$1504,"تسليم",$E$5:$E$1504,"&lt;="&amp;$E703)=0),"لا يوجد تسليم قبل الحركة دي",""))))))</f>
        <v/>
      </c>
    </row>
    <row r="704" customFormat="false" ht="15" hidden="false" customHeight="false" outlineLevel="0" collapsed="false">
      <c r="A704" s="20"/>
      <c r="B704" s="35" t="str">
        <f aca="false">IF($A704="","",IFERROR(INDEX(مخرج_البند,MATCH($A704,قائمة_المخرجات,0)),""))</f>
        <v/>
      </c>
      <c r="C704" s="30" t="str">
        <f aca="false">IF($A704="","",IFERROR(INDEX(مخرج_الوصف,MATCH($A704,قائمة_المخرجات,0)),""))</f>
        <v/>
      </c>
      <c r="D704" s="20"/>
      <c r="E704" s="31"/>
      <c r="F704" s="22"/>
      <c r="G704" s="36" t="str">
        <f aca="false">IF(OR($A704="",$D704&lt;&gt;"تسليم",NOT(ISNUMBER($E704))),"",COUNTIFS($A$5:$A$1504,$A704,$D$5:$D$1504,"تسليم",$E$5:$E$1504,"&lt;"&amp;$E704)+1)</f>
        <v/>
      </c>
      <c r="H704" s="33" t="str">
        <f aca="false">IF($G704="","",_xlfn.MINIFS($E$5:$E$1504,$A$5:$A$1504,$A704,$D$5:$D$1504,"&lt;&gt;تسليم",$E$5:$E$1504,"&gt;="&amp;$E704))</f>
        <v/>
      </c>
      <c r="I704" s="33" t="str">
        <f aca="false">IF($G704="","",_xlfn.MINIFS($E$5:$E$1504,$A$5:$A$1504,$A704,$D$5:$D$1504,"تسليم",$E$5:$E$1504,"&gt;"&amp;$E704))</f>
        <v/>
      </c>
      <c r="J704" s="33" t="str">
        <f aca="false">IF($G704="","",IF(H704&gt;0,IF(I704&gt;0,MIN(H704,I704),H704),IF(I704&gt;0,I704,تاريخ_الاحتساب)))</f>
        <v/>
      </c>
      <c r="K704" s="34" t="str">
        <f aca="false">IF($G704="","",IF(AND(H704=0,I704=0),"جارية","مغلقة"))</f>
        <v/>
      </c>
      <c r="L704" s="26" t="str">
        <f aca="false">IF($G704="","",MAX(0,NETWORKDAYS.INTL($E704,J704,رمز_العطلة,أيام_الأجازات)-1))</f>
        <v/>
      </c>
      <c r="M704" s="26" t="str">
        <f aca="false">IF($G704="","",MAX(0,L704-مهلة_المراجعة))</f>
        <v/>
      </c>
      <c r="N704" s="30" t="str">
        <f aca="false">IF($A704="",IF(OR($D704&lt;&gt;"",$E704&lt;&gt;""),"رقم المخرج ناقص",""),IF(ISNA(MATCH($A704,قائمة_المخرجات,0)),"رقم مخرج غير موجود",IF($D704="","نوع الحركة ناقص",IF(NOT(ISNUMBER($E704)),"التاريخ ناقص",IF($E704&gt;تاريخ_الاحتساب,"تاريخ بعد تاريخ الاحتساب",IF(AND($D704&lt;&gt;"تسليم",COUNTIFS($A$5:$A$1504,$A704,$D$5:$D$1504,"تسليم",$E$5:$E$1504,"&lt;="&amp;$E704)=0),"لا يوجد تسليم قبل الحركة دي",""))))))</f>
        <v/>
      </c>
    </row>
    <row r="705" customFormat="false" ht="15" hidden="false" customHeight="false" outlineLevel="0" collapsed="false">
      <c r="A705" s="20"/>
      <c r="B705" s="35" t="str">
        <f aca="false">IF($A705="","",IFERROR(INDEX(مخرج_البند,MATCH($A705,قائمة_المخرجات,0)),""))</f>
        <v/>
      </c>
      <c r="C705" s="30" t="str">
        <f aca="false">IF($A705="","",IFERROR(INDEX(مخرج_الوصف,MATCH($A705,قائمة_المخرجات,0)),""))</f>
        <v/>
      </c>
      <c r="D705" s="20"/>
      <c r="E705" s="31"/>
      <c r="F705" s="22"/>
      <c r="G705" s="36" t="str">
        <f aca="false">IF(OR($A705="",$D705&lt;&gt;"تسليم",NOT(ISNUMBER($E705))),"",COUNTIFS($A$5:$A$1504,$A705,$D$5:$D$1504,"تسليم",$E$5:$E$1504,"&lt;"&amp;$E705)+1)</f>
        <v/>
      </c>
      <c r="H705" s="33" t="str">
        <f aca="false">IF($G705="","",_xlfn.MINIFS($E$5:$E$1504,$A$5:$A$1504,$A705,$D$5:$D$1504,"&lt;&gt;تسليم",$E$5:$E$1504,"&gt;="&amp;$E705))</f>
        <v/>
      </c>
      <c r="I705" s="33" t="str">
        <f aca="false">IF($G705="","",_xlfn.MINIFS($E$5:$E$1504,$A$5:$A$1504,$A705,$D$5:$D$1504,"تسليم",$E$5:$E$1504,"&gt;"&amp;$E705))</f>
        <v/>
      </c>
      <c r="J705" s="33" t="str">
        <f aca="false">IF($G705="","",IF(H705&gt;0,IF(I705&gt;0,MIN(H705,I705),H705),IF(I705&gt;0,I705,تاريخ_الاحتساب)))</f>
        <v/>
      </c>
      <c r="K705" s="34" t="str">
        <f aca="false">IF($G705="","",IF(AND(H705=0,I705=0),"جارية","مغلقة"))</f>
        <v/>
      </c>
      <c r="L705" s="26" t="str">
        <f aca="false">IF($G705="","",MAX(0,NETWORKDAYS.INTL($E705,J705,رمز_العطلة,أيام_الأجازات)-1))</f>
        <v/>
      </c>
      <c r="M705" s="26" t="str">
        <f aca="false">IF($G705="","",MAX(0,L705-مهلة_المراجعة))</f>
        <v/>
      </c>
      <c r="N705" s="30" t="str">
        <f aca="false">IF($A705="",IF(OR($D705&lt;&gt;"",$E705&lt;&gt;""),"رقم المخرج ناقص",""),IF(ISNA(MATCH($A705,قائمة_المخرجات,0)),"رقم مخرج غير موجود",IF($D705="","نوع الحركة ناقص",IF(NOT(ISNUMBER($E705)),"التاريخ ناقص",IF($E705&gt;تاريخ_الاحتساب,"تاريخ بعد تاريخ الاحتساب",IF(AND($D705&lt;&gt;"تسليم",COUNTIFS($A$5:$A$1504,$A705,$D$5:$D$1504,"تسليم",$E$5:$E$1504,"&lt;="&amp;$E705)=0),"لا يوجد تسليم قبل الحركة دي",""))))))</f>
        <v/>
      </c>
    </row>
    <row r="706" customFormat="false" ht="15" hidden="false" customHeight="false" outlineLevel="0" collapsed="false">
      <c r="A706" s="20"/>
      <c r="B706" s="35" t="str">
        <f aca="false">IF($A706="","",IFERROR(INDEX(مخرج_البند,MATCH($A706,قائمة_المخرجات,0)),""))</f>
        <v/>
      </c>
      <c r="C706" s="30" t="str">
        <f aca="false">IF($A706="","",IFERROR(INDEX(مخرج_الوصف,MATCH($A706,قائمة_المخرجات,0)),""))</f>
        <v/>
      </c>
      <c r="D706" s="20"/>
      <c r="E706" s="31"/>
      <c r="F706" s="22"/>
      <c r="G706" s="36" t="str">
        <f aca="false">IF(OR($A706="",$D706&lt;&gt;"تسليم",NOT(ISNUMBER($E706))),"",COUNTIFS($A$5:$A$1504,$A706,$D$5:$D$1504,"تسليم",$E$5:$E$1504,"&lt;"&amp;$E706)+1)</f>
        <v/>
      </c>
      <c r="H706" s="33" t="str">
        <f aca="false">IF($G706="","",_xlfn.MINIFS($E$5:$E$1504,$A$5:$A$1504,$A706,$D$5:$D$1504,"&lt;&gt;تسليم",$E$5:$E$1504,"&gt;="&amp;$E706))</f>
        <v/>
      </c>
      <c r="I706" s="33" t="str">
        <f aca="false">IF($G706="","",_xlfn.MINIFS($E$5:$E$1504,$A$5:$A$1504,$A706,$D$5:$D$1504,"تسليم",$E$5:$E$1504,"&gt;"&amp;$E706))</f>
        <v/>
      </c>
      <c r="J706" s="33" t="str">
        <f aca="false">IF($G706="","",IF(H706&gt;0,IF(I706&gt;0,MIN(H706,I706),H706),IF(I706&gt;0,I706,تاريخ_الاحتساب)))</f>
        <v/>
      </c>
      <c r="K706" s="34" t="str">
        <f aca="false">IF($G706="","",IF(AND(H706=0,I706=0),"جارية","مغلقة"))</f>
        <v/>
      </c>
      <c r="L706" s="26" t="str">
        <f aca="false">IF($G706="","",MAX(0,NETWORKDAYS.INTL($E706,J706,رمز_العطلة,أيام_الأجازات)-1))</f>
        <v/>
      </c>
      <c r="M706" s="26" t="str">
        <f aca="false">IF($G706="","",MAX(0,L706-مهلة_المراجعة))</f>
        <v/>
      </c>
      <c r="N706" s="30" t="str">
        <f aca="false">IF($A706="",IF(OR($D706&lt;&gt;"",$E706&lt;&gt;""),"رقم المخرج ناقص",""),IF(ISNA(MATCH($A706,قائمة_المخرجات,0)),"رقم مخرج غير موجود",IF($D706="","نوع الحركة ناقص",IF(NOT(ISNUMBER($E706)),"التاريخ ناقص",IF($E706&gt;تاريخ_الاحتساب,"تاريخ بعد تاريخ الاحتساب",IF(AND($D706&lt;&gt;"تسليم",COUNTIFS($A$5:$A$1504,$A706,$D$5:$D$1504,"تسليم",$E$5:$E$1504,"&lt;="&amp;$E706)=0),"لا يوجد تسليم قبل الحركة دي",""))))))</f>
        <v/>
      </c>
    </row>
    <row r="707" customFormat="false" ht="15" hidden="false" customHeight="false" outlineLevel="0" collapsed="false">
      <c r="A707" s="20"/>
      <c r="B707" s="35" t="str">
        <f aca="false">IF($A707="","",IFERROR(INDEX(مخرج_البند,MATCH($A707,قائمة_المخرجات,0)),""))</f>
        <v/>
      </c>
      <c r="C707" s="30" t="str">
        <f aca="false">IF($A707="","",IFERROR(INDEX(مخرج_الوصف,MATCH($A707,قائمة_المخرجات,0)),""))</f>
        <v/>
      </c>
      <c r="D707" s="20"/>
      <c r="E707" s="31"/>
      <c r="F707" s="22"/>
      <c r="G707" s="36" t="str">
        <f aca="false">IF(OR($A707="",$D707&lt;&gt;"تسليم",NOT(ISNUMBER($E707))),"",COUNTIFS($A$5:$A$1504,$A707,$D$5:$D$1504,"تسليم",$E$5:$E$1504,"&lt;"&amp;$E707)+1)</f>
        <v/>
      </c>
      <c r="H707" s="33" t="str">
        <f aca="false">IF($G707="","",_xlfn.MINIFS($E$5:$E$1504,$A$5:$A$1504,$A707,$D$5:$D$1504,"&lt;&gt;تسليم",$E$5:$E$1504,"&gt;="&amp;$E707))</f>
        <v/>
      </c>
      <c r="I707" s="33" t="str">
        <f aca="false">IF($G707="","",_xlfn.MINIFS($E$5:$E$1504,$A$5:$A$1504,$A707,$D$5:$D$1504,"تسليم",$E$5:$E$1504,"&gt;"&amp;$E707))</f>
        <v/>
      </c>
      <c r="J707" s="33" t="str">
        <f aca="false">IF($G707="","",IF(H707&gt;0,IF(I707&gt;0,MIN(H707,I707),H707),IF(I707&gt;0,I707,تاريخ_الاحتساب)))</f>
        <v/>
      </c>
      <c r="K707" s="34" t="str">
        <f aca="false">IF($G707="","",IF(AND(H707=0,I707=0),"جارية","مغلقة"))</f>
        <v/>
      </c>
      <c r="L707" s="26" t="str">
        <f aca="false">IF($G707="","",MAX(0,NETWORKDAYS.INTL($E707,J707,رمز_العطلة,أيام_الأجازات)-1))</f>
        <v/>
      </c>
      <c r="M707" s="26" t="str">
        <f aca="false">IF($G707="","",MAX(0,L707-مهلة_المراجعة))</f>
        <v/>
      </c>
      <c r="N707" s="30" t="str">
        <f aca="false">IF($A707="",IF(OR($D707&lt;&gt;"",$E707&lt;&gt;""),"رقم المخرج ناقص",""),IF(ISNA(MATCH($A707,قائمة_المخرجات,0)),"رقم مخرج غير موجود",IF($D707="","نوع الحركة ناقص",IF(NOT(ISNUMBER($E707)),"التاريخ ناقص",IF($E707&gt;تاريخ_الاحتساب,"تاريخ بعد تاريخ الاحتساب",IF(AND($D707&lt;&gt;"تسليم",COUNTIFS($A$5:$A$1504,$A707,$D$5:$D$1504,"تسليم",$E$5:$E$1504,"&lt;="&amp;$E707)=0),"لا يوجد تسليم قبل الحركة دي",""))))))</f>
        <v/>
      </c>
    </row>
    <row r="708" customFormat="false" ht="15" hidden="false" customHeight="false" outlineLevel="0" collapsed="false">
      <c r="A708" s="20"/>
      <c r="B708" s="35" t="str">
        <f aca="false">IF($A708="","",IFERROR(INDEX(مخرج_البند,MATCH($A708,قائمة_المخرجات,0)),""))</f>
        <v/>
      </c>
      <c r="C708" s="30" t="str">
        <f aca="false">IF($A708="","",IFERROR(INDEX(مخرج_الوصف,MATCH($A708,قائمة_المخرجات,0)),""))</f>
        <v/>
      </c>
      <c r="D708" s="20"/>
      <c r="E708" s="31"/>
      <c r="F708" s="22"/>
      <c r="G708" s="36" t="str">
        <f aca="false">IF(OR($A708="",$D708&lt;&gt;"تسليم",NOT(ISNUMBER($E708))),"",COUNTIFS($A$5:$A$1504,$A708,$D$5:$D$1504,"تسليم",$E$5:$E$1504,"&lt;"&amp;$E708)+1)</f>
        <v/>
      </c>
      <c r="H708" s="33" t="str">
        <f aca="false">IF($G708="","",_xlfn.MINIFS($E$5:$E$1504,$A$5:$A$1504,$A708,$D$5:$D$1504,"&lt;&gt;تسليم",$E$5:$E$1504,"&gt;="&amp;$E708))</f>
        <v/>
      </c>
      <c r="I708" s="33" t="str">
        <f aca="false">IF($G708="","",_xlfn.MINIFS($E$5:$E$1504,$A$5:$A$1504,$A708,$D$5:$D$1504,"تسليم",$E$5:$E$1504,"&gt;"&amp;$E708))</f>
        <v/>
      </c>
      <c r="J708" s="33" t="str">
        <f aca="false">IF($G708="","",IF(H708&gt;0,IF(I708&gt;0,MIN(H708,I708),H708),IF(I708&gt;0,I708,تاريخ_الاحتساب)))</f>
        <v/>
      </c>
      <c r="K708" s="34" t="str">
        <f aca="false">IF($G708="","",IF(AND(H708=0,I708=0),"جارية","مغلقة"))</f>
        <v/>
      </c>
      <c r="L708" s="26" t="str">
        <f aca="false">IF($G708="","",MAX(0,NETWORKDAYS.INTL($E708,J708,رمز_العطلة,أيام_الأجازات)-1))</f>
        <v/>
      </c>
      <c r="M708" s="26" t="str">
        <f aca="false">IF($G708="","",MAX(0,L708-مهلة_المراجعة))</f>
        <v/>
      </c>
      <c r="N708" s="30" t="str">
        <f aca="false">IF($A708="",IF(OR($D708&lt;&gt;"",$E708&lt;&gt;""),"رقم المخرج ناقص",""),IF(ISNA(MATCH($A708,قائمة_المخرجات,0)),"رقم مخرج غير موجود",IF($D708="","نوع الحركة ناقص",IF(NOT(ISNUMBER($E708)),"التاريخ ناقص",IF($E708&gt;تاريخ_الاحتساب,"تاريخ بعد تاريخ الاحتساب",IF(AND($D708&lt;&gt;"تسليم",COUNTIFS($A$5:$A$1504,$A708,$D$5:$D$1504,"تسليم",$E$5:$E$1504,"&lt;="&amp;$E708)=0),"لا يوجد تسليم قبل الحركة دي",""))))))</f>
        <v/>
      </c>
    </row>
    <row r="709" customFormat="false" ht="15" hidden="false" customHeight="false" outlineLevel="0" collapsed="false">
      <c r="A709" s="20"/>
      <c r="B709" s="35" t="str">
        <f aca="false">IF($A709="","",IFERROR(INDEX(مخرج_البند,MATCH($A709,قائمة_المخرجات,0)),""))</f>
        <v/>
      </c>
      <c r="C709" s="30" t="str">
        <f aca="false">IF($A709="","",IFERROR(INDEX(مخرج_الوصف,MATCH($A709,قائمة_المخرجات,0)),""))</f>
        <v/>
      </c>
      <c r="D709" s="20"/>
      <c r="E709" s="31"/>
      <c r="F709" s="22"/>
      <c r="G709" s="36" t="str">
        <f aca="false">IF(OR($A709="",$D709&lt;&gt;"تسليم",NOT(ISNUMBER($E709))),"",COUNTIFS($A$5:$A$1504,$A709,$D$5:$D$1504,"تسليم",$E$5:$E$1504,"&lt;"&amp;$E709)+1)</f>
        <v/>
      </c>
      <c r="H709" s="33" t="str">
        <f aca="false">IF($G709="","",_xlfn.MINIFS($E$5:$E$1504,$A$5:$A$1504,$A709,$D$5:$D$1504,"&lt;&gt;تسليم",$E$5:$E$1504,"&gt;="&amp;$E709))</f>
        <v/>
      </c>
      <c r="I709" s="33" t="str">
        <f aca="false">IF($G709="","",_xlfn.MINIFS($E$5:$E$1504,$A$5:$A$1504,$A709,$D$5:$D$1504,"تسليم",$E$5:$E$1504,"&gt;"&amp;$E709))</f>
        <v/>
      </c>
      <c r="J709" s="33" t="str">
        <f aca="false">IF($G709="","",IF(H709&gt;0,IF(I709&gt;0,MIN(H709,I709),H709),IF(I709&gt;0,I709,تاريخ_الاحتساب)))</f>
        <v/>
      </c>
      <c r="K709" s="34" t="str">
        <f aca="false">IF($G709="","",IF(AND(H709=0,I709=0),"جارية","مغلقة"))</f>
        <v/>
      </c>
      <c r="L709" s="26" t="str">
        <f aca="false">IF($G709="","",MAX(0,NETWORKDAYS.INTL($E709,J709,رمز_العطلة,أيام_الأجازات)-1))</f>
        <v/>
      </c>
      <c r="M709" s="26" t="str">
        <f aca="false">IF($G709="","",MAX(0,L709-مهلة_المراجعة))</f>
        <v/>
      </c>
      <c r="N709" s="30" t="str">
        <f aca="false">IF($A709="",IF(OR($D709&lt;&gt;"",$E709&lt;&gt;""),"رقم المخرج ناقص",""),IF(ISNA(MATCH($A709,قائمة_المخرجات,0)),"رقم مخرج غير موجود",IF($D709="","نوع الحركة ناقص",IF(NOT(ISNUMBER($E709)),"التاريخ ناقص",IF($E709&gt;تاريخ_الاحتساب,"تاريخ بعد تاريخ الاحتساب",IF(AND($D709&lt;&gt;"تسليم",COUNTIFS($A$5:$A$1504,$A709,$D$5:$D$1504,"تسليم",$E$5:$E$1504,"&lt;="&amp;$E709)=0),"لا يوجد تسليم قبل الحركة دي",""))))))</f>
        <v/>
      </c>
    </row>
    <row r="710" customFormat="false" ht="15" hidden="false" customHeight="false" outlineLevel="0" collapsed="false">
      <c r="A710" s="20"/>
      <c r="B710" s="35" t="str">
        <f aca="false">IF($A710="","",IFERROR(INDEX(مخرج_البند,MATCH($A710,قائمة_المخرجات,0)),""))</f>
        <v/>
      </c>
      <c r="C710" s="30" t="str">
        <f aca="false">IF($A710="","",IFERROR(INDEX(مخرج_الوصف,MATCH($A710,قائمة_المخرجات,0)),""))</f>
        <v/>
      </c>
      <c r="D710" s="20"/>
      <c r="E710" s="31"/>
      <c r="F710" s="22"/>
      <c r="G710" s="36" t="str">
        <f aca="false">IF(OR($A710="",$D710&lt;&gt;"تسليم",NOT(ISNUMBER($E710))),"",COUNTIFS($A$5:$A$1504,$A710,$D$5:$D$1504,"تسليم",$E$5:$E$1504,"&lt;"&amp;$E710)+1)</f>
        <v/>
      </c>
      <c r="H710" s="33" t="str">
        <f aca="false">IF($G710="","",_xlfn.MINIFS($E$5:$E$1504,$A$5:$A$1504,$A710,$D$5:$D$1504,"&lt;&gt;تسليم",$E$5:$E$1504,"&gt;="&amp;$E710))</f>
        <v/>
      </c>
      <c r="I710" s="33" t="str">
        <f aca="false">IF($G710="","",_xlfn.MINIFS($E$5:$E$1504,$A$5:$A$1504,$A710,$D$5:$D$1504,"تسليم",$E$5:$E$1504,"&gt;"&amp;$E710))</f>
        <v/>
      </c>
      <c r="J710" s="33" t="str">
        <f aca="false">IF($G710="","",IF(H710&gt;0,IF(I710&gt;0,MIN(H710,I710),H710),IF(I710&gt;0,I710,تاريخ_الاحتساب)))</f>
        <v/>
      </c>
      <c r="K710" s="34" t="str">
        <f aca="false">IF($G710="","",IF(AND(H710=0,I710=0),"جارية","مغلقة"))</f>
        <v/>
      </c>
      <c r="L710" s="26" t="str">
        <f aca="false">IF($G710="","",MAX(0,NETWORKDAYS.INTL($E710,J710,رمز_العطلة,أيام_الأجازات)-1))</f>
        <v/>
      </c>
      <c r="M710" s="26" t="str">
        <f aca="false">IF($G710="","",MAX(0,L710-مهلة_المراجعة))</f>
        <v/>
      </c>
      <c r="N710" s="30" t="str">
        <f aca="false">IF($A710="",IF(OR($D710&lt;&gt;"",$E710&lt;&gt;""),"رقم المخرج ناقص",""),IF(ISNA(MATCH($A710,قائمة_المخرجات,0)),"رقم مخرج غير موجود",IF($D710="","نوع الحركة ناقص",IF(NOT(ISNUMBER($E710)),"التاريخ ناقص",IF($E710&gt;تاريخ_الاحتساب,"تاريخ بعد تاريخ الاحتساب",IF(AND($D710&lt;&gt;"تسليم",COUNTIFS($A$5:$A$1504,$A710,$D$5:$D$1504,"تسليم",$E$5:$E$1504,"&lt;="&amp;$E710)=0),"لا يوجد تسليم قبل الحركة دي",""))))))</f>
        <v/>
      </c>
    </row>
    <row r="711" customFormat="false" ht="15" hidden="false" customHeight="false" outlineLevel="0" collapsed="false">
      <c r="A711" s="20"/>
      <c r="B711" s="35" t="str">
        <f aca="false">IF($A711="","",IFERROR(INDEX(مخرج_البند,MATCH($A711,قائمة_المخرجات,0)),""))</f>
        <v/>
      </c>
      <c r="C711" s="30" t="str">
        <f aca="false">IF($A711="","",IFERROR(INDEX(مخرج_الوصف,MATCH($A711,قائمة_المخرجات,0)),""))</f>
        <v/>
      </c>
      <c r="D711" s="20"/>
      <c r="E711" s="31"/>
      <c r="F711" s="22"/>
      <c r="G711" s="36" t="str">
        <f aca="false">IF(OR($A711="",$D711&lt;&gt;"تسليم",NOT(ISNUMBER($E711))),"",COUNTIFS($A$5:$A$1504,$A711,$D$5:$D$1504,"تسليم",$E$5:$E$1504,"&lt;"&amp;$E711)+1)</f>
        <v/>
      </c>
      <c r="H711" s="33" t="str">
        <f aca="false">IF($G711="","",_xlfn.MINIFS($E$5:$E$1504,$A$5:$A$1504,$A711,$D$5:$D$1504,"&lt;&gt;تسليم",$E$5:$E$1504,"&gt;="&amp;$E711))</f>
        <v/>
      </c>
      <c r="I711" s="33" t="str">
        <f aca="false">IF($G711="","",_xlfn.MINIFS($E$5:$E$1504,$A$5:$A$1504,$A711,$D$5:$D$1504,"تسليم",$E$5:$E$1504,"&gt;"&amp;$E711))</f>
        <v/>
      </c>
      <c r="J711" s="33" t="str">
        <f aca="false">IF($G711="","",IF(H711&gt;0,IF(I711&gt;0,MIN(H711,I711),H711),IF(I711&gt;0,I711,تاريخ_الاحتساب)))</f>
        <v/>
      </c>
      <c r="K711" s="34" t="str">
        <f aca="false">IF($G711="","",IF(AND(H711=0,I711=0),"جارية","مغلقة"))</f>
        <v/>
      </c>
      <c r="L711" s="26" t="str">
        <f aca="false">IF($G711="","",MAX(0,NETWORKDAYS.INTL($E711,J711,رمز_العطلة,أيام_الأجازات)-1))</f>
        <v/>
      </c>
      <c r="M711" s="26" t="str">
        <f aca="false">IF($G711="","",MAX(0,L711-مهلة_المراجعة))</f>
        <v/>
      </c>
      <c r="N711" s="30" t="str">
        <f aca="false">IF($A711="",IF(OR($D711&lt;&gt;"",$E711&lt;&gt;""),"رقم المخرج ناقص",""),IF(ISNA(MATCH($A711,قائمة_المخرجات,0)),"رقم مخرج غير موجود",IF($D711="","نوع الحركة ناقص",IF(NOT(ISNUMBER($E711)),"التاريخ ناقص",IF($E711&gt;تاريخ_الاحتساب,"تاريخ بعد تاريخ الاحتساب",IF(AND($D711&lt;&gt;"تسليم",COUNTIFS($A$5:$A$1504,$A711,$D$5:$D$1504,"تسليم",$E$5:$E$1504,"&lt;="&amp;$E711)=0),"لا يوجد تسليم قبل الحركة دي",""))))))</f>
        <v/>
      </c>
    </row>
    <row r="712" customFormat="false" ht="15" hidden="false" customHeight="false" outlineLevel="0" collapsed="false">
      <c r="A712" s="20"/>
      <c r="B712" s="35" t="str">
        <f aca="false">IF($A712="","",IFERROR(INDEX(مخرج_البند,MATCH($A712,قائمة_المخرجات,0)),""))</f>
        <v/>
      </c>
      <c r="C712" s="30" t="str">
        <f aca="false">IF($A712="","",IFERROR(INDEX(مخرج_الوصف,MATCH($A712,قائمة_المخرجات,0)),""))</f>
        <v/>
      </c>
      <c r="D712" s="20"/>
      <c r="E712" s="31"/>
      <c r="F712" s="22"/>
      <c r="G712" s="36" t="str">
        <f aca="false">IF(OR($A712="",$D712&lt;&gt;"تسليم",NOT(ISNUMBER($E712))),"",COUNTIFS($A$5:$A$1504,$A712,$D$5:$D$1504,"تسليم",$E$5:$E$1504,"&lt;"&amp;$E712)+1)</f>
        <v/>
      </c>
      <c r="H712" s="33" t="str">
        <f aca="false">IF($G712="","",_xlfn.MINIFS($E$5:$E$1504,$A$5:$A$1504,$A712,$D$5:$D$1504,"&lt;&gt;تسليم",$E$5:$E$1504,"&gt;="&amp;$E712))</f>
        <v/>
      </c>
      <c r="I712" s="33" t="str">
        <f aca="false">IF($G712="","",_xlfn.MINIFS($E$5:$E$1504,$A$5:$A$1504,$A712,$D$5:$D$1504,"تسليم",$E$5:$E$1504,"&gt;"&amp;$E712))</f>
        <v/>
      </c>
      <c r="J712" s="33" t="str">
        <f aca="false">IF($G712="","",IF(H712&gt;0,IF(I712&gt;0,MIN(H712,I712),H712),IF(I712&gt;0,I712,تاريخ_الاحتساب)))</f>
        <v/>
      </c>
      <c r="K712" s="34" t="str">
        <f aca="false">IF($G712="","",IF(AND(H712=0,I712=0),"جارية","مغلقة"))</f>
        <v/>
      </c>
      <c r="L712" s="26" t="str">
        <f aca="false">IF($G712="","",MAX(0,NETWORKDAYS.INTL($E712,J712,رمز_العطلة,أيام_الأجازات)-1))</f>
        <v/>
      </c>
      <c r="M712" s="26" t="str">
        <f aca="false">IF($G712="","",MAX(0,L712-مهلة_المراجعة))</f>
        <v/>
      </c>
      <c r="N712" s="30" t="str">
        <f aca="false">IF($A712="",IF(OR($D712&lt;&gt;"",$E712&lt;&gt;""),"رقم المخرج ناقص",""),IF(ISNA(MATCH($A712,قائمة_المخرجات,0)),"رقم مخرج غير موجود",IF($D712="","نوع الحركة ناقص",IF(NOT(ISNUMBER($E712)),"التاريخ ناقص",IF($E712&gt;تاريخ_الاحتساب,"تاريخ بعد تاريخ الاحتساب",IF(AND($D712&lt;&gt;"تسليم",COUNTIFS($A$5:$A$1504,$A712,$D$5:$D$1504,"تسليم",$E$5:$E$1504,"&lt;="&amp;$E712)=0),"لا يوجد تسليم قبل الحركة دي",""))))))</f>
        <v/>
      </c>
    </row>
    <row r="713" customFormat="false" ht="15" hidden="false" customHeight="false" outlineLevel="0" collapsed="false">
      <c r="A713" s="20"/>
      <c r="B713" s="35" t="str">
        <f aca="false">IF($A713="","",IFERROR(INDEX(مخرج_البند,MATCH($A713,قائمة_المخرجات,0)),""))</f>
        <v/>
      </c>
      <c r="C713" s="30" t="str">
        <f aca="false">IF($A713="","",IFERROR(INDEX(مخرج_الوصف,MATCH($A713,قائمة_المخرجات,0)),""))</f>
        <v/>
      </c>
      <c r="D713" s="20"/>
      <c r="E713" s="31"/>
      <c r="F713" s="22"/>
      <c r="G713" s="36" t="str">
        <f aca="false">IF(OR($A713="",$D713&lt;&gt;"تسليم",NOT(ISNUMBER($E713))),"",COUNTIFS($A$5:$A$1504,$A713,$D$5:$D$1504,"تسليم",$E$5:$E$1504,"&lt;"&amp;$E713)+1)</f>
        <v/>
      </c>
      <c r="H713" s="33" t="str">
        <f aca="false">IF($G713="","",_xlfn.MINIFS($E$5:$E$1504,$A$5:$A$1504,$A713,$D$5:$D$1504,"&lt;&gt;تسليم",$E$5:$E$1504,"&gt;="&amp;$E713))</f>
        <v/>
      </c>
      <c r="I713" s="33" t="str">
        <f aca="false">IF($G713="","",_xlfn.MINIFS($E$5:$E$1504,$A$5:$A$1504,$A713,$D$5:$D$1504,"تسليم",$E$5:$E$1504,"&gt;"&amp;$E713))</f>
        <v/>
      </c>
      <c r="J713" s="33" t="str">
        <f aca="false">IF($G713="","",IF(H713&gt;0,IF(I713&gt;0,MIN(H713,I713),H713),IF(I713&gt;0,I713,تاريخ_الاحتساب)))</f>
        <v/>
      </c>
      <c r="K713" s="34" t="str">
        <f aca="false">IF($G713="","",IF(AND(H713=0,I713=0),"جارية","مغلقة"))</f>
        <v/>
      </c>
      <c r="L713" s="26" t="str">
        <f aca="false">IF($G713="","",MAX(0,NETWORKDAYS.INTL($E713,J713,رمز_العطلة,أيام_الأجازات)-1))</f>
        <v/>
      </c>
      <c r="M713" s="26" t="str">
        <f aca="false">IF($G713="","",MAX(0,L713-مهلة_المراجعة))</f>
        <v/>
      </c>
      <c r="N713" s="30" t="str">
        <f aca="false">IF($A713="",IF(OR($D713&lt;&gt;"",$E713&lt;&gt;""),"رقم المخرج ناقص",""),IF(ISNA(MATCH($A713,قائمة_المخرجات,0)),"رقم مخرج غير موجود",IF($D713="","نوع الحركة ناقص",IF(NOT(ISNUMBER($E713)),"التاريخ ناقص",IF($E713&gt;تاريخ_الاحتساب,"تاريخ بعد تاريخ الاحتساب",IF(AND($D713&lt;&gt;"تسليم",COUNTIFS($A$5:$A$1504,$A713,$D$5:$D$1504,"تسليم",$E$5:$E$1504,"&lt;="&amp;$E713)=0),"لا يوجد تسليم قبل الحركة دي",""))))))</f>
        <v/>
      </c>
    </row>
    <row r="714" customFormat="false" ht="15" hidden="false" customHeight="false" outlineLevel="0" collapsed="false">
      <c r="A714" s="20"/>
      <c r="B714" s="35" t="str">
        <f aca="false">IF($A714="","",IFERROR(INDEX(مخرج_البند,MATCH($A714,قائمة_المخرجات,0)),""))</f>
        <v/>
      </c>
      <c r="C714" s="30" t="str">
        <f aca="false">IF($A714="","",IFERROR(INDEX(مخرج_الوصف,MATCH($A714,قائمة_المخرجات,0)),""))</f>
        <v/>
      </c>
      <c r="D714" s="20"/>
      <c r="E714" s="31"/>
      <c r="F714" s="22"/>
      <c r="G714" s="36" t="str">
        <f aca="false">IF(OR($A714="",$D714&lt;&gt;"تسليم",NOT(ISNUMBER($E714))),"",COUNTIFS($A$5:$A$1504,$A714,$D$5:$D$1504,"تسليم",$E$5:$E$1504,"&lt;"&amp;$E714)+1)</f>
        <v/>
      </c>
      <c r="H714" s="33" t="str">
        <f aca="false">IF($G714="","",_xlfn.MINIFS($E$5:$E$1504,$A$5:$A$1504,$A714,$D$5:$D$1504,"&lt;&gt;تسليم",$E$5:$E$1504,"&gt;="&amp;$E714))</f>
        <v/>
      </c>
      <c r="I714" s="33" t="str">
        <f aca="false">IF($G714="","",_xlfn.MINIFS($E$5:$E$1504,$A$5:$A$1504,$A714,$D$5:$D$1504,"تسليم",$E$5:$E$1504,"&gt;"&amp;$E714))</f>
        <v/>
      </c>
      <c r="J714" s="33" t="str">
        <f aca="false">IF($G714="","",IF(H714&gt;0,IF(I714&gt;0,MIN(H714,I714),H714),IF(I714&gt;0,I714,تاريخ_الاحتساب)))</f>
        <v/>
      </c>
      <c r="K714" s="34" t="str">
        <f aca="false">IF($G714="","",IF(AND(H714=0,I714=0),"جارية","مغلقة"))</f>
        <v/>
      </c>
      <c r="L714" s="26" t="str">
        <f aca="false">IF($G714="","",MAX(0,NETWORKDAYS.INTL($E714,J714,رمز_العطلة,أيام_الأجازات)-1))</f>
        <v/>
      </c>
      <c r="M714" s="26" t="str">
        <f aca="false">IF($G714="","",MAX(0,L714-مهلة_المراجعة))</f>
        <v/>
      </c>
      <c r="N714" s="30" t="str">
        <f aca="false">IF($A714="",IF(OR($D714&lt;&gt;"",$E714&lt;&gt;""),"رقم المخرج ناقص",""),IF(ISNA(MATCH($A714,قائمة_المخرجات,0)),"رقم مخرج غير موجود",IF($D714="","نوع الحركة ناقص",IF(NOT(ISNUMBER($E714)),"التاريخ ناقص",IF($E714&gt;تاريخ_الاحتساب,"تاريخ بعد تاريخ الاحتساب",IF(AND($D714&lt;&gt;"تسليم",COUNTIFS($A$5:$A$1504,$A714,$D$5:$D$1504,"تسليم",$E$5:$E$1504,"&lt;="&amp;$E714)=0),"لا يوجد تسليم قبل الحركة دي",""))))))</f>
        <v/>
      </c>
    </row>
    <row r="715" customFormat="false" ht="15" hidden="false" customHeight="false" outlineLevel="0" collapsed="false">
      <c r="A715" s="20"/>
      <c r="B715" s="35" t="str">
        <f aca="false">IF($A715="","",IFERROR(INDEX(مخرج_البند,MATCH($A715,قائمة_المخرجات,0)),""))</f>
        <v/>
      </c>
      <c r="C715" s="30" t="str">
        <f aca="false">IF($A715="","",IFERROR(INDEX(مخرج_الوصف,MATCH($A715,قائمة_المخرجات,0)),""))</f>
        <v/>
      </c>
      <c r="D715" s="20"/>
      <c r="E715" s="31"/>
      <c r="F715" s="22"/>
      <c r="G715" s="36" t="str">
        <f aca="false">IF(OR($A715="",$D715&lt;&gt;"تسليم",NOT(ISNUMBER($E715))),"",COUNTIFS($A$5:$A$1504,$A715,$D$5:$D$1504,"تسليم",$E$5:$E$1504,"&lt;"&amp;$E715)+1)</f>
        <v/>
      </c>
      <c r="H715" s="33" t="str">
        <f aca="false">IF($G715="","",_xlfn.MINIFS($E$5:$E$1504,$A$5:$A$1504,$A715,$D$5:$D$1504,"&lt;&gt;تسليم",$E$5:$E$1504,"&gt;="&amp;$E715))</f>
        <v/>
      </c>
      <c r="I715" s="33" t="str">
        <f aca="false">IF($G715="","",_xlfn.MINIFS($E$5:$E$1504,$A$5:$A$1504,$A715,$D$5:$D$1504,"تسليم",$E$5:$E$1504,"&gt;"&amp;$E715))</f>
        <v/>
      </c>
      <c r="J715" s="33" t="str">
        <f aca="false">IF($G715="","",IF(H715&gt;0,IF(I715&gt;0,MIN(H715,I715),H715),IF(I715&gt;0,I715,تاريخ_الاحتساب)))</f>
        <v/>
      </c>
      <c r="K715" s="34" t="str">
        <f aca="false">IF($G715="","",IF(AND(H715=0,I715=0),"جارية","مغلقة"))</f>
        <v/>
      </c>
      <c r="L715" s="26" t="str">
        <f aca="false">IF($G715="","",MAX(0,NETWORKDAYS.INTL($E715,J715,رمز_العطلة,أيام_الأجازات)-1))</f>
        <v/>
      </c>
      <c r="M715" s="26" t="str">
        <f aca="false">IF($G715="","",MAX(0,L715-مهلة_المراجعة))</f>
        <v/>
      </c>
      <c r="N715" s="30" t="str">
        <f aca="false">IF($A715="",IF(OR($D715&lt;&gt;"",$E715&lt;&gt;""),"رقم المخرج ناقص",""),IF(ISNA(MATCH($A715,قائمة_المخرجات,0)),"رقم مخرج غير موجود",IF($D715="","نوع الحركة ناقص",IF(NOT(ISNUMBER($E715)),"التاريخ ناقص",IF($E715&gt;تاريخ_الاحتساب,"تاريخ بعد تاريخ الاحتساب",IF(AND($D715&lt;&gt;"تسليم",COUNTIFS($A$5:$A$1504,$A715,$D$5:$D$1504,"تسليم",$E$5:$E$1504,"&lt;="&amp;$E715)=0),"لا يوجد تسليم قبل الحركة دي",""))))))</f>
        <v/>
      </c>
    </row>
    <row r="716" customFormat="false" ht="15" hidden="false" customHeight="false" outlineLevel="0" collapsed="false">
      <c r="A716" s="20"/>
      <c r="B716" s="35" t="str">
        <f aca="false">IF($A716="","",IFERROR(INDEX(مخرج_البند,MATCH($A716,قائمة_المخرجات,0)),""))</f>
        <v/>
      </c>
      <c r="C716" s="30" t="str">
        <f aca="false">IF($A716="","",IFERROR(INDEX(مخرج_الوصف,MATCH($A716,قائمة_المخرجات,0)),""))</f>
        <v/>
      </c>
      <c r="D716" s="20"/>
      <c r="E716" s="31"/>
      <c r="F716" s="22"/>
      <c r="G716" s="36" t="str">
        <f aca="false">IF(OR($A716="",$D716&lt;&gt;"تسليم",NOT(ISNUMBER($E716))),"",COUNTIFS($A$5:$A$1504,$A716,$D$5:$D$1504,"تسليم",$E$5:$E$1504,"&lt;"&amp;$E716)+1)</f>
        <v/>
      </c>
      <c r="H716" s="33" t="str">
        <f aca="false">IF($G716="","",_xlfn.MINIFS($E$5:$E$1504,$A$5:$A$1504,$A716,$D$5:$D$1504,"&lt;&gt;تسليم",$E$5:$E$1504,"&gt;="&amp;$E716))</f>
        <v/>
      </c>
      <c r="I716" s="33" t="str">
        <f aca="false">IF($G716="","",_xlfn.MINIFS($E$5:$E$1504,$A$5:$A$1504,$A716,$D$5:$D$1504,"تسليم",$E$5:$E$1504,"&gt;"&amp;$E716))</f>
        <v/>
      </c>
      <c r="J716" s="33" t="str">
        <f aca="false">IF($G716="","",IF(H716&gt;0,IF(I716&gt;0,MIN(H716,I716),H716),IF(I716&gt;0,I716,تاريخ_الاحتساب)))</f>
        <v/>
      </c>
      <c r="K716" s="34" t="str">
        <f aca="false">IF($G716="","",IF(AND(H716=0,I716=0),"جارية","مغلقة"))</f>
        <v/>
      </c>
      <c r="L716" s="26" t="str">
        <f aca="false">IF($G716="","",MAX(0,NETWORKDAYS.INTL($E716,J716,رمز_العطلة,أيام_الأجازات)-1))</f>
        <v/>
      </c>
      <c r="M716" s="26" t="str">
        <f aca="false">IF($G716="","",MAX(0,L716-مهلة_المراجعة))</f>
        <v/>
      </c>
      <c r="N716" s="30" t="str">
        <f aca="false">IF($A716="",IF(OR($D716&lt;&gt;"",$E716&lt;&gt;""),"رقم المخرج ناقص",""),IF(ISNA(MATCH($A716,قائمة_المخرجات,0)),"رقم مخرج غير موجود",IF($D716="","نوع الحركة ناقص",IF(NOT(ISNUMBER($E716)),"التاريخ ناقص",IF($E716&gt;تاريخ_الاحتساب,"تاريخ بعد تاريخ الاحتساب",IF(AND($D716&lt;&gt;"تسليم",COUNTIFS($A$5:$A$1504,$A716,$D$5:$D$1504,"تسليم",$E$5:$E$1504,"&lt;="&amp;$E716)=0),"لا يوجد تسليم قبل الحركة دي",""))))))</f>
        <v/>
      </c>
    </row>
    <row r="717" customFormat="false" ht="15" hidden="false" customHeight="false" outlineLevel="0" collapsed="false">
      <c r="A717" s="20"/>
      <c r="B717" s="35" t="str">
        <f aca="false">IF($A717="","",IFERROR(INDEX(مخرج_البند,MATCH($A717,قائمة_المخرجات,0)),""))</f>
        <v/>
      </c>
      <c r="C717" s="30" t="str">
        <f aca="false">IF($A717="","",IFERROR(INDEX(مخرج_الوصف,MATCH($A717,قائمة_المخرجات,0)),""))</f>
        <v/>
      </c>
      <c r="D717" s="20"/>
      <c r="E717" s="31"/>
      <c r="F717" s="22"/>
      <c r="G717" s="36" t="str">
        <f aca="false">IF(OR($A717="",$D717&lt;&gt;"تسليم",NOT(ISNUMBER($E717))),"",COUNTIFS($A$5:$A$1504,$A717,$D$5:$D$1504,"تسليم",$E$5:$E$1504,"&lt;"&amp;$E717)+1)</f>
        <v/>
      </c>
      <c r="H717" s="33" t="str">
        <f aca="false">IF($G717="","",_xlfn.MINIFS($E$5:$E$1504,$A$5:$A$1504,$A717,$D$5:$D$1504,"&lt;&gt;تسليم",$E$5:$E$1504,"&gt;="&amp;$E717))</f>
        <v/>
      </c>
      <c r="I717" s="33" t="str">
        <f aca="false">IF($G717="","",_xlfn.MINIFS($E$5:$E$1504,$A$5:$A$1504,$A717,$D$5:$D$1504,"تسليم",$E$5:$E$1504,"&gt;"&amp;$E717))</f>
        <v/>
      </c>
      <c r="J717" s="33" t="str">
        <f aca="false">IF($G717="","",IF(H717&gt;0,IF(I717&gt;0,MIN(H717,I717),H717),IF(I717&gt;0,I717,تاريخ_الاحتساب)))</f>
        <v/>
      </c>
      <c r="K717" s="34" t="str">
        <f aca="false">IF($G717="","",IF(AND(H717=0,I717=0),"جارية","مغلقة"))</f>
        <v/>
      </c>
      <c r="L717" s="26" t="str">
        <f aca="false">IF($G717="","",MAX(0,NETWORKDAYS.INTL($E717,J717,رمز_العطلة,أيام_الأجازات)-1))</f>
        <v/>
      </c>
      <c r="M717" s="26" t="str">
        <f aca="false">IF($G717="","",MAX(0,L717-مهلة_المراجعة))</f>
        <v/>
      </c>
      <c r="N717" s="30" t="str">
        <f aca="false">IF($A717="",IF(OR($D717&lt;&gt;"",$E717&lt;&gt;""),"رقم المخرج ناقص",""),IF(ISNA(MATCH($A717,قائمة_المخرجات,0)),"رقم مخرج غير موجود",IF($D717="","نوع الحركة ناقص",IF(NOT(ISNUMBER($E717)),"التاريخ ناقص",IF($E717&gt;تاريخ_الاحتساب,"تاريخ بعد تاريخ الاحتساب",IF(AND($D717&lt;&gt;"تسليم",COUNTIFS($A$5:$A$1504,$A717,$D$5:$D$1504,"تسليم",$E$5:$E$1504,"&lt;="&amp;$E717)=0),"لا يوجد تسليم قبل الحركة دي",""))))))</f>
        <v/>
      </c>
    </row>
    <row r="718" customFormat="false" ht="15" hidden="false" customHeight="false" outlineLevel="0" collapsed="false">
      <c r="A718" s="20"/>
      <c r="B718" s="35" t="str">
        <f aca="false">IF($A718="","",IFERROR(INDEX(مخرج_البند,MATCH($A718,قائمة_المخرجات,0)),""))</f>
        <v/>
      </c>
      <c r="C718" s="30" t="str">
        <f aca="false">IF($A718="","",IFERROR(INDEX(مخرج_الوصف,MATCH($A718,قائمة_المخرجات,0)),""))</f>
        <v/>
      </c>
      <c r="D718" s="20"/>
      <c r="E718" s="31"/>
      <c r="F718" s="22"/>
      <c r="G718" s="36" t="str">
        <f aca="false">IF(OR($A718="",$D718&lt;&gt;"تسليم",NOT(ISNUMBER($E718))),"",COUNTIFS($A$5:$A$1504,$A718,$D$5:$D$1504,"تسليم",$E$5:$E$1504,"&lt;"&amp;$E718)+1)</f>
        <v/>
      </c>
      <c r="H718" s="33" t="str">
        <f aca="false">IF($G718="","",_xlfn.MINIFS($E$5:$E$1504,$A$5:$A$1504,$A718,$D$5:$D$1504,"&lt;&gt;تسليم",$E$5:$E$1504,"&gt;="&amp;$E718))</f>
        <v/>
      </c>
      <c r="I718" s="33" t="str">
        <f aca="false">IF($G718="","",_xlfn.MINIFS($E$5:$E$1504,$A$5:$A$1504,$A718,$D$5:$D$1504,"تسليم",$E$5:$E$1504,"&gt;"&amp;$E718))</f>
        <v/>
      </c>
      <c r="J718" s="33" t="str">
        <f aca="false">IF($G718="","",IF(H718&gt;0,IF(I718&gt;0,MIN(H718,I718),H718),IF(I718&gt;0,I718,تاريخ_الاحتساب)))</f>
        <v/>
      </c>
      <c r="K718" s="34" t="str">
        <f aca="false">IF($G718="","",IF(AND(H718=0,I718=0),"جارية","مغلقة"))</f>
        <v/>
      </c>
      <c r="L718" s="26" t="str">
        <f aca="false">IF($G718="","",MAX(0,NETWORKDAYS.INTL($E718,J718,رمز_العطلة,أيام_الأجازات)-1))</f>
        <v/>
      </c>
      <c r="M718" s="26" t="str">
        <f aca="false">IF($G718="","",MAX(0,L718-مهلة_المراجعة))</f>
        <v/>
      </c>
      <c r="N718" s="30" t="str">
        <f aca="false">IF($A718="",IF(OR($D718&lt;&gt;"",$E718&lt;&gt;""),"رقم المخرج ناقص",""),IF(ISNA(MATCH($A718,قائمة_المخرجات,0)),"رقم مخرج غير موجود",IF($D718="","نوع الحركة ناقص",IF(NOT(ISNUMBER($E718)),"التاريخ ناقص",IF($E718&gt;تاريخ_الاحتساب,"تاريخ بعد تاريخ الاحتساب",IF(AND($D718&lt;&gt;"تسليم",COUNTIFS($A$5:$A$1504,$A718,$D$5:$D$1504,"تسليم",$E$5:$E$1504,"&lt;="&amp;$E718)=0),"لا يوجد تسليم قبل الحركة دي",""))))))</f>
        <v/>
      </c>
    </row>
    <row r="719" customFormat="false" ht="15" hidden="false" customHeight="false" outlineLevel="0" collapsed="false">
      <c r="A719" s="20"/>
      <c r="B719" s="35" t="str">
        <f aca="false">IF($A719="","",IFERROR(INDEX(مخرج_البند,MATCH($A719,قائمة_المخرجات,0)),""))</f>
        <v/>
      </c>
      <c r="C719" s="30" t="str">
        <f aca="false">IF($A719="","",IFERROR(INDEX(مخرج_الوصف,MATCH($A719,قائمة_المخرجات,0)),""))</f>
        <v/>
      </c>
      <c r="D719" s="20"/>
      <c r="E719" s="31"/>
      <c r="F719" s="22"/>
      <c r="G719" s="36" t="str">
        <f aca="false">IF(OR($A719="",$D719&lt;&gt;"تسليم",NOT(ISNUMBER($E719))),"",COUNTIFS($A$5:$A$1504,$A719,$D$5:$D$1504,"تسليم",$E$5:$E$1504,"&lt;"&amp;$E719)+1)</f>
        <v/>
      </c>
      <c r="H719" s="33" t="str">
        <f aca="false">IF($G719="","",_xlfn.MINIFS($E$5:$E$1504,$A$5:$A$1504,$A719,$D$5:$D$1504,"&lt;&gt;تسليم",$E$5:$E$1504,"&gt;="&amp;$E719))</f>
        <v/>
      </c>
      <c r="I719" s="33" t="str">
        <f aca="false">IF($G719="","",_xlfn.MINIFS($E$5:$E$1504,$A$5:$A$1504,$A719,$D$5:$D$1504,"تسليم",$E$5:$E$1504,"&gt;"&amp;$E719))</f>
        <v/>
      </c>
      <c r="J719" s="33" t="str">
        <f aca="false">IF($G719="","",IF(H719&gt;0,IF(I719&gt;0,MIN(H719,I719),H719),IF(I719&gt;0,I719,تاريخ_الاحتساب)))</f>
        <v/>
      </c>
      <c r="K719" s="34" t="str">
        <f aca="false">IF($G719="","",IF(AND(H719=0,I719=0),"جارية","مغلقة"))</f>
        <v/>
      </c>
      <c r="L719" s="26" t="str">
        <f aca="false">IF($G719="","",MAX(0,NETWORKDAYS.INTL($E719,J719,رمز_العطلة,أيام_الأجازات)-1))</f>
        <v/>
      </c>
      <c r="M719" s="26" t="str">
        <f aca="false">IF($G719="","",MAX(0,L719-مهلة_المراجعة))</f>
        <v/>
      </c>
      <c r="N719" s="30" t="str">
        <f aca="false">IF($A719="",IF(OR($D719&lt;&gt;"",$E719&lt;&gt;""),"رقم المخرج ناقص",""),IF(ISNA(MATCH($A719,قائمة_المخرجات,0)),"رقم مخرج غير موجود",IF($D719="","نوع الحركة ناقص",IF(NOT(ISNUMBER($E719)),"التاريخ ناقص",IF($E719&gt;تاريخ_الاحتساب,"تاريخ بعد تاريخ الاحتساب",IF(AND($D719&lt;&gt;"تسليم",COUNTIFS($A$5:$A$1504,$A719,$D$5:$D$1504,"تسليم",$E$5:$E$1504,"&lt;="&amp;$E719)=0),"لا يوجد تسليم قبل الحركة دي",""))))))</f>
        <v/>
      </c>
    </row>
    <row r="720" customFormat="false" ht="15" hidden="false" customHeight="false" outlineLevel="0" collapsed="false">
      <c r="A720" s="20"/>
      <c r="B720" s="35" t="str">
        <f aca="false">IF($A720="","",IFERROR(INDEX(مخرج_البند,MATCH($A720,قائمة_المخرجات,0)),""))</f>
        <v/>
      </c>
      <c r="C720" s="30" t="str">
        <f aca="false">IF($A720="","",IFERROR(INDEX(مخرج_الوصف,MATCH($A720,قائمة_المخرجات,0)),""))</f>
        <v/>
      </c>
      <c r="D720" s="20"/>
      <c r="E720" s="31"/>
      <c r="F720" s="22"/>
      <c r="G720" s="36" t="str">
        <f aca="false">IF(OR($A720="",$D720&lt;&gt;"تسليم",NOT(ISNUMBER($E720))),"",COUNTIFS($A$5:$A$1504,$A720,$D$5:$D$1504,"تسليم",$E$5:$E$1504,"&lt;"&amp;$E720)+1)</f>
        <v/>
      </c>
      <c r="H720" s="33" t="str">
        <f aca="false">IF($G720="","",_xlfn.MINIFS($E$5:$E$1504,$A$5:$A$1504,$A720,$D$5:$D$1504,"&lt;&gt;تسليم",$E$5:$E$1504,"&gt;="&amp;$E720))</f>
        <v/>
      </c>
      <c r="I720" s="33" t="str">
        <f aca="false">IF($G720="","",_xlfn.MINIFS($E$5:$E$1504,$A$5:$A$1504,$A720,$D$5:$D$1504,"تسليم",$E$5:$E$1504,"&gt;"&amp;$E720))</f>
        <v/>
      </c>
      <c r="J720" s="33" t="str">
        <f aca="false">IF($G720="","",IF(H720&gt;0,IF(I720&gt;0,MIN(H720,I720),H720),IF(I720&gt;0,I720,تاريخ_الاحتساب)))</f>
        <v/>
      </c>
      <c r="K720" s="34" t="str">
        <f aca="false">IF($G720="","",IF(AND(H720=0,I720=0),"جارية","مغلقة"))</f>
        <v/>
      </c>
      <c r="L720" s="26" t="str">
        <f aca="false">IF($G720="","",MAX(0,NETWORKDAYS.INTL($E720,J720,رمز_العطلة,أيام_الأجازات)-1))</f>
        <v/>
      </c>
      <c r="M720" s="26" t="str">
        <f aca="false">IF($G720="","",MAX(0,L720-مهلة_المراجعة))</f>
        <v/>
      </c>
      <c r="N720" s="30" t="str">
        <f aca="false">IF($A720="",IF(OR($D720&lt;&gt;"",$E720&lt;&gt;""),"رقم المخرج ناقص",""),IF(ISNA(MATCH($A720,قائمة_المخرجات,0)),"رقم مخرج غير موجود",IF($D720="","نوع الحركة ناقص",IF(NOT(ISNUMBER($E720)),"التاريخ ناقص",IF($E720&gt;تاريخ_الاحتساب,"تاريخ بعد تاريخ الاحتساب",IF(AND($D720&lt;&gt;"تسليم",COUNTIFS($A$5:$A$1504,$A720,$D$5:$D$1504,"تسليم",$E$5:$E$1504,"&lt;="&amp;$E720)=0),"لا يوجد تسليم قبل الحركة دي",""))))))</f>
        <v/>
      </c>
    </row>
    <row r="721" customFormat="false" ht="15" hidden="false" customHeight="false" outlineLevel="0" collapsed="false">
      <c r="A721" s="20"/>
      <c r="B721" s="35" t="str">
        <f aca="false">IF($A721="","",IFERROR(INDEX(مخرج_البند,MATCH($A721,قائمة_المخرجات,0)),""))</f>
        <v/>
      </c>
      <c r="C721" s="30" t="str">
        <f aca="false">IF($A721="","",IFERROR(INDEX(مخرج_الوصف,MATCH($A721,قائمة_المخرجات,0)),""))</f>
        <v/>
      </c>
      <c r="D721" s="20"/>
      <c r="E721" s="31"/>
      <c r="F721" s="22"/>
      <c r="G721" s="36" t="str">
        <f aca="false">IF(OR($A721="",$D721&lt;&gt;"تسليم",NOT(ISNUMBER($E721))),"",COUNTIFS($A$5:$A$1504,$A721,$D$5:$D$1504,"تسليم",$E$5:$E$1504,"&lt;"&amp;$E721)+1)</f>
        <v/>
      </c>
      <c r="H721" s="33" t="str">
        <f aca="false">IF($G721="","",_xlfn.MINIFS($E$5:$E$1504,$A$5:$A$1504,$A721,$D$5:$D$1504,"&lt;&gt;تسليم",$E$5:$E$1504,"&gt;="&amp;$E721))</f>
        <v/>
      </c>
      <c r="I721" s="33" t="str">
        <f aca="false">IF($G721="","",_xlfn.MINIFS($E$5:$E$1504,$A$5:$A$1504,$A721,$D$5:$D$1504,"تسليم",$E$5:$E$1504,"&gt;"&amp;$E721))</f>
        <v/>
      </c>
      <c r="J721" s="33" t="str">
        <f aca="false">IF($G721="","",IF(H721&gt;0,IF(I721&gt;0,MIN(H721,I721),H721),IF(I721&gt;0,I721,تاريخ_الاحتساب)))</f>
        <v/>
      </c>
      <c r="K721" s="34" t="str">
        <f aca="false">IF($G721="","",IF(AND(H721=0,I721=0),"جارية","مغلقة"))</f>
        <v/>
      </c>
      <c r="L721" s="26" t="str">
        <f aca="false">IF($G721="","",MAX(0,NETWORKDAYS.INTL($E721,J721,رمز_العطلة,أيام_الأجازات)-1))</f>
        <v/>
      </c>
      <c r="M721" s="26" t="str">
        <f aca="false">IF($G721="","",MAX(0,L721-مهلة_المراجعة))</f>
        <v/>
      </c>
      <c r="N721" s="30" t="str">
        <f aca="false">IF($A721="",IF(OR($D721&lt;&gt;"",$E721&lt;&gt;""),"رقم المخرج ناقص",""),IF(ISNA(MATCH($A721,قائمة_المخرجات,0)),"رقم مخرج غير موجود",IF($D721="","نوع الحركة ناقص",IF(NOT(ISNUMBER($E721)),"التاريخ ناقص",IF($E721&gt;تاريخ_الاحتساب,"تاريخ بعد تاريخ الاحتساب",IF(AND($D721&lt;&gt;"تسليم",COUNTIFS($A$5:$A$1504,$A721,$D$5:$D$1504,"تسليم",$E$5:$E$1504,"&lt;="&amp;$E721)=0),"لا يوجد تسليم قبل الحركة دي",""))))))</f>
        <v/>
      </c>
    </row>
    <row r="722" customFormat="false" ht="15" hidden="false" customHeight="false" outlineLevel="0" collapsed="false">
      <c r="A722" s="20"/>
      <c r="B722" s="35" t="str">
        <f aca="false">IF($A722="","",IFERROR(INDEX(مخرج_البند,MATCH($A722,قائمة_المخرجات,0)),""))</f>
        <v/>
      </c>
      <c r="C722" s="30" t="str">
        <f aca="false">IF($A722="","",IFERROR(INDEX(مخرج_الوصف,MATCH($A722,قائمة_المخرجات,0)),""))</f>
        <v/>
      </c>
      <c r="D722" s="20"/>
      <c r="E722" s="31"/>
      <c r="F722" s="22"/>
      <c r="G722" s="36" t="str">
        <f aca="false">IF(OR($A722="",$D722&lt;&gt;"تسليم",NOT(ISNUMBER($E722))),"",COUNTIFS($A$5:$A$1504,$A722,$D$5:$D$1504,"تسليم",$E$5:$E$1504,"&lt;"&amp;$E722)+1)</f>
        <v/>
      </c>
      <c r="H722" s="33" t="str">
        <f aca="false">IF($G722="","",_xlfn.MINIFS($E$5:$E$1504,$A$5:$A$1504,$A722,$D$5:$D$1504,"&lt;&gt;تسليم",$E$5:$E$1504,"&gt;="&amp;$E722))</f>
        <v/>
      </c>
      <c r="I722" s="33" t="str">
        <f aca="false">IF($G722="","",_xlfn.MINIFS($E$5:$E$1504,$A$5:$A$1504,$A722,$D$5:$D$1504,"تسليم",$E$5:$E$1504,"&gt;"&amp;$E722))</f>
        <v/>
      </c>
      <c r="J722" s="33" t="str">
        <f aca="false">IF($G722="","",IF(H722&gt;0,IF(I722&gt;0,MIN(H722,I722),H722),IF(I722&gt;0,I722,تاريخ_الاحتساب)))</f>
        <v/>
      </c>
      <c r="K722" s="34" t="str">
        <f aca="false">IF($G722="","",IF(AND(H722=0,I722=0),"جارية","مغلقة"))</f>
        <v/>
      </c>
      <c r="L722" s="26" t="str">
        <f aca="false">IF($G722="","",MAX(0,NETWORKDAYS.INTL($E722,J722,رمز_العطلة,أيام_الأجازات)-1))</f>
        <v/>
      </c>
      <c r="M722" s="26" t="str">
        <f aca="false">IF($G722="","",MAX(0,L722-مهلة_المراجعة))</f>
        <v/>
      </c>
      <c r="N722" s="30" t="str">
        <f aca="false">IF($A722="",IF(OR($D722&lt;&gt;"",$E722&lt;&gt;""),"رقم المخرج ناقص",""),IF(ISNA(MATCH($A722,قائمة_المخرجات,0)),"رقم مخرج غير موجود",IF($D722="","نوع الحركة ناقص",IF(NOT(ISNUMBER($E722)),"التاريخ ناقص",IF($E722&gt;تاريخ_الاحتساب,"تاريخ بعد تاريخ الاحتساب",IF(AND($D722&lt;&gt;"تسليم",COUNTIFS($A$5:$A$1504,$A722,$D$5:$D$1504,"تسليم",$E$5:$E$1504,"&lt;="&amp;$E722)=0),"لا يوجد تسليم قبل الحركة دي",""))))))</f>
        <v/>
      </c>
    </row>
    <row r="723" customFormat="false" ht="15" hidden="false" customHeight="false" outlineLevel="0" collapsed="false">
      <c r="A723" s="20"/>
      <c r="B723" s="35" t="str">
        <f aca="false">IF($A723="","",IFERROR(INDEX(مخرج_البند,MATCH($A723,قائمة_المخرجات,0)),""))</f>
        <v/>
      </c>
      <c r="C723" s="30" t="str">
        <f aca="false">IF($A723="","",IFERROR(INDEX(مخرج_الوصف,MATCH($A723,قائمة_المخرجات,0)),""))</f>
        <v/>
      </c>
      <c r="D723" s="20"/>
      <c r="E723" s="31"/>
      <c r="F723" s="22"/>
      <c r="G723" s="36" t="str">
        <f aca="false">IF(OR($A723="",$D723&lt;&gt;"تسليم",NOT(ISNUMBER($E723))),"",COUNTIFS($A$5:$A$1504,$A723,$D$5:$D$1504,"تسليم",$E$5:$E$1504,"&lt;"&amp;$E723)+1)</f>
        <v/>
      </c>
      <c r="H723" s="33" t="str">
        <f aca="false">IF($G723="","",_xlfn.MINIFS($E$5:$E$1504,$A$5:$A$1504,$A723,$D$5:$D$1504,"&lt;&gt;تسليم",$E$5:$E$1504,"&gt;="&amp;$E723))</f>
        <v/>
      </c>
      <c r="I723" s="33" t="str">
        <f aca="false">IF($G723="","",_xlfn.MINIFS($E$5:$E$1504,$A$5:$A$1504,$A723,$D$5:$D$1504,"تسليم",$E$5:$E$1504,"&gt;"&amp;$E723))</f>
        <v/>
      </c>
      <c r="J723" s="33" t="str">
        <f aca="false">IF($G723="","",IF(H723&gt;0,IF(I723&gt;0,MIN(H723,I723),H723),IF(I723&gt;0,I723,تاريخ_الاحتساب)))</f>
        <v/>
      </c>
      <c r="K723" s="34" t="str">
        <f aca="false">IF($G723="","",IF(AND(H723=0,I723=0),"جارية","مغلقة"))</f>
        <v/>
      </c>
      <c r="L723" s="26" t="str">
        <f aca="false">IF($G723="","",MAX(0,NETWORKDAYS.INTL($E723,J723,رمز_العطلة,أيام_الأجازات)-1))</f>
        <v/>
      </c>
      <c r="M723" s="26" t="str">
        <f aca="false">IF($G723="","",MAX(0,L723-مهلة_المراجعة))</f>
        <v/>
      </c>
      <c r="N723" s="30" t="str">
        <f aca="false">IF($A723="",IF(OR($D723&lt;&gt;"",$E723&lt;&gt;""),"رقم المخرج ناقص",""),IF(ISNA(MATCH($A723,قائمة_المخرجات,0)),"رقم مخرج غير موجود",IF($D723="","نوع الحركة ناقص",IF(NOT(ISNUMBER($E723)),"التاريخ ناقص",IF($E723&gt;تاريخ_الاحتساب,"تاريخ بعد تاريخ الاحتساب",IF(AND($D723&lt;&gt;"تسليم",COUNTIFS($A$5:$A$1504,$A723,$D$5:$D$1504,"تسليم",$E$5:$E$1504,"&lt;="&amp;$E723)=0),"لا يوجد تسليم قبل الحركة دي",""))))))</f>
        <v/>
      </c>
    </row>
    <row r="724" customFormat="false" ht="15" hidden="false" customHeight="false" outlineLevel="0" collapsed="false">
      <c r="A724" s="20"/>
      <c r="B724" s="35" t="str">
        <f aca="false">IF($A724="","",IFERROR(INDEX(مخرج_البند,MATCH($A724,قائمة_المخرجات,0)),""))</f>
        <v/>
      </c>
      <c r="C724" s="30" t="str">
        <f aca="false">IF($A724="","",IFERROR(INDEX(مخرج_الوصف,MATCH($A724,قائمة_المخرجات,0)),""))</f>
        <v/>
      </c>
      <c r="D724" s="20"/>
      <c r="E724" s="31"/>
      <c r="F724" s="22"/>
      <c r="G724" s="36" t="str">
        <f aca="false">IF(OR($A724="",$D724&lt;&gt;"تسليم",NOT(ISNUMBER($E724))),"",COUNTIFS($A$5:$A$1504,$A724,$D$5:$D$1504,"تسليم",$E$5:$E$1504,"&lt;"&amp;$E724)+1)</f>
        <v/>
      </c>
      <c r="H724" s="33" t="str">
        <f aca="false">IF($G724="","",_xlfn.MINIFS($E$5:$E$1504,$A$5:$A$1504,$A724,$D$5:$D$1504,"&lt;&gt;تسليم",$E$5:$E$1504,"&gt;="&amp;$E724))</f>
        <v/>
      </c>
      <c r="I724" s="33" t="str">
        <f aca="false">IF($G724="","",_xlfn.MINIFS($E$5:$E$1504,$A$5:$A$1504,$A724,$D$5:$D$1504,"تسليم",$E$5:$E$1504,"&gt;"&amp;$E724))</f>
        <v/>
      </c>
      <c r="J724" s="33" t="str">
        <f aca="false">IF($G724="","",IF(H724&gt;0,IF(I724&gt;0,MIN(H724,I724),H724),IF(I724&gt;0,I724,تاريخ_الاحتساب)))</f>
        <v/>
      </c>
      <c r="K724" s="34" t="str">
        <f aca="false">IF($G724="","",IF(AND(H724=0,I724=0),"جارية","مغلقة"))</f>
        <v/>
      </c>
      <c r="L724" s="26" t="str">
        <f aca="false">IF($G724="","",MAX(0,NETWORKDAYS.INTL($E724,J724,رمز_العطلة,أيام_الأجازات)-1))</f>
        <v/>
      </c>
      <c r="M724" s="26" t="str">
        <f aca="false">IF($G724="","",MAX(0,L724-مهلة_المراجعة))</f>
        <v/>
      </c>
      <c r="N724" s="30" t="str">
        <f aca="false">IF($A724="",IF(OR($D724&lt;&gt;"",$E724&lt;&gt;""),"رقم المخرج ناقص",""),IF(ISNA(MATCH($A724,قائمة_المخرجات,0)),"رقم مخرج غير موجود",IF($D724="","نوع الحركة ناقص",IF(NOT(ISNUMBER($E724)),"التاريخ ناقص",IF($E724&gt;تاريخ_الاحتساب,"تاريخ بعد تاريخ الاحتساب",IF(AND($D724&lt;&gt;"تسليم",COUNTIFS($A$5:$A$1504,$A724,$D$5:$D$1504,"تسليم",$E$5:$E$1504,"&lt;="&amp;$E724)=0),"لا يوجد تسليم قبل الحركة دي",""))))))</f>
        <v/>
      </c>
    </row>
    <row r="725" customFormat="false" ht="15" hidden="false" customHeight="false" outlineLevel="0" collapsed="false">
      <c r="A725" s="20"/>
      <c r="B725" s="35" t="str">
        <f aca="false">IF($A725="","",IFERROR(INDEX(مخرج_البند,MATCH($A725,قائمة_المخرجات,0)),""))</f>
        <v/>
      </c>
      <c r="C725" s="30" t="str">
        <f aca="false">IF($A725="","",IFERROR(INDEX(مخرج_الوصف,MATCH($A725,قائمة_المخرجات,0)),""))</f>
        <v/>
      </c>
      <c r="D725" s="20"/>
      <c r="E725" s="31"/>
      <c r="F725" s="22"/>
      <c r="G725" s="36" t="str">
        <f aca="false">IF(OR($A725="",$D725&lt;&gt;"تسليم",NOT(ISNUMBER($E725))),"",COUNTIFS($A$5:$A$1504,$A725,$D$5:$D$1504,"تسليم",$E$5:$E$1504,"&lt;"&amp;$E725)+1)</f>
        <v/>
      </c>
      <c r="H725" s="33" t="str">
        <f aca="false">IF($G725="","",_xlfn.MINIFS($E$5:$E$1504,$A$5:$A$1504,$A725,$D$5:$D$1504,"&lt;&gt;تسليم",$E$5:$E$1504,"&gt;="&amp;$E725))</f>
        <v/>
      </c>
      <c r="I725" s="33" t="str">
        <f aca="false">IF($G725="","",_xlfn.MINIFS($E$5:$E$1504,$A$5:$A$1504,$A725,$D$5:$D$1504,"تسليم",$E$5:$E$1504,"&gt;"&amp;$E725))</f>
        <v/>
      </c>
      <c r="J725" s="33" t="str">
        <f aca="false">IF($G725="","",IF(H725&gt;0,IF(I725&gt;0,MIN(H725,I725),H725),IF(I725&gt;0,I725,تاريخ_الاحتساب)))</f>
        <v/>
      </c>
      <c r="K725" s="34" t="str">
        <f aca="false">IF($G725="","",IF(AND(H725=0,I725=0),"جارية","مغلقة"))</f>
        <v/>
      </c>
      <c r="L725" s="26" t="str">
        <f aca="false">IF($G725="","",MAX(0,NETWORKDAYS.INTL($E725,J725,رمز_العطلة,أيام_الأجازات)-1))</f>
        <v/>
      </c>
      <c r="M725" s="26" t="str">
        <f aca="false">IF($G725="","",MAX(0,L725-مهلة_المراجعة))</f>
        <v/>
      </c>
      <c r="N725" s="30" t="str">
        <f aca="false">IF($A725="",IF(OR($D725&lt;&gt;"",$E725&lt;&gt;""),"رقم المخرج ناقص",""),IF(ISNA(MATCH($A725,قائمة_المخرجات,0)),"رقم مخرج غير موجود",IF($D725="","نوع الحركة ناقص",IF(NOT(ISNUMBER($E725)),"التاريخ ناقص",IF($E725&gt;تاريخ_الاحتساب,"تاريخ بعد تاريخ الاحتساب",IF(AND($D725&lt;&gt;"تسليم",COUNTIFS($A$5:$A$1504,$A725,$D$5:$D$1504,"تسليم",$E$5:$E$1504,"&lt;="&amp;$E725)=0),"لا يوجد تسليم قبل الحركة دي",""))))))</f>
        <v/>
      </c>
    </row>
    <row r="726" customFormat="false" ht="15" hidden="false" customHeight="false" outlineLevel="0" collapsed="false">
      <c r="A726" s="20"/>
      <c r="B726" s="35" t="str">
        <f aca="false">IF($A726="","",IFERROR(INDEX(مخرج_البند,MATCH($A726,قائمة_المخرجات,0)),""))</f>
        <v/>
      </c>
      <c r="C726" s="30" t="str">
        <f aca="false">IF($A726="","",IFERROR(INDEX(مخرج_الوصف,MATCH($A726,قائمة_المخرجات,0)),""))</f>
        <v/>
      </c>
      <c r="D726" s="20"/>
      <c r="E726" s="31"/>
      <c r="F726" s="22"/>
      <c r="G726" s="36" t="str">
        <f aca="false">IF(OR($A726="",$D726&lt;&gt;"تسليم",NOT(ISNUMBER($E726))),"",COUNTIFS($A$5:$A$1504,$A726,$D$5:$D$1504,"تسليم",$E$5:$E$1504,"&lt;"&amp;$E726)+1)</f>
        <v/>
      </c>
      <c r="H726" s="33" t="str">
        <f aca="false">IF($G726="","",_xlfn.MINIFS($E$5:$E$1504,$A$5:$A$1504,$A726,$D$5:$D$1504,"&lt;&gt;تسليم",$E$5:$E$1504,"&gt;="&amp;$E726))</f>
        <v/>
      </c>
      <c r="I726" s="33" t="str">
        <f aca="false">IF($G726="","",_xlfn.MINIFS($E$5:$E$1504,$A$5:$A$1504,$A726,$D$5:$D$1504,"تسليم",$E$5:$E$1504,"&gt;"&amp;$E726))</f>
        <v/>
      </c>
      <c r="J726" s="33" t="str">
        <f aca="false">IF($G726="","",IF(H726&gt;0,IF(I726&gt;0,MIN(H726,I726),H726),IF(I726&gt;0,I726,تاريخ_الاحتساب)))</f>
        <v/>
      </c>
      <c r="K726" s="34" t="str">
        <f aca="false">IF($G726="","",IF(AND(H726=0,I726=0),"جارية","مغلقة"))</f>
        <v/>
      </c>
      <c r="L726" s="26" t="str">
        <f aca="false">IF($G726="","",MAX(0,NETWORKDAYS.INTL($E726,J726,رمز_العطلة,أيام_الأجازات)-1))</f>
        <v/>
      </c>
      <c r="M726" s="26" t="str">
        <f aca="false">IF($G726="","",MAX(0,L726-مهلة_المراجعة))</f>
        <v/>
      </c>
      <c r="N726" s="30" t="str">
        <f aca="false">IF($A726="",IF(OR($D726&lt;&gt;"",$E726&lt;&gt;""),"رقم المخرج ناقص",""),IF(ISNA(MATCH($A726,قائمة_المخرجات,0)),"رقم مخرج غير موجود",IF($D726="","نوع الحركة ناقص",IF(NOT(ISNUMBER($E726)),"التاريخ ناقص",IF($E726&gt;تاريخ_الاحتساب,"تاريخ بعد تاريخ الاحتساب",IF(AND($D726&lt;&gt;"تسليم",COUNTIFS($A$5:$A$1504,$A726,$D$5:$D$1504,"تسليم",$E$5:$E$1504,"&lt;="&amp;$E726)=0),"لا يوجد تسليم قبل الحركة دي",""))))))</f>
        <v/>
      </c>
    </row>
    <row r="727" customFormat="false" ht="15" hidden="false" customHeight="false" outlineLevel="0" collapsed="false">
      <c r="A727" s="20"/>
      <c r="B727" s="35" t="str">
        <f aca="false">IF($A727="","",IFERROR(INDEX(مخرج_البند,MATCH($A727,قائمة_المخرجات,0)),""))</f>
        <v/>
      </c>
      <c r="C727" s="30" t="str">
        <f aca="false">IF($A727="","",IFERROR(INDEX(مخرج_الوصف,MATCH($A727,قائمة_المخرجات,0)),""))</f>
        <v/>
      </c>
      <c r="D727" s="20"/>
      <c r="E727" s="31"/>
      <c r="F727" s="22"/>
      <c r="G727" s="36" t="str">
        <f aca="false">IF(OR($A727="",$D727&lt;&gt;"تسليم",NOT(ISNUMBER($E727))),"",COUNTIFS($A$5:$A$1504,$A727,$D$5:$D$1504,"تسليم",$E$5:$E$1504,"&lt;"&amp;$E727)+1)</f>
        <v/>
      </c>
      <c r="H727" s="33" t="str">
        <f aca="false">IF($G727="","",_xlfn.MINIFS($E$5:$E$1504,$A$5:$A$1504,$A727,$D$5:$D$1504,"&lt;&gt;تسليم",$E$5:$E$1504,"&gt;="&amp;$E727))</f>
        <v/>
      </c>
      <c r="I727" s="33" t="str">
        <f aca="false">IF($G727="","",_xlfn.MINIFS($E$5:$E$1504,$A$5:$A$1504,$A727,$D$5:$D$1504,"تسليم",$E$5:$E$1504,"&gt;"&amp;$E727))</f>
        <v/>
      </c>
      <c r="J727" s="33" t="str">
        <f aca="false">IF($G727="","",IF(H727&gt;0,IF(I727&gt;0,MIN(H727,I727),H727),IF(I727&gt;0,I727,تاريخ_الاحتساب)))</f>
        <v/>
      </c>
      <c r="K727" s="34" t="str">
        <f aca="false">IF($G727="","",IF(AND(H727=0,I727=0),"جارية","مغلقة"))</f>
        <v/>
      </c>
      <c r="L727" s="26" t="str">
        <f aca="false">IF($G727="","",MAX(0,NETWORKDAYS.INTL($E727,J727,رمز_العطلة,أيام_الأجازات)-1))</f>
        <v/>
      </c>
      <c r="M727" s="26" t="str">
        <f aca="false">IF($G727="","",MAX(0,L727-مهلة_المراجعة))</f>
        <v/>
      </c>
      <c r="N727" s="30" t="str">
        <f aca="false">IF($A727="",IF(OR($D727&lt;&gt;"",$E727&lt;&gt;""),"رقم المخرج ناقص",""),IF(ISNA(MATCH($A727,قائمة_المخرجات,0)),"رقم مخرج غير موجود",IF($D727="","نوع الحركة ناقص",IF(NOT(ISNUMBER($E727)),"التاريخ ناقص",IF($E727&gt;تاريخ_الاحتساب,"تاريخ بعد تاريخ الاحتساب",IF(AND($D727&lt;&gt;"تسليم",COUNTIFS($A$5:$A$1504,$A727,$D$5:$D$1504,"تسليم",$E$5:$E$1504,"&lt;="&amp;$E727)=0),"لا يوجد تسليم قبل الحركة دي",""))))))</f>
        <v/>
      </c>
    </row>
    <row r="728" customFormat="false" ht="15" hidden="false" customHeight="false" outlineLevel="0" collapsed="false">
      <c r="A728" s="20"/>
      <c r="B728" s="35" t="str">
        <f aca="false">IF($A728="","",IFERROR(INDEX(مخرج_البند,MATCH($A728,قائمة_المخرجات,0)),""))</f>
        <v/>
      </c>
      <c r="C728" s="30" t="str">
        <f aca="false">IF($A728="","",IFERROR(INDEX(مخرج_الوصف,MATCH($A728,قائمة_المخرجات,0)),""))</f>
        <v/>
      </c>
      <c r="D728" s="20"/>
      <c r="E728" s="31"/>
      <c r="F728" s="22"/>
      <c r="G728" s="36" t="str">
        <f aca="false">IF(OR($A728="",$D728&lt;&gt;"تسليم",NOT(ISNUMBER($E728))),"",COUNTIFS($A$5:$A$1504,$A728,$D$5:$D$1504,"تسليم",$E$5:$E$1504,"&lt;"&amp;$E728)+1)</f>
        <v/>
      </c>
      <c r="H728" s="33" t="str">
        <f aca="false">IF($G728="","",_xlfn.MINIFS($E$5:$E$1504,$A$5:$A$1504,$A728,$D$5:$D$1504,"&lt;&gt;تسليم",$E$5:$E$1504,"&gt;="&amp;$E728))</f>
        <v/>
      </c>
      <c r="I728" s="33" t="str">
        <f aca="false">IF($G728="","",_xlfn.MINIFS($E$5:$E$1504,$A$5:$A$1504,$A728,$D$5:$D$1504,"تسليم",$E$5:$E$1504,"&gt;"&amp;$E728))</f>
        <v/>
      </c>
      <c r="J728" s="33" t="str">
        <f aca="false">IF($G728="","",IF(H728&gt;0,IF(I728&gt;0,MIN(H728,I728),H728),IF(I728&gt;0,I728,تاريخ_الاحتساب)))</f>
        <v/>
      </c>
      <c r="K728" s="34" t="str">
        <f aca="false">IF($G728="","",IF(AND(H728=0,I728=0),"جارية","مغلقة"))</f>
        <v/>
      </c>
      <c r="L728" s="26" t="str">
        <f aca="false">IF($G728="","",MAX(0,NETWORKDAYS.INTL($E728,J728,رمز_العطلة,أيام_الأجازات)-1))</f>
        <v/>
      </c>
      <c r="M728" s="26" t="str">
        <f aca="false">IF($G728="","",MAX(0,L728-مهلة_المراجعة))</f>
        <v/>
      </c>
      <c r="N728" s="30" t="str">
        <f aca="false">IF($A728="",IF(OR($D728&lt;&gt;"",$E728&lt;&gt;""),"رقم المخرج ناقص",""),IF(ISNA(MATCH($A728,قائمة_المخرجات,0)),"رقم مخرج غير موجود",IF($D728="","نوع الحركة ناقص",IF(NOT(ISNUMBER($E728)),"التاريخ ناقص",IF($E728&gt;تاريخ_الاحتساب,"تاريخ بعد تاريخ الاحتساب",IF(AND($D728&lt;&gt;"تسليم",COUNTIFS($A$5:$A$1504,$A728,$D$5:$D$1504,"تسليم",$E$5:$E$1504,"&lt;="&amp;$E728)=0),"لا يوجد تسليم قبل الحركة دي",""))))))</f>
        <v/>
      </c>
    </row>
    <row r="729" customFormat="false" ht="15" hidden="false" customHeight="false" outlineLevel="0" collapsed="false">
      <c r="A729" s="20"/>
      <c r="B729" s="35" t="str">
        <f aca="false">IF($A729="","",IFERROR(INDEX(مخرج_البند,MATCH($A729,قائمة_المخرجات,0)),""))</f>
        <v/>
      </c>
      <c r="C729" s="30" t="str">
        <f aca="false">IF($A729="","",IFERROR(INDEX(مخرج_الوصف,MATCH($A729,قائمة_المخرجات,0)),""))</f>
        <v/>
      </c>
      <c r="D729" s="20"/>
      <c r="E729" s="31"/>
      <c r="F729" s="22"/>
      <c r="G729" s="36" t="str">
        <f aca="false">IF(OR($A729="",$D729&lt;&gt;"تسليم",NOT(ISNUMBER($E729))),"",COUNTIFS($A$5:$A$1504,$A729,$D$5:$D$1504,"تسليم",$E$5:$E$1504,"&lt;"&amp;$E729)+1)</f>
        <v/>
      </c>
      <c r="H729" s="33" t="str">
        <f aca="false">IF($G729="","",_xlfn.MINIFS($E$5:$E$1504,$A$5:$A$1504,$A729,$D$5:$D$1504,"&lt;&gt;تسليم",$E$5:$E$1504,"&gt;="&amp;$E729))</f>
        <v/>
      </c>
      <c r="I729" s="33" t="str">
        <f aca="false">IF($G729="","",_xlfn.MINIFS($E$5:$E$1504,$A$5:$A$1504,$A729,$D$5:$D$1504,"تسليم",$E$5:$E$1504,"&gt;"&amp;$E729))</f>
        <v/>
      </c>
      <c r="J729" s="33" t="str">
        <f aca="false">IF($G729="","",IF(H729&gt;0,IF(I729&gt;0,MIN(H729,I729),H729),IF(I729&gt;0,I729,تاريخ_الاحتساب)))</f>
        <v/>
      </c>
      <c r="K729" s="34" t="str">
        <f aca="false">IF($G729="","",IF(AND(H729=0,I729=0),"جارية","مغلقة"))</f>
        <v/>
      </c>
      <c r="L729" s="26" t="str">
        <f aca="false">IF($G729="","",MAX(0,NETWORKDAYS.INTL($E729,J729,رمز_العطلة,أيام_الأجازات)-1))</f>
        <v/>
      </c>
      <c r="M729" s="26" t="str">
        <f aca="false">IF($G729="","",MAX(0,L729-مهلة_المراجعة))</f>
        <v/>
      </c>
      <c r="N729" s="30" t="str">
        <f aca="false">IF($A729="",IF(OR($D729&lt;&gt;"",$E729&lt;&gt;""),"رقم المخرج ناقص",""),IF(ISNA(MATCH($A729,قائمة_المخرجات,0)),"رقم مخرج غير موجود",IF($D729="","نوع الحركة ناقص",IF(NOT(ISNUMBER($E729)),"التاريخ ناقص",IF($E729&gt;تاريخ_الاحتساب,"تاريخ بعد تاريخ الاحتساب",IF(AND($D729&lt;&gt;"تسليم",COUNTIFS($A$5:$A$1504,$A729,$D$5:$D$1504,"تسليم",$E$5:$E$1504,"&lt;="&amp;$E729)=0),"لا يوجد تسليم قبل الحركة دي",""))))))</f>
        <v/>
      </c>
    </row>
    <row r="730" customFormat="false" ht="15" hidden="false" customHeight="false" outlineLevel="0" collapsed="false">
      <c r="A730" s="20"/>
      <c r="B730" s="35" t="str">
        <f aca="false">IF($A730="","",IFERROR(INDEX(مخرج_البند,MATCH($A730,قائمة_المخرجات,0)),""))</f>
        <v/>
      </c>
      <c r="C730" s="30" t="str">
        <f aca="false">IF($A730="","",IFERROR(INDEX(مخرج_الوصف,MATCH($A730,قائمة_المخرجات,0)),""))</f>
        <v/>
      </c>
      <c r="D730" s="20"/>
      <c r="E730" s="31"/>
      <c r="F730" s="22"/>
      <c r="G730" s="36" t="str">
        <f aca="false">IF(OR($A730="",$D730&lt;&gt;"تسليم",NOT(ISNUMBER($E730))),"",COUNTIFS($A$5:$A$1504,$A730,$D$5:$D$1504,"تسليم",$E$5:$E$1504,"&lt;"&amp;$E730)+1)</f>
        <v/>
      </c>
      <c r="H730" s="33" t="str">
        <f aca="false">IF($G730="","",_xlfn.MINIFS($E$5:$E$1504,$A$5:$A$1504,$A730,$D$5:$D$1504,"&lt;&gt;تسليم",$E$5:$E$1504,"&gt;="&amp;$E730))</f>
        <v/>
      </c>
      <c r="I730" s="33" t="str">
        <f aca="false">IF($G730="","",_xlfn.MINIFS($E$5:$E$1504,$A$5:$A$1504,$A730,$D$5:$D$1504,"تسليم",$E$5:$E$1504,"&gt;"&amp;$E730))</f>
        <v/>
      </c>
      <c r="J730" s="33" t="str">
        <f aca="false">IF($G730="","",IF(H730&gt;0,IF(I730&gt;0,MIN(H730,I730),H730),IF(I730&gt;0,I730,تاريخ_الاحتساب)))</f>
        <v/>
      </c>
      <c r="K730" s="34" t="str">
        <f aca="false">IF($G730="","",IF(AND(H730=0,I730=0),"جارية","مغلقة"))</f>
        <v/>
      </c>
      <c r="L730" s="26" t="str">
        <f aca="false">IF($G730="","",MAX(0,NETWORKDAYS.INTL($E730,J730,رمز_العطلة,أيام_الأجازات)-1))</f>
        <v/>
      </c>
      <c r="M730" s="26" t="str">
        <f aca="false">IF($G730="","",MAX(0,L730-مهلة_المراجعة))</f>
        <v/>
      </c>
      <c r="N730" s="30" t="str">
        <f aca="false">IF($A730="",IF(OR($D730&lt;&gt;"",$E730&lt;&gt;""),"رقم المخرج ناقص",""),IF(ISNA(MATCH($A730,قائمة_المخرجات,0)),"رقم مخرج غير موجود",IF($D730="","نوع الحركة ناقص",IF(NOT(ISNUMBER($E730)),"التاريخ ناقص",IF($E730&gt;تاريخ_الاحتساب,"تاريخ بعد تاريخ الاحتساب",IF(AND($D730&lt;&gt;"تسليم",COUNTIFS($A$5:$A$1504,$A730,$D$5:$D$1504,"تسليم",$E$5:$E$1504,"&lt;="&amp;$E730)=0),"لا يوجد تسليم قبل الحركة دي",""))))))</f>
        <v/>
      </c>
    </row>
    <row r="731" customFormat="false" ht="15" hidden="false" customHeight="false" outlineLevel="0" collapsed="false">
      <c r="A731" s="20"/>
      <c r="B731" s="35" t="str">
        <f aca="false">IF($A731="","",IFERROR(INDEX(مخرج_البند,MATCH($A731,قائمة_المخرجات,0)),""))</f>
        <v/>
      </c>
      <c r="C731" s="30" t="str">
        <f aca="false">IF($A731="","",IFERROR(INDEX(مخرج_الوصف,MATCH($A731,قائمة_المخرجات,0)),""))</f>
        <v/>
      </c>
      <c r="D731" s="20"/>
      <c r="E731" s="31"/>
      <c r="F731" s="22"/>
      <c r="G731" s="36" t="str">
        <f aca="false">IF(OR($A731="",$D731&lt;&gt;"تسليم",NOT(ISNUMBER($E731))),"",COUNTIFS($A$5:$A$1504,$A731,$D$5:$D$1504,"تسليم",$E$5:$E$1504,"&lt;"&amp;$E731)+1)</f>
        <v/>
      </c>
      <c r="H731" s="33" t="str">
        <f aca="false">IF($G731="","",_xlfn.MINIFS($E$5:$E$1504,$A$5:$A$1504,$A731,$D$5:$D$1504,"&lt;&gt;تسليم",$E$5:$E$1504,"&gt;="&amp;$E731))</f>
        <v/>
      </c>
      <c r="I731" s="33" t="str">
        <f aca="false">IF($G731="","",_xlfn.MINIFS($E$5:$E$1504,$A$5:$A$1504,$A731,$D$5:$D$1504,"تسليم",$E$5:$E$1504,"&gt;"&amp;$E731))</f>
        <v/>
      </c>
      <c r="J731" s="33" t="str">
        <f aca="false">IF($G731="","",IF(H731&gt;0,IF(I731&gt;0,MIN(H731,I731),H731),IF(I731&gt;0,I731,تاريخ_الاحتساب)))</f>
        <v/>
      </c>
      <c r="K731" s="34" t="str">
        <f aca="false">IF($G731="","",IF(AND(H731=0,I731=0),"جارية","مغلقة"))</f>
        <v/>
      </c>
      <c r="L731" s="26" t="str">
        <f aca="false">IF($G731="","",MAX(0,NETWORKDAYS.INTL($E731,J731,رمز_العطلة,أيام_الأجازات)-1))</f>
        <v/>
      </c>
      <c r="M731" s="26" t="str">
        <f aca="false">IF($G731="","",MAX(0,L731-مهلة_المراجعة))</f>
        <v/>
      </c>
      <c r="N731" s="30" t="str">
        <f aca="false">IF($A731="",IF(OR($D731&lt;&gt;"",$E731&lt;&gt;""),"رقم المخرج ناقص",""),IF(ISNA(MATCH($A731,قائمة_المخرجات,0)),"رقم مخرج غير موجود",IF($D731="","نوع الحركة ناقص",IF(NOT(ISNUMBER($E731)),"التاريخ ناقص",IF($E731&gt;تاريخ_الاحتساب,"تاريخ بعد تاريخ الاحتساب",IF(AND($D731&lt;&gt;"تسليم",COUNTIFS($A$5:$A$1504,$A731,$D$5:$D$1504,"تسليم",$E$5:$E$1504,"&lt;="&amp;$E731)=0),"لا يوجد تسليم قبل الحركة دي",""))))))</f>
        <v/>
      </c>
    </row>
    <row r="732" customFormat="false" ht="15" hidden="false" customHeight="false" outlineLevel="0" collapsed="false">
      <c r="A732" s="20"/>
      <c r="B732" s="35" t="str">
        <f aca="false">IF($A732="","",IFERROR(INDEX(مخرج_البند,MATCH($A732,قائمة_المخرجات,0)),""))</f>
        <v/>
      </c>
      <c r="C732" s="30" t="str">
        <f aca="false">IF($A732="","",IFERROR(INDEX(مخرج_الوصف,MATCH($A732,قائمة_المخرجات,0)),""))</f>
        <v/>
      </c>
      <c r="D732" s="20"/>
      <c r="E732" s="31"/>
      <c r="F732" s="22"/>
      <c r="G732" s="36" t="str">
        <f aca="false">IF(OR($A732="",$D732&lt;&gt;"تسليم",NOT(ISNUMBER($E732))),"",COUNTIFS($A$5:$A$1504,$A732,$D$5:$D$1504,"تسليم",$E$5:$E$1504,"&lt;"&amp;$E732)+1)</f>
        <v/>
      </c>
      <c r="H732" s="33" t="str">
        <f aca="false">IF($G732="","",_xlfn.MINIFS($E$5:$E$1504,$A$5:$A$1504,$A732,$D$5:$D$1504,"&lt;&gt;تسليم",$E$5:$E$1504,"&gt;="&amp;$E732))</f>
        <v/>
      </c>
      <c r="I732" s="33" t="str">
        <f aca="false">IF($G732="","",_xlfn.MINIFS($E$5:$E$1504,$A$5:$A$1504,$A732,$D$5:$D$1504,"تسليم",$E$5:$E$1504,"&gt;"&amp;$E732))</f>
        <v/>
      </c>
      <c r="J732" s="33" t="str">
        <f aca="false">IF($G732="","",IF(H732&gt;0,IF(I732&gt;0,MIN(H732,I732),H732),IF(I732&gt;0,I732,تاريخ_الاحتساب)))</f>
        <v/>
      </c>
      <c r="K732" s="34" t="str">
        <f aca="false">IF($G732="","",IF(AND(H732=0,I732=0),"جارية","مغلقة"))</f>
        <v/>
      </c>
      <c r="L732" s="26" t="str">
        <f aca="false">IF($G732="","",MAX(0,NETWORKDAYS.INTL($E732,J732,رمز_العطلة,أيام_الأجازات)-1))</f>
        <v/>
      </c>
      <c r="M732" s="26" t="str">
        <f aca="false">IF($G732="","",MAX(0,L732-مهلة_المراجعة))</f>
        <v/>
      </c>
      <c r="N732" s="30" t="str">
        <f aca="false">IF($A732="",IF(OR($D732&lt;&gt;"",$E732&lt;&gt;""),"رقم المخرج ناقص",""),IF(ISNA(MATCH($A732,قائمة_المخرجات,0)),"رقم مخرج غير موجود",IF($D732="","نوع الحركة ناقص",IF(NOT(ISNUMBER($E732)),"التاريخ ناقص",IF($E732&gt;تاريخ_الاحتساب,"تاريخ بعد تاريخ الاحتساب",IF(AND($D732&lt;&gt;"تسليم",COUNTIFS($A$5:$A$1504,$A732,$D$5:$D$1504,"تسليم",$E$5:$E$1504,"&lt;="&amp;$E732)=0),"لا يوجد تسليم قبل الحركة دي",""))))))</f>
        <v/>
      </c>
    </row>
    <row r="733" customFormat="false" ht="15" hidden="false" customHeight="false" outlineLevel="0" collapsed="false">
      <c r="A733" s="20"/>
      <c r="B733" s="35" t="str">
        <f aca="false">IF($A733="","",IFERROR(INDEX(مخرج_البند,MATCH($A733,قائمة_المخرجات,0)),""))</f>
        <v/>
      </c>
      <c r="C733" s="30" t="str">
        <f aca="false">IF($A733="","",IFERROR(INDEX(مخرج_الوصف,MATCH($A733,قائمة_المخرجات,0)),""))</f>
        <v/>
      </c>
      <c r="D733" s="20"/>
      <c r="E733" s="31"/>
      <c r="F733" s="22"/>
      <c r="G733" s="36" t="str">
        <f aca="false">IF(OR($A733="",$D733&lt;&gt;"تسليم",NOT(ISNUMBER($E733))),"",COUNTIFS($A$5:$A$1504,$A733,$D$5:$D$1504,"تسليم",$E$5:$E$1504,"&lt;"&amp;$E733)+1)</f>
        <v/>
      </c>
      <c r="H733" s="33" t="str">
        <f aca="false">IF($G733="","",_xlfn.MINIFS($E$5:$E$1504,$A$5:$A$1504,$A733,$D$5:$D$1504,"&lt;&gt;تسليم",$E$5:$E$1504,"&gt;="&amp;$E733))</f>
        <v/>
      </c>
      <c r="I733" s="33" t="str">
        <f aca="false">IF($G733="","",_xlfn.MINIFS($E$5:$E$1504,$A$5:$A$1504,$A733,$D$5:$D$1504,"تسليم",$E$5:$E$1504,"&gt;"&amp;$E733))</f>
        <v/>
      </c>
      <c r="J733" s="33" t="str">
        <f aca="false">IF($G733="","",IF(H733&gt;0,IF(I733&gt;0,MIN(H733,I733),H733),IF(I733&gt;0,I733,تاريخ_الاحتساب)))</f>
        <v/>
      </c>
      <c r="K733" s="34" t="str">
        <f aca="false">IF($G733="","",IF(AND(H733=0,I733=0),"جارية","مغلقة"))</f>
        <v/>
      </c>
      <c r="L733" s="26" t="str">
        <f aca="false">IF($G733="","",MAX(0,NETWORKDAYS.INTL($E733,J733,رمز_العطلة,أيام_الأجازات)-1))</f>
        <v/>
      </c>
      <c r="M733" s="26" t="str">
        <f aca="false">IF($G733="","",MAX(0,L733-مهلة_المراجعة))</f>
        <v/>
      </c>
      <c r="N733" s="30" t="str">
        <f aca="false">IF($A733="",IF(OR($D733&lt;&gt;"",$E733&lt;&gt;""),"رقم المخرج ناقص",""),IF(ISNA(MATCH($A733,قائمة_المخرجات,0)),"رقم مخرج غير موجود",IF($D733="","نوع الحركة ناقص",IF(NOT(ISNUMBER($E733)),"التاريخ ناقص",IF($E733&gt;تاريخ_الاحتساب,"تاريخ بعد تاريخ الاحتساب",IF(AND($D733&lt;&gt;"تسليم",COUNTIFS($A$5:$A$1504,$A733,$D$5:$D$1504,"تسليم",$E$5:$E$1504,"&lt;="&amp;$E733)=0),"لا يوجد تسليم قبل الحركة دي",""))))))</f>
        <v/>
      </c>
    </row>
    <row r="734" customFormat="false" ht="15" hidden="false" customHeight="false" outlineLevel="0" collapsed="false">
      <c r="A734" s="20"/>
      <c r="B734" s="35" t="str">
        <f aca="false">IF($A734="","",IFERROR(INDEX(مخرج_البند,MATCH($A734,قائمة_المخرجات,0)),""))</f>
        <v/>
      </c>
      <c r="C734" s="30" t="str">
        <f aca="false">IF($A734="","",IFERROR(INDEX(مخرج_الوصف,MATCH($A734,قائمة_المخرجات,0)),""))</f>
        <v/>
      </c>
      <c r="D734" s="20"/>
      <c r="E734" s="31"/>
      <c r="F734" s="22"/>
      <c r="G734" s="36" t="str">
        <f aca="false">IF(OR($A734="",$D734&lt;&gt;"تسليم",NOT(ISNUMBER($E734))),"",COUNTIFS($A$5:$A$1504,$A734,$D$5:$D$1504,"تسليم",$E$5:$E$1504,"&lt;"&amp;$E734)+1)</f>
        <v/>
      </c>
      <c r="H734" s="33" t="str">
        <f aca="false">IF($G734="","",_xlfn.MINIFS($E$5:$E$1504,$A$5:$A$1504,$A734,$D$5:$D$1504,"&lt;&gt;تسليم",$E$5:$E$1504,"&gt;="&amp;$E734))</f>
        <v/>
      </c>
      <c r="I734" s="33" t="str">
        <f aca="false">IF($G734="","",_xlfn.MINIFS($E$5:$E$1504,$A$5:$A$1504,$A734,$D$5:$D$1504,"تسليم",$E$5:$E$1504,"&gt;"&amp;$E734))</f>
        <v/>
      </c>
      <c r="J734" s="33" t="str">
        <f aca="false">IF($G734="","",IF(H734&gt;0,IF(I734&gt;0,MIN(H734,I734),H734),IF(I734&gt;0,I734,تاريخ_الاحتساب)))</f>
        <v/>
      </c>
      <c r="K734" s="34" t="str">
        <f aca="false">IF($G734="","",IF(AND(H734=0,I734=0),"جارية","مغلقة"))</f>
        <v/>
      </c>
      <c r="L734" s="26" t="str">
        <f aca="false">IF($G734="","",MAX(0,NETWORKDAYS.INTL($E734,J734,رمز_العطلة,أيام_الأجازات)-1))</f>
        <v/>
      </c>
      <c r="M734" s="26" t="str">
        <f aca="false">IF($G734="","",MAX(0,L734-مهلة_المراجعة))</f>
        <v/>
      </c>
      <c r="N734" s="30" t="str">
        <f aca="false">IF($A734="",IF(OR($D734&lt;&gt;"",$E734&lt;&gt;""),"رقم المخرج ناقص",""),IF(ISNA(MATCH($A734,قائمة_المخرجات,0)),"رقم مخرج غير موجود",IF($D734="","نوع الحركة ناقص",IF(NOT(ISNUMBER($E734)),"التاريخ ناقص",IF($E734&gt;تاريخ_الاحتساب,"تاريخ بعد تاريخ الاحتساب",IF(AND($D734&lt;&gt;"تسليم",COUNTIFS($A$5:$A$1504,$A734,$D$5:$D$1504,"تسليم",$E$5:$E$1504,"&lt;="&amp;$E734)=0),"لا يوجد تسليم قبل الحركة دي",""))))))</f>
        <v/>
      </c>
    </row>
    <row r="735" customFormat="false" ht="15" hidden="false" customHeight="false" outlineLevel="0" collapsed="false">
      <c r="A735" s="20"/>
      <c r="B735" s="35" t="str">
        <f aca="false">IF($A735="","",IFERROR(INDEX(مخرج_البند,MATCH($A735,قائمة_المخرجات,0)),""))</f>
        <v/>
      </c>
      <c r="C735" s="30" t="str">
        <f aca="false">IF($A735="","",IFERROR(INDEX(مخرج_الوصف,MATCH($A735,قائمة_المخرجات,0)),""))</f>
        <v/>
      </c>
      <c r="D735" s="20"/>
      <c r="E735" s="31"/>
      <c r="F735" s="22"/>
      <c r="G735" s="36" t="str">
        <f aca="false">IF(OR($A735="",$D735&lt;&gt;"تسليم",NOT(ISNUMBER($E735))),"",COUNTIFS($A$5:$A$1504,$A735,$D$5:$D$1504,"تسليم",$E$5:$E$1504,"&lt;"&amp;$E735)+1)</f>
        <v/>
      </c>
      <c r="H735" s="33" t="str">
        <f aca="false">IF($G735="","",_xlfn.MINIFS($E$5:$E$1504,$A$5:$A$1504,$A735,$D$5:$D$1504,"&lt;&gt;تسليم",$E$5:$E$1504,"&gt;="&amp;$E735))</f>
        <v/>
      </c>
      <c r="I735" s="33" t="str">
        <f aca="false">IF($G735="","",_xlfn.MINIFS($E$5:$E$1504,$A$5:$A$1504,$A735,$D$5:$D$1504,"تسليم",$E$5:$E$1504,"&gt;"&amp;$E735))</f>
        <v/>
      </c>
      <c r="J735" s="33" t="str">
        <f aca="false">IF($G735="","",IF(H735&gt;0,IF(I735&gt;0,MIN(H735,I735),H735),IF(I735&gt;0,I735,تاريخ_الاحتساب)))</f>
        <v/>
      </c>
      <c r="K735" s="34" t="str">
        <f aca="false">IF($G735="","",IF(AND(H735=0,I735=0),"جارية","مغلقة"))</f>
        <v/>
      </c>
      <c r="L735" s="26" t="str">
        <f aca="false">IF($G735="","",MAX(0,NETWORKDAYS.INTL($E735,J735,رمز_العطلة,أيام_الأجازات)-1))</f>
        <v/>
      </c>
      <c r="M735" s="26" t="str">
        <f aca="false">IF($G735="","",MAX(0,L735-مهلة_المراجعة))</f>
        <v/>
      </c>
      <c r="N735" s="30" t="str">
        <f aca="false">IF($A735="",IF(OR($D735&lt;&gt;"",$E735&lt;&gt;""),"رقم المخرج ناقص",""),IF(ISNA(MATCH($A735,قائمة_المخرجات,0)),"رقم مخرج غير موجود",IF($D735="","نوع الحركة ناقص",IF(NOT(ISNUMBER($E735)),"التاريخ ناقص",IF($E735&gt;تاريخ_الاحتساب,"تاريخ بعد تاريخ الاحتساب",IF(AND($D735&lt;&gt;"تسليم",COUNTIFS($A$5:$A$1504,$A735,$D$5:$D$1504,"تسليم",$E$5:$E$1504,"&lt;="&amp;$E735)=0),"لا يوجد تسليم قبل الحركة دي",""))))))</f>
        <v/>
      </c>
    </row>
    <row r="736" customFormat="false" ht="15" hidden="false" customHeight="false" outlineLevel="0" collapsed="false">
      <c r="A736" s="20"/>
      <c r="B736" s="35" t="str">
        <f aca="false">IF($A736="","",IFERROR(INDEX(مخرج_البند,MATCH($A736,قائمة_المخرجات,0)),""))</f>
        <v/>
      </c>
      <c r="C736" s="30" t="str">
        <f aca="false">IF($A736="","",IFERROR(INDEX(مخرج_الوصف,MATCH($A736,قائمة_المخرجات,0)),""))</f>
        <v/>
      </c>
      <c r="D736" s="20"/>
      <c r="E736" s="31"/>
      <c r="F736" s="22"/>
      <c r="G736" s="36" t="str">
        <f aca="false">IF(OR($A736="",$D736&lt;&gt;"تسليم",NOT(ISNUMBER($E736))),"",COUNTIFS($A$5:$A$1504,$A736,$D$5:$D$1504,"تسليم",$E$5:$E$1504,"&lt;"&amp;$E736)+1)</f>
        <v/>
      </c>
      <c r="H736" s="33" t="str">
        <f aca="false">IF($G736="","",_xlfn.MINIFS($E$5:$E$1504,$A$5:$A$1504,$A736,$D$5:$D$1504,"&lt;&gt;تسليم",$E$5:$E$1504,"&gt;="&amp;$E736))</f>
        <v/>
      </c>
      <c r="I736" s="33" t="str">
        <f aca="false">IF($G736="","",_xlfn.MINIFS($E$5:$E$1504,$A$5:$A$1504,$A736,$D$5:$D$1504,"تسليم",$E$5:$E$1504,"&gt;"&amp;$E736))</f>
        <v/>
      </c>
      <c r="J736" s="33" t="str">
        <f aca="false">IF($G736="","",IF(H736&gt;0,IF(I736&gt;0,MIN(H736,I736),H736),IF(I736&gt;0,I736,تاريخ_الاحتساب)))</f>
        <v/>
      </c>
      <c r="K736" s="34" t="str">
        <f aca="false">IF($G736="","",IF(AND(H736=0,I736=0),"جارية","مغلقة"))</f>
        <v/>
      </c>
      <c r="L736" s="26" t="str">
        <f aca="false">IF($G736="","",MAX(0,NETWORKDAYS.INTL($E736,J736,رمز_العطلة,أيام_الأجازات)-1))</f>
        <v/>
      </c>
      <c r="M736" s="26" t="str">
        <f aca="false">IF($G736="","",MAX(0,L736-مهلة_المراجعة))</f>
        <v/>
      </c>
      <c r="N736" s="30" t="str">
        <f aca="false">IF($A736="",IF(OR($D736&lt;&gt;"",$E736&lt;&gt;""),"رقم المخرج ناقص",""),IF(ISNA(MATCH($A736,قائمة_المخرجات,0)),"رقم مخرج غير موجود",IF($D736="","نوع الحركة ناقص",IF(NOT(ISNUMBER($E736)),"التاريخ ناقص",IF($E736&gt;تاريخ_الاحتساب,"تاريخ بعد تاريخ الاحتساب",IF(AND($D736&lt;&gt;"تسليم",COUNTIFS($A$5:$A$1504,$A736,$D$5:$D$1504,"تسليم",$E$5:$E$1504,"&lt;="&amp;$E736)=0),"لا يوجد تسليم قبل الحركة دي",""))))))</f>
        <v/>
      </c>
    </row>
    <row r="737" customFormat="false" ht="15" hidden="false" customHeight="false" outlineLevel="0" collapsed="false">
      <c r="A737" s="20"/>
      <c r="B737" s="35" t="str">
        <f aca="false">IF($A737="","",IFERROR(INDEX(مخرج_البند,MATCH($A737,قائمة_المخرجات,0)),""))</f>
        <v/>
      </c>
      <c r="C737" s="30" t="str">
        <f aca="false">IF($A737="","",IFERROR(INDEX(مخرج_الوصف,MATCH($A737,قائمة_المخرجات,0)),""))</f>
        <v/>
      </c>
      <c r="D737" s="20"/>
      <c r="E737" s="31"/>
      <c r="F737" s="22"/>
      <c r="G737" s="36" t="str">
        <f aca="false">IF(OR($A737="",$D737&lt;&gt;"تسليم",NOT(ISNUMBER($E737))),"",COUNTIFS($A$5:$A$1504,$A737,$D$5:$D$1504,"تسليم",$E$5:$E$1504,"&lt;"&amp;$E737)+1)</f>
        <v/>
      </c>
      <c r="H737" s="33" t="str">
        <f aca="false">IF($G737="","",_xlfn.MINIFS($E$5:$E$1504,$A$5:$A$1504,$A737,$D$5:$D$1504,"&lt;&gt;تسليم",$E$5:$E$1504,"&gt;="&amp;$E737))</f>
        <v/>
      </c>
      <c r="I737" s="33" t="str">
        <f aca="false">IF($G737="","",_xlfn.MINIFS($E$5:$E$1504,$A$5:$A$1504,$A737,$D$5:$D$1504,"تسليم",$E$5:$E$1504,"&gt;"&amp;$E737))</f>
        <v/>
      </c>
      <c r="J737" s="33" t="str">
        <f aca="false">IF($G737="","",IF(H737&gt;0,IF(I737&gt;0,MIN(H737,I737),H737),IF(I737&gt;0,I737,تاريخ_الاحتساب)))</f>
        <v/>
      </c>
      <c r="K737" s="34" t="str">
        <f aca="false">IF($G737="","",IF(AND(H737=0,I737=0),"جارية","مغلقة"))</f>
        <v/>
      </c>
      <c r="L737" s="26" t="str">
        <f aca="false">IF($G737="","",MAX(0,NETWORKDAYS.INTL($E737,J737,رمز_العطلة,أيام_الأجازات)-1))</f>
        <v/>
      </c>
      <c r="M737" s="26" t="str">
        <f aca="false">IF($G737="","",MAX(0,L737-مهلة_المراجعة))</f>
        <v/>
      </c>
      <c r="N737" s="30" t="str">
        <f aca="false">IF($A737="",IF(OR($D737&lt;&gt;"",$E737&lt;&gt;""),"رقم المخرج ناقص",""),IF(ISNA(MATCH($A737,قائمة_المخرجات,0)),"رقم مخرج غير موجود",IF($D737="","نوع الحركة ناقص",IF(NOT(ISNUMBER($E737)),"التاريخ ناقص",IF($E737&gt;تاريخ_الاحتساب,"تاريخ بعد تاريخ الاحتساب",IF(AND($D737&lt;&gt;"تسليم",COUNTIFS($A$5:$A$1504,$A737,$D$5:$D$1504,"تسليم",$E$5:$E$1504,"&lt;="&amp;$E737)=0),"لا يوجد تسليم قبل الحركة دي",""))))))</f>
        <v/>
      </c>
    </row>
    <row r="738" customFormat="false" ht="15" hidden="false" customHeight="false" outlineLevel="0" collapsed="false">
      <c r="A738" s="20"/>
      <c r="B738" s="35" t="str">
        <f aca="false">IF($A738="","",IFERROR(INDEX(مخرج_البند,MATCH($A738,قائمة_المخرجات,0)),""))</f>
        <v/>
      </c>
      <c r="C738" s="30" t="str">
        <f aca="false">IF($A738="","",IFERROR(INDEX(مخرج_الوصف,MATCH($A738,قائمة_المخرجات,0)),""))</f>
        <v/>
      </c>
      <c r="D738" s="20"/>
      <c r="E738" s="31"/>
      <c r="F738" s="22"/>
      <c r="G738" s="36" t="str">
        <f aca="false">IF(OR($A738="",$D738&lt;&gt;"تسليم",NOT(ISNUMBER($E738))),"",COUNTIFS($A$5:$A$1504,$A738,$D$5:$D$1504,"تسليم",$E$5:$E$1504,"&lt;"&amp;$E738)+1)</f>
        <v/>
      </c>
      <c r="H738" s="33" t="str">
        <f aca="false">IF($G738="","",_xlfn.MINIFS($E$5:$E$1504,$A$5:$A$1504,$A738,$D$5:$D$1504,"&lt;&gt;تسليم",$E$5:$E$1504,"&gt;="&amp;$E738))</f>
        <v/>
      </c>
      <c r="I738" s="33" t="str">
        <f aca="false">IF($G738="","",_xlfn.MINIFS($E$5:$E$1504,$A$5:$A$1504,$A738,$D$5:$D$1504,"تسليم",$E$5:$E$1504,"&gt;"&amp;$E738))</f>
        <v/>
      </c>
      <c r="J738" s="33" t="str">
        <f aca="false">IF($G738="","",IF(H738&gt;0,IF(I738&gt;0,MIN(H738,I738),H738),IF(I738&gt;0,I738,تاريخ_الاحتساب)))</f>
        <v/>
      </c>
      <c r="K738" s="34" t="str">
        <f aca="false">IF($G738="","",IF(AND(H738=0,I738=0),"جارية","مغلقة"))</f>
        <v/>
      </c>
      <c r="L738" s="26" t="str">
        <f aca="false">IF($G738="","",MAX(0,NETWORKDAYS.INTL($E738,J738,رمز_العطلة,أيام_الأجازات)-1))</f>
        <v/>
      </c>
      <c r="M738" s="26" t="str">
        <f aca="false">IF($G738="","",MAX(0,L738-مهلة_المراجعة))</f>
        <v/>
      </c>
      <c r="N738" s="30" t="str">
        <f aca="false">IF($A738="",IF(OR($D738&lt;&gt;"",$E738&lt;&gt;""),"رقم المخرج ناقص",""),IF(ISNA(MATCH($A738,قائمة_المخرجات,0)),"رقم مخرج غير موجود",IF($D738="","نوع الحركة ناقص",IF(NOT(ISNUMBER($E738)),"التاريخ ناقص",IF($E738&gt;تاريخ_الاحتساب,"تاريخ بعد تاريخ الاحتساب",IF(AND($D738&lt;&gt;"تسليم",COUNTIFS($A$5:$A$1504,$A738,$D$5:$D$1504,"تسليم",$E$5:$E$1504,"&lt;="&amp;$E738)=0),"لا يوجد تسليم قبل الحركة دي",""))))))</f>
        <v/>
      </c>
    </row>
    <row r="739" customFormat="false" ht="15" hidden="false" customHeight="false" outlineLevel="0" collapsed="false">
      <c r="A739" s="20"/>
      <c r="B739" s="35" t="str">
        <f aca="false">IF($A739="","",IFERROR(INDEX(مخرج_البند,MATCH($A739,قائمة_المخرجات,0)),""))</f>
        <v/>
      </c>
      <c r="C739" s="30" t="str">
        <f aca="false">IF($A739="","",IFERROR(INDEX(مخرج_الوصف,MATCH($A739,قائمة_المخرجات,0)),""))</f>
        <v/>
      </c>
      <c r="D739" s="20"/>
      <c r="E739" s="31"/>
      <c r="F739" s="22"/>
      <c r="G739" s="36" t="str">
        <f aca="false">IF(OR($A739="",$D739&lt;&gt;"تسليم",NOT(ISNUMBER($E739))),"",COUNTIFS($A$5:$A$1504,$A739,$D$5:$D$1504,"تسليم",$E$5:$E$1504,"&lt;"&amp;$E739)+1)</f>
        <v/>
      </c>
      <c r="H739" s="33" t="str">
        <f aca="false">IF($G739="","",_xlfn.MINIFS($E$5:$E$1504,$A$5:$A$1504,$A739,$D$5:$D$1504,"&lt;&gt;تسليم",$E$5:$E$1504,"&gt;="&amp;$E739))</f>
        <v/>
      </c>
      <c r="I739" s="33" t="str">
        <f aca="false">IF($G739="","",_xlfn.MINIFS($E$5:$E$1504,$A$5:$A$1504,$A739,$D$5:$D$1504,"تسليم",$E$5:$E$1504,"&gt;"&amp;$E739))</f>
        <v/>
      </c>
      <c r="J739" s="33" t="str">
        <f aca="false">IF($G739="","",IF(H739&gt;0,IF(I739&gt;0,MIN(H739,I739),H739),IF(I739&gt;0,I739,تاريخ_الاحتساب)))</f>
        <v/>
      </c>
      <c r="K739" s="34" t="str">
        <f aca="false">IF($G739="","",IF(AND(H739=0,I739=0),"جارية","مغلقة"))</f>
        <v/>
      </c>
      <c r="L739" s="26" t="str">
        <f aca="false">IF($G739="","",MAX(0,NETWORKDAYS.INTL($E739,J739,رمز_العطلة,أيام_الأجازات)-1))</f>
        <v/>
      </c>
      <c r="M739" s="26" t="str">
        <f aca="false">IF($G739="","",MAX(0,L739-مهلة_المراجعة))</f>
        <v/>
      </c>
      <c r="N739" s="30" t="str">
        <f aca="false">IF($A739="",IF(OR($D739&lt;&gt;"",$E739&lt;&gt;""),"رقم المخرج ناقص",""),IF(ISNA(MATCH($A739,قائمة_المخرجات,0)),"رقم مخرج غير موجود",IF($D739="","نوع الحركة ناقص",IF(NOT(ISNUMBER($E739)),"التاريخ ناقص",IF($E739&gt;تاريخ_الاحتساب,"تاريخ بعد تاريخ الاحتساب",IF(AND($D739&lt;&gt;"تسليم",COUNTIFS($A$5:$A$1504,$A739,$D$5:$D$1504,"تسليم",$E$5:$E$1504,"&lt;="&amp;$E739)=0),"لا يوجد تسليم قبل الحركة دي",""))))))</f>
        <v/>
      </c>
    </row>
    <row r="740" customFormat="false" ht="15" hidden="false" customHeight="false" outlineLevel="0" collapsed="false">
      <c r="A740" s="20"/>
      <c r="B740" s="35" t="str">
        <f aca="false">IF($A740="","",IFERROR(INDEX(مخرج_البند,MATCH($A740,قائمة_المخرجات,0)),""))</f>
        <v/>
      </c>
      <c r="C740" s="30" t="str">
        <f aca="false">IF($A740="","",IFERROR(INDEX(مخرج_الوصف,MATCH($A740,قائمة_المخرجات,0)),""))</f>
        <v/>
      </c>
      <c r="D740" s="20"/>
      <c r="E740" s="31"/>
      <c r="F740" s="22"/>
      <c r="G740" s="36" t="str">
        <f aca="false">IF(OR($A740="",$D740&lt;&gt;"تسليم",NOT(ISNUMBER($E740))),"",COUNTIFS($A$5:$A$1504,$A740,$D$5:$D$1504,"تسليم",$E$5:$E$1504,"&lt;"&amp;$E740)+1)</f>
        <v/>
      </c>
      <c r="H740" s="33" t="str">
        <f aca="false">IF($G740="","",_xlfn.MINIFS($E$5:$E$1504,$A$5:$A$1504,$A740,$D$5:$D$1504,"&lt;&gt;تسليم",$E$5:$E$1504,"&gt;="&amp;$E740))</f>
        <v/>
      </c>
      <c r="I740" s="33" t="str">
        <f aca="false">IF($G740="","",_xlfn.MINIFS($E$5:$E$1504,$A$5:$A$1504,$A740,$D$5:$D$1504,"تسليم",$E$5:$E$1504,"&gt;"&amp;$E740))</f>
        <v/>
      </c>
      <c r="J740" s="33" t="str">
        <f aca="false">IF($G740="","",IF(H740&gt;0,IF(I740&gt;0,MIN(H740,I740),H740),IF(I740&gt;0,I740,تاريخ_الاحتساب)))</f>
        <v/>
      </c>
      <c r="K740" s="34" t="str">
        <f aca="false">IF($G740="","",IF(AND(H740=0,I740=0),"جارية","مغلقة"))</f>
        <v/>
      </c>
      <c r="L740" s="26" t="str">
        <f aca="false">IF($G740="","",MAX(0,NETWORKDAYS.INTL($E740,J740,رمز_العطلة,أيام_الأجازات)-1))</f>
        <v/>
      </c>
      <c r="M740" s="26" t="str">
        <f aca="false">IF($G740="","",MAX(0,L740-مهلة_المراجعة))</f>
        <v/>
      </c>
      <c r="N740" s="30" t="str">
        <f aca="false">IF($A740="",IF(OR($D740&lt;&gt;"",$E740&lt;&gt;""),"رقم المخرج ناقص",""),IF(ISNA(MATCH($A740,قائمة_المخرجات,0)),"رقم مخرج غير موجود",IF($D740="","نوع الحركة ناقص",IF(NOT(ISNUMBER($E740)),"التاريخ ناقص",IF($E740&gt;تاريخ_الاحتساب,"تاريخ بعد تاريخ الاحتساب",IF(AND($D740&lt;&gt;"تسليم",COUNTIFS($A$5:$A$1504,$A740,$D$5:$D$1504,"تسليم",$E$5:$E$1504,"&lt;="&amp;$E740)=0),"لا يوجد تسليم قبل الحركة دي",""))))))</f>
        <v/>
      </c>
    </row>
    <row r="741" customFormat="false" ht="15" hidden="false" customHeight="false" outlineLevel="0" collapsed="false">
      <c r="A741" s="20"/>
      <c r="B741" s="35" t="str">
        <f aca="false">IF($A741="","",IFERROR(INDEX(مخرج_البند,MATCH($A741,قائمة_المخرجات,0)),""))</f>
        <v/>
      </c>
      <c r="C741" s="30" t="str">
        <f aca="false">IF($A741="","",IFERROR(INDEX(مخرج_الوصف,MATCH($A741,قائمة_المخرجات,0)),""))</f>
        <v/>
      </c>
      <c r="D741" s="20"/>
      <c r="E741" s="31"/>
      <c r="F741" s="22"/>
      <c r="G741" s="36" t="str">
        <f aca="false">IF(OR($A741="",$D741&lt;&gt;"تسليم",NOT(ISNUMBER($E741))),"",COUNTIFS($A$5:$A$1504,$A741,$D$5:$D$1504,"تسليم",$E$5:$E$1504,"&lt;"&amp;$E741)+1)</f>
        <v/>
      </c>
      <c r="H741" s="33" t="str">
        <f aca="false">IF($G741="","",_xlfn.MINIFS($E$5:$E$1504,$A$5:$A$1504,$A741,$D$5:$D$1504,"&lt;&gt;تسليم",$E$5:$E$1504,"&gt;="&amp;$E741))</f>
        <v/>
      </c>
      <c r="I741" s="33" t="str">
        <f aca="false">IF($G741="","",_xlfn.MINIFS($E$5:$E$1504,$A$5:$A$1504,$A741,$D$5:$D$1504,"تسليم",$E$5:$E$1504,"&gt;"&amp;$E741))</f>
        <v/>
      </c>
      <c r="J741" s="33" t="str">
        <f aca="false">IF($G741="","",IF(H741&gt;0,IF(I741&gt;0,MIN(H741,I741),H741),IF(I741&gt;0,I741,تاريخ_الاحتساب)))</f>
        <v/>
      </c>
      <c r="K741" s="34" t="str">
        <f aca="false">IF($G741="","",IF(AND(H741=0,I741=0),"جارية","مغلقة"))</f>
        <v/>
      </c>
      <c r="L741" s="26" t="str">
        <f aca="false">IF($G741="","",MAX(0,NETWORKDAYS.INTL($E741,J741,رمز_العطلة,أيام_الأجازات)-1))</f>
        <v/>
      </c>
      <c r="M741" s="26" t="str">
        <f aca="false">IF($G741="","",MAX(0,L741-مهلة_المراجعة))</f>
        <v/>
      </c>
      <c r="N741" s="30" t="str">
        <f aca="false">IF($A741="",IF(OR($D741&lt;&gt;"",$E741&lt;&gt;""),"رقم المخرج ناقص",""),IF(ISNA(MATCH($A741,قائمة_المخرجات,0)),"رقم مخرج غير موجود",IF($D741="","نوع الحركة ناقص",IF(NOT(ISNUMBER($E741)),"التاريخ ناقص",IF($E741&gt;تاريخ_الاحتساب,"تاريخ بعد تاريخ الاحتساب",IF(AND($D741&lt;&gt;"تسليم",COUNTIFS($A$5:$A$1504,$A741,$D$5:$D$1504,"تسليم",$E$5:$E$1504,"&lt;="&amp;$E741)=0),"لا يوجد تسليم قبل الحركة دي",""))))))</f>
        <v/>
      </c>
    </row>
    <row r="742" customFormat="false" ht="15" hidden="false" customHeight="false" outlineLevel="0" collapsed="false">
      <c r="A742" s="20"/>
      <c r="B742" s="35" t="str">
        <f aca="false">IF($A742="","",IFERROR(INDEX(مخرج_البند,MATCH($A742,قائمة_المخرجات,0)),""))</f>
        <v/>
      </c>
      <c r="C742" s="30" t="str">
        <f aca="false">IF($A742="","",IFERROR(INDEX(مخرج_الوصف,MATCH($A742,قائمة_المخرجات,0)),""))</f>
        <v/>
      </c>
      <c r="D742" s="20"/>
      <c r="E742" s="31"/>
      <c r="F742" s="22"/>
      <c r="G742" s="36" t="str">
        <f aca="false">IF(OR($A742="",$D742&lt;&gt;"تسليم",NOT(ISNUMBER($E742))),"",COUNTIFS($A$5:$A$1504,$A742,$D$5:$D$1504,"تسليم",$E$5:$E$1504,"&lt;"&amp;$E742)+1)</f>
        <v/>
      </c>
      <c r="H742" s="33" t="str">
        <f aca="false">IF($G742="","",_xlfn.MINIFS($E$5:$E$1504,$A$5:$A$1504,$A742,$D$5:$D$1504,"&lt;&gt;تسليم",$E$5:$E$1504,"&gt;="&amp;$E742))</f>
        <v/>
      </c>
      <c r="I742" s="33" t="str">
        <f aca="false">IF($G742="","",_xlfn.MINIFS($E$5:$E$1504,$A$5:$A$1504,$A742,$D$5:$D$1504,"تسليم",$E$5:$E$1504,"&gt;"&amp;$E742))</f>
        <v/>
      </c>
      <c r="J742" s="33" t="str">
        <f aca="false">IF($G742="","",IF(H742&gt;0,IF(I742&gt;0,MIN(H742,I742),H742),IF(I742&gt;0,I742,تاريخ_الاحتساب)))</f>
        <v/>
      </c>
      <c r="K742" s="34" t="str">
        <f aca="false">IF($G742="","",IF(AND(H742=0,I742=0),"جارية","مغلقة"))</f>
        <v/>
      </c>
      <c r="L742" s="26" t="str">
        <f aca="false">IF($G742="","",MAX(0,NETWORKDAYS.INTL($E742,J742,رمز_العطلة,أيام_الأجازات)-1))</f>
        <v/>
      </c>
      <c r="M742" s="26" t="str">
        <f aca="false">IF($G742="","",MAX(0,L742-مهلة_المراجعة))</f>
        <v/>
      </c>
      <c r="N742" s="30" t="str">
        <f aca="false">IF($A742="",IF(OR($D742&lt;&gt;"",$E742&lt;&gt;""),"رقم المخرج ناقص",""),IF(ISNA(MATCH($A742,قائمة_المخرجات,0)),"رقم مخرج غير موجود",IF($D742="","نوع الحركة ناقص",IF(NOT(ISNUMBER($E742)),"التاريخ ناقص",IF($E742&gt;تاريخ_الاحتساب,"تاريخ بعد تاريخ الاحتساب",IF(AND($D742&lt;&gt;"تسليم",COUNTIFS($A$5:$A$1504,$A742,$D$5:$D$1504,"تسليم",$E$5:$E$1504,"&lt;="&amp;$E742)=0),"لا يوجد تسليم قبل الحركة دي",""))))))</f>
        <v/>
      </c>
    </row>
    <row r="743" customFormat="false" ht="15" hidden="false" customHeight="false" outlineLevel="0" collapsed="false">
      <c r="A743" s="20"/>
      <c r="B743" s="35" t="str">
        <f aca="false">IF($A743="","",IFERROR(INDEX(مخرج_البند,MATCH($A743,قائمة_المخرجات,0)),""))</f>
        <v/>
      </c>
      <c r="C743" s="30" t="str">
        <f aca="false">IF($A743="","",IFERROR(INDEX(مخرج_الوصف,MATCH($A743,قائمة_المخرجات,0)),""))</f>
        <v/>
      </c>
      <c r="D743" s="20"/>
      <c r="E743" s="31"/>
      <c r="F743" s="22"/>
      <c r="G743" s="36" t="str">
        <f aca="false">IF(OR($A743="",$D743&lt;&gt;"تسليم",NOT(ISNUMBER($E743))),"",COUNTIFS($A$5:$A$1504,$A743,$D$5:$D$1504,"تسليم",$E$5:$E$1504,"&lt;"&amp;$E743)+1)</f>
        <v/>
      </c>
      <c r="H743" s="33" t="str">
        <f aca="false">IF($G743="","",_xlfn.MINIFS($E$5:$E$1504,$A$5:$A$1504,$A743,$D$5:$D$1504,"&lt;&gt;تسليم",$E$5:$E$1504,"&gt;="&amp;$E743))</f>
        <v/>
      </c>
      <c r="I743" s="33" t="str">
        <f aca="false">IF($G743="","",_xlfn.MINIFS($E$5:$E$1504,$A$5:$A$1504,$A743,$D$5:$D$1504,"تسليم",$E$5:$E$1504,"&gt;"&amp;$E743))</f>
        <v/>
      </c>
      <c r="J743" s="33" t="str">
        <f aca="false">IF($G743="","",IF(H743&gt;0,IF(I743&gt;0,MIN(H743,I743),H743),IF(I743&gt;0,I743,تاريخ_الاحتساب)))</f>
        <v/>
      </c>
      <c r="K743" s="34" t="str">
        <f aca="false">IF($G743="","",IF(AND(H743=0,I743=0),"جارية","مغلقة"))</f>
        <v/>
      </c>
      <c r="L743" s="26" t="str">
        <f aca="false">IF($G743="","",MAX(0,NETWORKDAYS.INTL($E743,J743,رمز_العطلة,أيام_الأجازات)-1))</f>
        <v/>
      </c>
      <c r="M743" s="26" t="str">
        <f aca="false">IF($G743="","",MAX(0,L743-مهلة_المراجعة))</f>
        <v/>
      </c>
      <c r="N743" s="30" t="str">
        <f aca="false">IF($A743="",IF(OR($D743&lt;&gt;"",$E743&lt;&gt;""),"رقم المخرج ناقص",""),IF(ISNA(MATCH($A743,قائمة_المخرجات,0)),"رقم مخرج غير موجود",IF($D743="","نوع الحركة ناقص",IF(NOT(ISNUMBER($E743)),"التاريخ ناقص",IF($E743&gt;تاريخ_الاحتساب,"تاريخ بعد تاريخ الاحتساب",IF(AND($D743&lt;&gt;"تسليم",COUNTIFS($A$5:$A$1504,$A743,$D$5:$D$1504,"تسليم",$E$5:$E$1504,"&lt;="&amp;$E743)=0),"لا يوجد تسليم قبل الحركة دي",""))))))</f>
        <v/>
      </c>
    </row>
    <row r="744" customFormat="false" ht="15" hidden="false" customHeight="false" outlineLevel="0" collapsed="false">
      <c r="A744" s="20"/>
      <c r="B744" s="35" t="str">
        <f aca="false">IF($A744="","",IFERROR(INDEX(مخرج_البند,MATCH($A744,قائمة_المخرجات,0)),""))</f>
        <v/>
      </c>
      <c r="C744" s="30" t="str">
        <f aca="false">IF($A744="","",IFERROR(INDEX(مخرج_الوصف,MATCH($A744,قائمة_المخرجات,0)),""))</f>
        <v/>
      </c>
      <c r="D744" s="20"/>
      <c r="E744" s="31"/>
      <c r="F744" s="22"/>
      <c r="G744" s="36" t="str">
        <f aca="false">IF(OR($A744="",$D744&lt;&gt;"تسليم",NOT(ISNUMBER($E744))),"",COUNTIFS($A$5:$A$1504,$A744,$D$5:$D$1504,"تسليم",$E$5:$E$1504,"&lt;"&amp;$E744)+1)</f>
        <v/>
      </c>
      <c r="H744" s="33" t="str">
        <f aca="false">IF($G744="","",_xlfn.MINIFS($E$5:$E$1504,$A$5:$A$1504,$A744,$D$5:$D$1504,"&lt;&gt;تسليم",$E$5:$E$1504,"&gt;="&amp;$E744))</f>
        <v/>
      </c>
      <c r="I744" s="33" t="str">
        <f aca="false">IF($G744="","",_xlfn.MINIFS($E$5:$E$1504,$A$5:$A$1504,$A744,$D$5:$D$1504,"تسليم",$E$5:$E$1504,"&gt;"&amp;$E744))</f>
        <v/>
      </c>
      <c r="J744" s="33" t="str">
        <f aca="false">IF($G744="","",IF(H744&gt;0,IF(I744&gt;0,MIN(H744,I744),H744),IF(I744&gt;0,I744,تاريخ_الاحتساب)))</f>
        <v/>
      </c>
      <c r="K744" s="34" t="str">
        <f aca="false">IF($G744="","",IF(AND(H744=0,I744=0),"جارية","مغلقة"))</f>
        <v/>
      </c>
      <c r="L744" s="26" t="str">
        <f aca="false">IF($G744="","",MAX(0,NETWORKDAYS.INTL($E744,J744,رمز_العطلة,أيام_الأجازات)-1))</f>
        <v/>
      </c>
      <c r="M744" s="26" t="str">
        <f aca="false">IF($G744="","",MAX(0,L744-مهلة_المراجعة))</f>
        <v/>
      </c>
      <c r="N744" s="30" t="str">
        <f aca="false">IF($A744="",IF(OR($D744&lt;&gt;"",$E744&lt;&gt;""),"رقم المخرج ناقص",""),IF(ISNA(MATCH($A744,قائمة_المخرجات,0)),"رقم مخرج غير موجود",IF($D744="","نوع الحركة ناقص",IF(NOT(ISNUMBER($E744)),"التاريخ ناقص",IF($E744&gt;تاريخ_الاحتساب,"تاريخ بعد تاريخ الاحتساب",IF(AND($D744&lt;&gt;"تسليم",COUNTIFS($A$5:$A$1504,$A744,$D$5:$D$1504,"تسليم",$E$5:$E$1504,"&lt;="&amp;$E744)=0),"لا يوجد تسليم قبل الحركة دي",""))))))</f>
        <v/>
      </c>
    </row>
    <row r="745" customFormat="false" ht="15" hidden="false" customHeight="false" outlineLevel="0" collapsed="false">
      <c r="A745" s="20"/>
      <c r="B745" s="35" t="str">
        <f aca="false">IF($A745="","",IFERROR(INDEX(مخرج_البند,MATCH($A745,قائمة_المخرجات,0)),""))</f>
        <v/>
      </c>
      <c r="C745" s="30" t="str">
        <f aca="false">IF($A745="","",IFERROR(INDEX(مخرج_الوصف,MATCH($A745,قائمة_المخرجات,0)),""))</f>
        <v/>
      </c>
      <c r="D745" s="20"/>
      <c r="E745" s="31"/>
      <c r="F745" s="22"/>
      <c r="G745" s="36" t="str">
        <f aca="false">IF(OR($A745="",$D745&lt;&gt;"تسليم",NOT(ISNUMBER($E745))),"",COUNTIFS($A$5:$A$1504,$A745,$D$5:$D$1504,"تسليم",$E$5:$E$1504,"&lt;"&amp;$E745)+1)</f>
        <v/>
      </c>
      <c r="H745" s="33" t="str">
        <f aca="false">IF($G745="","",_xlfn.MINIFS($E$5:$E$1504,$A$5:$A$1504,$A745,$D$5:$D$1504,"&lt;&gt;تسليم",$E$5:$E$1504,"&gt;="&amp;$E745))</f>
        <v/>
      </c>
      <c r="I745" s="33" t="str">
        <f aca="false">IF($G745="","",_xlfn.MINIFS($E$5:$E$1504,$A$5:$A$1504,$A745,$D$5:$D$1504,"تسليم",$E$5:$E$1504,"&gt;"&amp;$E745))</f>
        <v/>
      </c>
      <c r="J745" s="33" t="str">
        <f aca="false">IF($G745="","",IF(H745&gt;0,IF(I745&gt;0,MIN(H745,I745),H745),IF(I745&gt;0,I745,تاريخ_الاحتساب)))</f>
        <v/>
      </c>
      <c r="K745" s="34" t="str">
        <f aca="false">IF($G745="","",IF(AND(H745=0,I745=0),"جارية","مغلقة"))</f>
        <v/>
      </c>
      <c r="L745" s="26" t="str">
        <f aca="false">IF($G745="","",MAX(0,NETWORKDAYS.INTL($E745,J745,رمز_العطلة,أيام_الأجازات)-1))</f>
        <v/>
      </c>
      <c r="M745" s="26" t="str">
        <f aca="false">IF($G745="","",MAX(0,L745-مهلة_المراجعة))</f>
        <v/>
      </c>
      <c r="N745" s="30" t="str">
        <f aca="false">IF($A745="",IF(OR($D745&lt;&gt;"",$E745&lt;&gt;""),"رقم المخرج ناقص",""),IF(ISNA(MATCH($A745,قائمة_المخرجات,0)),"رقم مخرج غير موجود",IF($D745="","نوع الحركة ناقص",IF(NOT(ISNUMBER($E745)),"التاريخ ناقص",IF($E745&gt;تاريخ_الاحتساب,"تاريخ بعد تاريخ الاحتساب",IF(AND($D745&lt;&gt;"تسليم",COUNTIFS($A$5:$A$1504,$A745,$D$5:$D$1504,"تسليم",$E$5:$E$1504,"&lt;="&amp;$E745)=0),"لا يوجد تسليم قبل الحركة دي",""))))))</f>
        <v/>
      </c>
    </row>
    <row r="746" customFormat="false" ht="15" hidden="false" customHeight="false" outlineLevel="0" collapsed="false">
      <c r="A746" s="20"/>
      <c r="B746" s="35" t="str">
        <f aca="false">IF($A746="","",IFERROR(INDEX(مخرج_البند,MATCH($A746,قائمة_المخرجات,0)),""))</f>
        <v/>
      </c>
      <c r="C746" s="30" t="str">
        <f aca="false">IF($A746="","",IFERROR(INDEX(مخرج_الوصف,MATCH($A746,قائمة_المخرجات,0)),""))</f>
        <v/>
      </c>
      <c r="D746" s="20"/>
      <c r="E746" s="31"/>
      <c r="F746" s="22"/>
      <c r="G746" s="36" t="str">
        <f aca="false">IF(OR($A746="",$D746&lt;&gt;"تسليم",NOT(ISNUMBER($E746))),"",COUNTIFS($A$5:$A$1504,$A746,$D$5:$D$1504,"تسليم",$E$5:$E$1504,"&lt;"&amp;$E746)+1)</f>
        <v/>
      </c>
      <c r="H746" s="33" t="str">
        <f aca="false">IF($G746="","",_xlfn.MINIFS($E$5:$E$1504,$A$5:$A$1504,$A746,$D$5:$D$1504,"&lt;&gt;تسليم",$E$5:$E$1504,"&gt;="&amp;$E746))</f>
        <v/>
      </c>
      <c r="I746" s="33" t="str">
        <f aca="false">IF($G746="","",_xlfn.MINIFS($E$5:$E$1504,$A$5:$A$1504,$A746,$D$5:$D$1504,"تسليم",$E$5:$E$1504,"&gt;"&amp;$E746))</f>
        <v/>
      </c>
      <c r="J746" s="33" t="str">
        <f aca="false">IF($G746="","",IF(H746&gt;0,IF(I746&gt;0,MIN(H746,I746),H746),IF(I746&gt;0,I746,تاريخ_الاحتساب)))</f>
        <v/>
      </c>
      <c r="K746" s="34" t="str">
        <f aca="false">IF($G746="","",IF(AND(H746=0,I746=0),"جارية","مغلقة"))</f>
        <v/>
      </c>
      <c r="L746" s="26" t="str">
        <f aca="false">IF($G746="","",MAX(0,NETWORKDAYS.INTL($E746,J746,رمز_العطلة,أيام_الأجازات)-1))</f>
        <v/>
      </c>
      <c r="M746" s="26" t="str">
        <f aca="false">IF($G746="","",MAX(0,L746-مهلة_المراجعة))</f>
        <v/>
      </c>
      <c r="N746" s="30" t="str">
        <f aca="false">IF($A746="",IF(OR($D746&lt;&gt;"",$E746&lt;&gt;""),"رقم المخرج ناقص",""),IF(ISNA(MATCH($A746,قائمة_المخرجات,0)),"رقم مخرج غير موجود",IF($D746="","نوع الحركة ناقص",IF(NOT(ISNUMBER($E746)),"التاريخ ناقص",IF($E746&gt;تاريخ_الاحتساب,"تاريخ بعد تاريخ الاحتساب",IF(AND($D746&lt;&gt;"تسليم",COUNTIFS($A$5:$A$1504,$A746,$D$5:$D$1504,"تسليم",$E$5:$E$1504,"&lt;="&amp;$E746)=0),"لا يوجد تسليم قبل الحركة دي",""))))))</f>
        <v/>
      </c>
    </row>
    <row r="747" customFormat="false" ht="15" hidden="false" customHeight="false" outlineLevel="0" collapsed="false">
      <c r="A747" s="20"/>
      <c r="B747" s="35" t="str">
        <f aca="false">IF($A747="","",IFERROR(INDEX(مخرج_البند,MATCH($A747,قائمة_المخرجات,0)),""))</f>
        <v/>
      </c>
      <c r="C747" s="30" t="str">
        <f aca="false">IF($A747="","",IFERROR(INDEX(مخرج_الوصف,MATCH($A747,قائمة_المخرجات,0)),""))</f>
        <v/>
      </c>
      <c r="D747" s="20"/>
      <c r="E747" s="31"/>
      <c r="F747" s="22"/>
      <c r="G747" s="36" t="str">
        <f aca="false">IF(OR($A747="",$D747&lt;&gt;"تسليم",NOT(ISNUMBER($E747))),"",COUNTIFS($A$5:$A$1504,$A747,$D$5:$D$1504,"تسليم",$E$5:$E$1504,"&lt;"&amp;$E747)+1)</f>
        <v/>
      </c>
      <c r="H747" s="33" t="str">
        <f aca="false">IF($G747="","",_xlfn.MINIFS($E$5:$E$1504,$A$5:$A$1504,$A747,$D$5:$D$1504,"&lt;&gt;تسليم",$E$5:$E$1504,"&gt;="&amp;$E747))</f>
        <v/>
      </c>
      <c r="I747" s="33" t="str">
        <f aca="false">IF($G747="","",_xlfn.MINIFS($E$5:$E$1504,$A$5:$A$1504,$A747,$D$5:$D$1504,"تسليم",$E$5:$E$1504,"&gt;"&amp;$E747))</f>
        <v/>
      </c>
      <c r="J747" s="33" t="str">
        <f aca="false">IF($G747="","",IF(H747&gt;0,IF(I747&gt;0,MIN(H747,I747),H747),IF(I747&gt;0,I747,تاريخ_الاحتساب)))</f>
        <v/>
      </c>
      <c r="K747" s="34" t="str">
        <f aca="false">IF($G747="","",IF(AND(H747=0,I747=0),"جارية","مغلقة"))</f>
        <v/>
      </c>
      <c r="L747" s="26" t="str">
        <f aca="false">IF($G747="","",MAX(0,NETWORKDAYS.INTL($E747,J747,رمز_العطلة,أيام_الأجازات)-1))</f>
        <v/>
      </c>
      <c r="M747" s="26" t="str">
        <f aca="false">IF($G747="","",MAX(0,L747-مهلة_المراجعة))</f>
        <v/>
      </c>
      <c r="N747" s="30" t="str">
        <f aca="false">IF($A747="",IF(OR($D747&lt;&gt;"",$E747&lt;&gt;""),"رقم المخرج ناقص",""),IF(ISNA(MATCH($A747,قائمة_المخرجات,0)),"رقم مخرج غير موجود",IF($D747="","نوع الحركة ناقص",IF(NOT(ISNUMBER($E747)),"التاريخ ناقص",IF($E747&gt;تاريخ_الاحتساب,"تاريخ بعد تاريخ الاحتساب",IF(AND($D747&lt;&gt;"تسليم",COUNTIFS($A$5:$A$1504,$A747,$D$5:$D$1504,"تسليم",$E$5:$E$1504,"&lt;="&amp;$E747)=0),"لا يوجد تسليم قبل الحركة دي",""))))))</f>
        <v/>
      </c>
    </row>
    <row r="748" customFormat="false" ht="15" hidden="false" customHeight="false" outlineLevel="0" collapsed="false">
      <c r="A748" s="20"/>
      <c r="B748" s="35" t="str">
        <f aca="false">IF($A748="","",IFERROR(INDEX(مخرج_البند,MATCH($A748,قائمة_المخرجات,0)),""))</f>
        <v/>
      </c>
      <c r="C748" s="30" t="str">
        <f aca="false">IF($A748="","",IFERROR(INDEX(مخرج_الوصف,MATCH($A748,قائمة_المخرجات,0)),""))</f>
        <v/>
      </c>
      <c r="D748" s="20"/>
      <c r="E748" s="31"/>
      <c r="F748" s="22"/>
      <c r="G748" s="36" t="str">
        <f aca="false">IF(OR($A748="",$D748&lt;&gt;"تسليم",NOT(ISNUMBER($E748))),"",COUNTIFS($A$5:$A$1504,$A748,$D$5:$D$1504,"تسليم",$E$5:$E$1504,"&lt;"&amp;$E748)+1)</f>
        <v/>
      </c>
      <c r="H748" s="33" t="str">
        <f aca="false">IF($G748="","",_xlfn.MINIFS($E$5:$E$1504,$A$5:$A$1504,$A748,$D$5:$D$1504,"&lt;&gt;تسليم",$E$5:$E$1504,"&gt;="&amp;$E748))</f>
        <v/>
      </c>
      <c r="I748" s="33" t="str">
        <f aca="false">IF($G748="","",_xlfn.MINIFS($E$5:$E$1504,$A$5:$A$1504,$A748,$D$5:$D$1504,"تسليم",$E$5:$E$1504,"&gt;"&amp;$E748))</f>
        <v/>
      </c>
      <c r="J748" s="33" t="str">
        <f aca="false">IF($G748="","",IF(H748&gt;0,IF(I748&gt;0,MIN(H748,I748),H748),IF(I748&gt;0,I748,تاريخ_الاحتساب)))</f>
        <v/>
      </c>
      <c r="K748" s="34" t="str">
        <f aca="false">IF($G748="","",IF(AND(H748=0,I748=0),"جارية","مغلقة"))</f>
        <v/>
      </c>
      <c r="L748" s="26" t="str">
        <f aca="false">IF($G748="","",MAX(0,NETWORKDAYS.INTL($E748,J748,رمز_العطلة,أيام_الأجازات)-1))</f>
        <v/>
      </c>
      <c r="M748" s="26" t="str">
        <f aca="false">IF($G748="","",MAX(0,L748-مهلة_المراجعة))</f>
        <v/>
      </c>
      <c r="N748" s="30" t="str">
        <f aca="false">IF($A748="",IF(OR($D748&lt;&gt;"",$E748&lt;&gt;""),"رقم المخرج ناقص",""),IF(ISNA(MATCH($A748,قائمة_المخرجات,0)),"رقم مخرج غير موجود",IF($D748="","نوع الحركة ناقص",IF(NOT(ISNUMBER($E748)),"التاريخ ناقص",IF($E748&gt;تاريخ_الاحتساب,"تاريخ بعد تاريخ الاحتساب",IF(AND($D748&lt;&gt;"تسليم",COUNTIFS($A$5:$A$1504,$A748,$D$5:$D$1504,"تسليم",$E$5:$E$1504,"&lt;="&amp;$E748)=0),"لا يوجد تسليم قبل الحركة دي",""))))))</f>
        <v/>
      </c>
    </row>
    <row r="749" customFormat="false" ht="15" hidden="false" customHeight="false" outlineLevel="0" collapsed="false">
      <c r="A749" s="20"/>
      <c r="B749" s="35" t="str">
        <f aca="false">IF($A749="","",IFERROR(INDEX(مخرج_البند,MATCH($A749,قائمة_المخرجات,0)),""))</f>
        <v/>
      </c>
      <c r="C749" s="30" t="str">
        <f aca="false">IF($A749="","",IFERROR(INDEX(مخرج_الوصف,MATCH($A749,قائمة_المخرجات,0)),""))</f>
        <v/>
      </c>
      <c r="D749" s="20"/>
      <c r="E749" s="31"/>
      <c r="F749" s="22"/>
      <c r="G749" s="36" t="str">
        <f aca="false">IF(OR($A749="",$D749&lt;&gt;"تسليم",NOT(ISNUMBER($E749))),"",COUNTIFS($A$5:$A$1504,$A749,$D$5:$D$1504,"تسليم",$E$5:$E$1504,"&lt;"&amp;$E749)+1)</f>
        <v/>
      </c>
      <c r="H749" s="33" t="str">
        <f aca="false">IF($G749="","",_xlfn.MINIFS($E$5:$E$1504,$A$5:$A$1504,$A749,$D$5:$D$1504,"&lt;&gt;تسليم",$E$5:$E$1504,"&gt;="&amp;$E749))</f>
        <v/>
      </c>
      <c r="I749" s="33" t="str">
        <f aca="false">IF($G749="","",_xlfn.MINIFS($E$5:$E$1504,$A$5:$A$1504,$A749,$D$5:$D$1504,"تسليم",$E$5:$E$1504,"&gt;"&amp;$E749))</f>
        <v/>
      </c>
      <c r="J749" s="33" t="str">
        <f aca="false">IF($G749="","",IF(H749&gt;0,IF(I749&gt;0,MIN(H749,I749),H749),IF(I749&gt;0,I749,تاريخ_الاحتساب)))</f>
        <v/>
      </c>
      <c r="K749" s="34" t="str">
        <f aca="false">IF($G749="","",IF(AND(H749=0,I749=0),"جارية","مغلقة"))</f>
        <v/>
      </c>
      <c r="L749" s="26" t="str">
        <f aca="false">IF($G749="","",MAX(0,NETWORKDAYS.INTL($E749,J749,رمز_العطلة,أيام_الأجازات)-1))</f>
        <v/>
      </c>
      <c r="M749" s="26" t="str">
        <f aca="false">IF($G749="","",MAX(0,L749-مهلة_المراجعة))</f>
        <v/>
      </c>
      <c r="N749" s="30" t="str">
        <f aca="false">IF($A749="",IF(OR($D749&lt;&gt;"",$E749&lt;&gt;""),"رقم المخرج ناقص",""),IF(ISNA(MATCH($A749,قائمة_المخرجات,0)),"رقم مخرج غير موجود",IF($D749="","نوع الحركة ناقص",IF(NOT(ISNUMBER($E749)),"التاريخ ناقص",IF($E749&gt;تاريخ_الاحتساب,"تاريخ بعد تاريخ الاحتساب",IF(AND($D749&lt;&gt;"تسليم",COUNTIFS($A$5:$A$1504,$A749,$D$5:$D$1504,"تسليم",$E$5:$E$1504,"&lt;="&amp;$E749)=0),"لا يوجد تسليم قبل الحركة دي",""))))))</f>
        <v/>
      </c>
    </row>
    <row r="750" customFormat="false" ht="15" hidden="false" customHeight="false" outlineLevel="0" collapsed="false">
      <c r="A750" s="20"/>
      <c r="B750" s="35" t="str">
        <f aca="false">IF($A750="","",IFERROR(INDEX(مخرج_البند,MATCH($A750,قائمة_المخرجات,0)),""))</f>
        <v/>
      </c>
      <c r="C750" s="30" t="str">
        <f aca="false">IF($A750="","",IFERROR(INDEX(مخرج_الوصف,MATCH($A750,قائمة_المخرجات,0)),""))</f>
        <v/>
      </c>
      <c r="D750" s="20"/>
      <c r="E750" s="31"/>
      <c r="F750" s="22"/>
      <c r="G750" s="36" t="str">
        <f aca="false">IF(OR($A750="",$D750&lt;&gt;"تسليم",NOT(ISNUMBER($E750))),"",COUNTIFS($A$5:$A$1504,$A750,$D$5:$D$1504,"تسليم",$E$5:$E$1504,"&lt;"&amp;$E750)+1)</f>
        <v/>
      </c>
      <c r="H750" s="33" t="str">
        <f aca="false">IF($G750="","",_xlfn.MINIFS($E$5:$E$1504,$A$5:$A$1504,$A750,$D$5:$D$1504,"&lt;&gt;تسليم",$E$5:$E$1504,"&gt;="&amp;$E750))</f>
        <v/>
      </c>
      <c r="I750" s="33" t="str">
        <f aca="false">IF($G750="","",_xlfn.MINIFS($E$5:$E$1504,$A$5:$A$1504,$A750,$D$5:$D$1504,"تسليم",$E$5:$E$1504,"&gt;"&amp;$E750))</f>
        <v/>
      </c>
      <c r="J750" s="33" t="str">
        <f aca="false">IF($G750="","",IF(H750&gt;0,IF(I750&gt;0,MIN(H750,I750),H750),IF(I750&gt;0,I750,تاريخ_الاحتساب)))</f>
        <v/>
      </c>
      <c r="K750" s="34" t="str">
        <f aca="false">IF($G750="","",IF(AND(H750=0,I750=0),"جارية","مغلقة"))</f>
        <v/>
      </c>
      <c r="L750" s="26" t="str">
        <f aca="false">IF($G750="","",MAX(0,NETWORKDAYS.INTL($E750,J750,رمز_العطلة,أيام_الأجازات)-1))</f>
        <v/>
      </c>
      <c r="M750" s="26" t="str">
        <f aca="false">IF($G750="","",MAX(0,L750-مهلة_المراجعة))</f>
        <v/>
      </c>
      <c r="N750" s="30" t="str">
        <f aca="false">IF($A750="",IF(OR($D750&lt;&gt;"",$E750&lt;&gt;""),"رقم المخرج ناقص",""),IF(ISNA(MATCH($A750,قائمة_المخرجات,0)),"رقم مخرج غير موجود",IF($D750="","نوع الحركة ناقص",IF(NOT(ISNUMBER($E750)),"التاريخ ناقص",IF($E750&gt;تاريخ_الاحتساب,"تاريخ بعد تاريخ الاحتساب",IF(AND($D750&lt;&gt;"تسليم",COUNTIFS($A$5:$A$1504,$A750,$D$5:$D$1504,"تسليم",$E$5:$E$1504,"&lt;="&amp;$E750)=0),"لا يوجد تسليم قبل الحركة دي",""))))))</f>
        <v/>
      </c>
    </row>
    <row r="751" customFormat="false" ht="15" hidden="false" customHeight="false" outlineLevel="0" collapsed="false">
      <c r="A751" s="20"/>
      <c r="B751" s="35" t="str">
        <f aca="false">IF($A751="","",IFERROR(INDEX(مخرج_البند,MATCH($A751,قائمة_المخرجات,0)),""))</f>
        <v/>
      </c>
      <c r="C751" s="30" t="str">
        <f aca="false">IF($A751="","",IFERROR(INDEX(مخرج_الوصف,MATCH($A751,قائمة_المخرجات,0)),""))</f>
        <v/>
      </c>
      <c r="D751" s="20"/>
      <c r="E751" s="31"/>
      <c r="F751" s="22"/>
      <c r="G751" s="36" t="str">
        <f aca="false">IF(OR($A751="",$D751&lt;&gt;"تسليم",NOT(ISNUMBER($E751))),"",COUNTIFS($A$5:$A$1504,$A751,$D$5:$D$1504,"تسليم",$E$5:$E$1504,"&lt;"&amp;$E751)+1)</f>
        <v/>
      </c>
      <c r="H751" s="33" t="str">
        <f aca="false">IF($G751="","",_xlfn.MINIFS($E$5:$E$1504,$A$5:$A$1504,$A751,$D$5:$D$1504,"&lt;&gt;تسليم",$E$5:$E$1504,"&gt;="&amp;$E751))</f>
        <v/>
      </c>
      <c r="I751" s="33" t="str">
        <f aca="false">IF($G751="","",_xlfn.MINIFS($E$5:$E$1504,$A$5:$A$1504,$A751,$D$5:$D$1504,"تسليم",$E$5:$E$1504,"&gt;"&amp;$E751))</f>
        <v/>
      </c>
      <c r="J751" s="33" t="str">
        <f aca="false">IF($G751="","",IF(H751&gt;0,IF(I751&gt;0,MIN(H751,I751),H751),IF(I751&gt;0,I751,تاريخ_الاحتساب)))</f>
        <v/>
      </c>
      <c r="K751" s="34" t="str">
        <f aca="false">IF($G751="","",IF(AND(H751=0,I751=0),"جارية","مغلقة"))</f>
        <v/>
      </c>
      <c r="L751" s="26" t="str">
        <f aca="false">IF($G751="","",MAX(0,NETWORKDAYS.INTL($E751,J751,رمز_العطلة,أيام_الأجازات)-1))</f>
        <v/>
      </c>
      <c r="M751" s="26" t="str">
        <f aca="false">IF($G751="","",MAX(0,L751-مهلة_المراجعة))</f>
        <v/>
      </c>
      <c r="N751" s="30" t="str">
        <f aca="false">IF($A751="",IF(OR($D751&lt;&gt;"",$E751&lt;&gt;""),"رقم المخرج ناقص",""),IF(ISNA(MATCH($A751,قائمة_المخرجات,0)),"رقم مخرج غير موجود",IF($D751="","نوع الحركة ناقص",IF(NOT(ISNUMBER($E751)),"التاريخ ناقص",IF($E751&gt;تاريخ_الاحتساب,"تاريخ بعد تاريخ الاحتساب",IF(AND($D751&lt;&gt;"تسليم",COUNTIFS($A$5:$A$1504,$A751,$D$5:$D$1504,"تسليم",$E$5:$E$1504,"&lt;="&amp;$E751)=0),"لا يوجد تسليم قبل الحركة دي",""))))))</f>
        <v/>
      </c>
    </row>
    <row r="752" customFormat="false" ht="15" hidden="false" customHeight="false" outlineLevel="0" collapsed="false">
      <c r="A752" s="20"/>
      <c r="B752" s="35" t="str">
        <f aca="false">IF($A752="","",IFERROR(INDEX(مخرج_البند,MATCH($A752,قائمة_المخرجات,0)),""))</f>
        <v/>
      </c>
      <c r="C752" s="30" t="str">
        <f aca="false">IF($A752="","",IFERROR(INDEX(مخرج_الوصف,MATCH($A752,قائمة_المخرجات,0)),""))</f>
        <v/>
      </c>
      <c r="D752" s="20"/>
      <c r="E752" s="31"/>
      <c r="F752" s="22"/>
      <c r="G752" s="36" t="str">
        <f aca="false">IF(OR($A752="",$D752&lt;&gt;"تسليم",NOT(ISNUMBER($E752))),"",COUNTIFS($A$5:$A$1504,$A752,$D$5:$D$1504,"تسليم",$E$5:$E$1504,"&lt;"&amp;$E752)+1)</f>
        <v/>
      </c>
      <c r="H752" s="33" t="str">
        <f aca="false">IF($G752="","",_xlfn.MINIFS($E$5:$E$1504,$A$5:$A$1504,$A752,$D$5:$D$1504,"&lt;&gt;تسليم",$E$5:$E$1504,"&gt;="&amp;$E752))</f>
        <v/>
      </c>
      <c r="I752" s="33" t="str">
        <f aca="false">IF($G752="","",_xlfn.MINIFS($E$5:$E$1504,$A$5:$A$1504,$A752,$D$5:$D$1504,"تسليم",$E$5:$E$1504,"&gt;"&amp;$E752))</f>
        <v/>
      </c>
      <c r="J752" s="33" t="str">
        <f aca="false">IF($G752="","",IF(H752&gt;0,IF(I752&gt;0,MIN(H752,I752),H752),IF(I752&gt;0,I752,تاريخ_الاحتساب)))</f>
        <v/>
      </c>
      <c r="K752" s="34" t="str">
        <f aca="false">IF($G752="","",IF(AND(H752=0,I752=0),"جارية","مغلقة"))</f>
        <v/>
      </c>
      <c r="L752" s="26" t="str">
        <f aca="false">IF($G752="","",MAX(0,NETWORKDAYS.INTL($E752,J752,رمز_العطلة,أيام_الأجازات)-1))</f>
        <v/>
      </c>
      <c r="M752" s="26" t="str">
        <f aca="false">IF($G752="","",MAX(0,L752-مهلة_المراجعة))</f>
        <v/>
      </c>
      <c r="N752" s="30" t="str">
        <f aca="false">IF($A752="",IF(OR($D752&lt;&gt;"",$E752&lt;&gt;""),"رقم المخرج ناقص",""),IF(ISNA(MATCH($A752,قائمة_المخرجات,0)),"رقم مخرج غير موجود",IF($D752="","نوع الحركة ناقص",IF(NOT(ISNUMBER($E752)),"التاريخ ناقص",IF($E752&gt;تاريخ_الاحتساب,"تاريخ بعد تاريخ الاحتساب",IF(AND($D752&lt;&gt;"تسليم",COUNTIFS($A$5:$A$1504,$A752,$D$5:$D$1504,"تسليم",$E$5:$E$1504,"&lt;="&amp;$E752)=0),"لا يوجد تسليم قبل الحركة دي",""))))))</f>
        <v/>
      </c>
    </row>
    <row r="753" customFormat="false" ht="15" hidden="false" customHeight="false" outlineLevel="0" collapsed="false">
      <c r="A753" s="20"/>
      <c r="B753" s="35" t="str">
        <f aca="false">IF($A753="","",IFERROR(INDEX(مخرج_البند,MATCH($A753,قائمة_المخرجات,0)),""))</f>
        <v/>
      </c>
      <c r="C753" s="30" t="str">
        <f aca="false">IF($A753="","",IFERROR(INDEX(مخرج_الوصف,MATCH($A753,قائمة_المخرجات,0)),""))</f>
        <v/>
      </c>
      <c r="D753" s="20"/>
      <c r="E753" s="31"/>
      <c r="F753" s="22"/>
      <c r="G753" s="36" t="str">
        <f aca="false">IF(OR($A753="",$D753&lt;&gt;"تسليم",NOT(ISNUMBER($E753))),"",COUNTIFS($A$5:$A$1504,$A753,$D$5:$D$1504,"تسليم",$E$5:$E$1504,"&lt;"&amp;$E753)+1)</f>
        <v/>
      </c>
      <c r="H753" s="33" t="str">
        <f aca="false">IF($G753="","",_xlfn.MINIFS($E$5:$E$1504,$A$5:$A$1504,$A753,$D$5:$D$1504,"&lt;&gt;تسليم",$E$5:$E$1504,"&gt;="&amp;$E753))</f>
        <v/>
      </c>
      <c r="I753" s="33" t="str">
        <f aca="false">IF($G753="","",_xlfn.MINIFS($E$5:$E$1504,$A$5:$A$1504,$A753,$D$5:$D$1504,"تسليم",$E$5:$E$1504,"&gt;"&amp;$E753))</f>
        <v/>
      </c>
      <c r="J753" s="33" t="str">
        <f aca="false">IF($G753="","",IF(H753&gt;0,IF(I753&gt;0,MIN(H753,I753),H753),IF(I753&gt;0,I753,تاريخ_الاحتساب)))</f>
        <v/>
      </c>
      <c r="K753" s="34" t="str">
        <f aca="false">IF($G753="","",IF(AND(H753=0,I753=0),"جارية","مغلقة"))</f>
        <v/>
      </c>
      <c r="L753" s="26" t="str">
        <f aca="false">IF($G753="","",MAX(0,NETWORKDAYS.INTL($E753,J753,رمز_العطلة,أيام_الأجازات)-1))</f>
        <v/>
      </c>
      <c r="M753" s="26" t="str">
        <f aca="false">IF($G753="","",MAX(0,L753-مهلة_المراجعة))</f>
        <v/>
      </c>
      <c r="N753" s="30" t="str">
        <f aca="false">IF($A753="",IF(OR($D753&lt;&gt;"",$E753&lt;&gt;""),"رقم المخرج ناقص",""),IF(ISNA(MATCH($A753,قائمة_المخرجات,0)),"رقم مخرج غير موجود",IF($D753="","نوع الحركة ناقص",IF(NOT(ISNUMBER($E753)),"التاريخ ناقص",IF($E753&gt;تاريخ_الاحتساب,"تاريخ بعد تاريخ الاحتساب",IF(AND($D753&lt;&gt;"تسليم",COUNTIFS($A$5:$A$1504,$A753,$D$5:$D$1504,"تسليم",$E$5:$E$1504,"&lt;="&amp;$E753)=0),"لا يوجد تسليم قبل الحركة دي",""))))))</f>
        <v/>
      </c>
    </row>
    <row r="754" customFormat="false" ht="15" hidden="false" customHeight="false" outlineLevel="0" collapsed="false">
      <c r="A754" s="20"/>
      <c r="B754" s="35" t="str">
        <f aca="false">IF($A754="","",IFERROR(INDEX(مخرج_البند,MATCH($A754,قائمة_المخرجات,0)),""))</f>
        <v/>
      </c>
      <c r="C754" s="30" t="str">
        <f aca="false">IF($A754="","",IFERROR(INDEX(مخرج_الوصف,MATCH($A754,قائمة_المخرجات,0)),""))</f>
        <v/>
      </c>
      <c r="D754" s="20"/>
      <c r="E754" s="31"/>
      <c r="F754" s="22"/>
      <c r="G754" s="36" t="str">
        <f aca="false">IF(OR($A754="",$D754&lt;&gt;"تسليم",NOT(ISNUMBER($E754))),"",COUNTIFS($A$5:$A$1504,$A754,$D$5:$D$1504,"تسليم",$E$5:$E$1504,"&lt;"&amp;$E754)+1)</f>
        <v/>
      </c>
      <c r="H754" s="33" t="str">
        <f aca="false">IF($G754="","",_xlfn.MINIFS($E$5:$E$1504,$A$5:$A$1504,$A754,$D$5:$D$1504,"&lt;&gt;تسليم",$E$5:$E$1504,"&gt;="&amp;$E754))</f>
        <v/>
      </c>
      <c r="I754" s="33" t="str">
        <f aca="false">IF($G754="","",_xlfn.MINIFS($E$5:$E$1504,$A$5:$A$1504,$A754,$D$5:$D$1504,"تسليم",$E$5:$E$1504,"&gt;"&amp;$E754))</f>
        <v/>
      </c>
      <c r="J754" s="33" t="str">
        <f aca="false">IF($G754="","",IF(H754&gt;0,IF(I754&gt;0,MIN(H754,I754),H754),IF(I754&gt;0,I754,تاريخ_الاحتساب)))</f>
        <v/>
      </c>
      <c r="K754" s="34" t="str">
        <f aca="false">IF($G754="","",IF(AND(H754=0,I754=0),"جارية","مغلقة"))</f>
        <v/>
      </c>
      <c r="L754" s="26" t="str">
        <f aca="false">IF($G754="","",MAX(0,NETWORKDAYS.INTL($E754,J754,رمز_العطلة,أيام_الأجازات)-1))</f>
        <v/>
      </c>
      <c r="M754" s="26" t="str">
        <f aca="false">IF($G754="","",MAX(0,L754-مهلة_المراجعة))</f>
        <v/>
      </c>
      <c r="N754" s="30" t="str">
        <f aca="false">IF($A754="",IF(OR($D754&lt;&gt;"",$E754&lt;&gt;""),"رقم المخرج ناقص",""),IF(ISNA(MATCH($A754,قائمة_المخرجات,0)),"رقم مخرج غير موجود",IF($D754="","نوع الحركة ناقص",IF(NOT(ISNUMBER($E754)),"التاريخ ناقص",IF($E754&gt;تاريخ_الاحتساب,"تاريخ بعد تاريخ الاحتساب",IF(AND($D754&lt;&gt;"تسليم",COUNTIFS($A$5:$A$1504,$A754,$D$5:$D$1504,"تسليم",$E$5:$E$1504,"&lt;="&amp;$E754)=0),"لا يوجد تسليم قبل الحركة دي",""))))))</f>
        <v/>
      </c>
    </row>
    <row r="755" customFormat="false" ht="15" hidden="false" customHeight="false" outlineLevel="0" collapsed="false">
      <c r="A755" s="20"/>
      <c r="B755" s="35" t="str">
        <f aca="false">IF($A755="","",IFERROR(INDEX(مخرج_البند,MATCH($A755,قائمة_المخرجات,0)),""))</f>
        <v/>
      </c>
      <c r="C755" s="30" t="str">
        <f aca="false">IF($A755="","",IFERROR(INDEX(مخرج_الوصف,MATCH($A755,قائمة_المخرجات,0)),""))</f>
        <v/>
      </c>
      <c r="D755" s="20"/>
      <c r="E755" s="31"/>
      <c r="F755" s="22"/>
      <c r="G755" s="36" t="str">
        <f aca="false">IF(OR($A755="",$D755&lt;&gt;"تسليم",NOT(ISNUMBER($E755))),"",COUNTIFS($A$5:$A$1504,$A755,$D$5:$D$1504,"تسليم",$E$5:$E$1504,"&lt;"&amp;$E755)+1)</f>
        <v/>
      </c>
      <c r="H755" s="33" t="str">
        <f aca="false">IF($G755="","",_xlfn.MINIFS($E$5:$E$1504,$A$5:$A$1504,$A755,$D$5:$D$1504,"&lt;&gt;تسليم",$E$5:$E$1504,"&gt;="&amp;$E755))</f>
        <v/>
      </c>
      <c r="I755" s="33" t="str">
        <f aca="false">IF($G755="","",_xlfn.MINIFS($E$5:$E$1504,$A$5:$A$1504,$A755,$D$5:$D$1504,"تسليم",$E$5:$E$1504,"&gt;"&amp;$E755))</f>
        <v/>
      </c>
      <c r="J755" s="33" t="str">
        <f aca="false">IF($G755="","",IF(H755&gt;0,IF(I755&gt;0,MIN(H755,I755),H755),IF(I755&gt;0,I755,تاريخ_الاحتساب)))</f>
        <v/>
      </c>
      <c r="K755" s="34" t="str">
        <f aca="false">IF($G755="","",IF(AND(H755=0,I755=0),"جارية","مغلقة"))</f>
        <v/>
      </c>
      <c r="L755" s="26" t="str">
        <f aca="false">IF($G755="","",MAX(0,NETWORKDAYS.INTL($E755,J755,رمز_العطلة,أيام_الأجازات)-1))</f>
        <v/>
      </c>
      <c r="M755" s="26" t="str">
        <f aca="false">IF($G755="","",MAX(0,L755-مهلة_المراجعة))</f>
        <v/>
      </c>
      <c r="N755" s="30" t="str">
        <f aca="false">IF($A755="",IF(OR($D755&lt;&gt;"",$E755&lt;&gt;""),"رقم المخرج ناقص",""),IF(ISNA(MATCH($A755,قائمة_المخرجات,0)),"رقم مخرج غير موجود",IF($D755="","نوع الحركة ناقص",IF(NOT(ISNUMBER($E755)),"التاريخ ناقص",IF($E755&gt;تاريخ_الاحتساب,"تاريخ بعد تاريخ الاحتساب",IF(AND($D755&lt;&gt;"تسليم",COUNTIFS($A$5:$A$1504,$A755,$D$5:$D$1504,"تسليم",$E$5:$E$1504,"&lt;="&amp;$E755)=0),"لا يوجد تسليم قبل الحركة دي",""))))))</f>
        <v/>
      </c>
    </row>
    <row r="756" customFormat="false" ht="15" hidden="false" customHeight="false" outlineLevel="0" collapsed="false">
      <c r="A756" s="20"/>
      <c r="B756" s="35" t="str">
        <f aca="false">IF($A756="","",IFERROR(INDEX(مخرج_البند,MATCH($A756,قائمة_المخرجات,0)),""))</f>
        <v/>
      </c>
      <c r="C756" s="30" t="str">
        <f aca="false">IF($A756="","",IFERROR(INDEX(مخرج_الوصف,MATCH($A756,قائمة_المخرجات,0)),""))</f>
        <v/>
      </c>
      <c r="D756" s="20"/>
      <c r="E756" s="31"/>
      <c r="F756" s="22"/>
      <c r="G756" s="36" t="str">
        <f aca="false">IF(OR($A756="",$D756&lt;&gt;"تسليم",NOT(ISNUMBER($E756))),"",COUNTIFS($A$5:$A$1504,$A756,$D$5:$D$1504,"تسليم",$E$5:$E$1504,"&lt;"&amp;$E756)+1)</f>
        <v/>
      </c>
      <c r="H756" s="33" t="str">
        <f aca="false">IF($G756="","",_xlfn.MINIFS($E$5:$E$1504,$A$5:$A$1504,$A756,$D$5:$D$1504,"&lt;&gt;تسليم",$E$5:$E$1504,"&gt;="&amp;$E756))</f>
        <v/>
      </c>
      <c r="I756" s="33" t="str">
        <f aca="false">IF($G756="","",_xlfn.MINIFS($E$5:$E$1504,$A$5:$A$1504,$A756,$D$5:$D$1504,"تسليم",$E$5:$E$1504,"&gt;"&amp;$E756))</f>
        <v/>
      </c>
      <c r="J756" s="33" t="str">
        <f aca="false">IF($G756="","",IF(H756&gt;0,IF(I756&gt;0,MIN(H756,I756),H756),IF(I756&gt;0,I756,تاريخ_الاحتساب)))</f>
        <v/>
      </c>
      <c r="K756" s="34" t="str">
        <f aca="false">IF($G756="","",IF(AND(H756=0,I756=0),"جارية","مغلقة"))</f>
        <v/>
      </c>
      <c r="L756" s="26" t="str">
        <f aca="false">IF($G756="","",MAX(0,NETWORKDAYS.INTL($E756,J756,رمز_العطلة,أيام_الأجازات)-1))</f>
        <v/>
      </c>
      <c r="M756" s="26" t="str">
        <f aca="false">IF($G756="","",MAX(0,L756-مهلة_المراجعة))</f>
        <v/>
      </c>
      <c r="N756" s="30" t="str">
        <f aca="false">IF($A756="",IF(OR($D756&lt;&gt;"",$E756&lt;&gt;""),"رقم المخرج ناقص",""),IF(ISNA(MATCH($A756,قائمة_المخرجات,0)),"رقم مخرج غير موجود",IF($D756="","نوع الحركة ناقص",IF(NOT(ISNUMBER($E756)),"التاريخ ناقص",IF($E756&gt;تاريخ_الاحتساب,"تاريخ بعد تاريخ الاحتساب",IF(AND($D756&lt;&gt;"تسليم",COUNTIFS($A$5:$A$1504,$A756,$D$5:$D$1504,"تسليم",$E$5:$E$1504,"&lt;="&amp;$E756)=0),"لا يوجد تسليم قبل الحركة دي",""))))))</f>
        <v/>
      </c>
    </row>
    <row r="757" customFormat="false" ht="15" hidden="false" customHeight="false" outlineLevel="0" collapsed="false">
      <c r="A757" s="20"/>
      <c r="B757" s="35" t="str">
        <f aca="false">IF($A757="","",IFERROR(INDEX(مخرج_البند,MATCH($A757,قائمة_المخرجات,0)),""))</f>
        <v/>
      </c>
      <c r="C757" s="30" t="str">
        <f aca="false">IF($A757="","",IFERROR(INDEX(مخرج_الوصف,MATCH($A757,قائمة_المخرجات,0)),""))</f>
        <v/>
      </c>
      <c r="D757" s="20"/>
      <c r="E757" s="31"/>
      <c r="F757" s="22"/>
      <c r="G757" s="36" t="str">
        <f aca="false">IF(OR($A757="",$D757&lt;&gt;"تسليم",NOT(ISNUMBER($E757))),"",COUNTIFS($A$5:$A$1504,$A757,$D$5:$D$1504,"تسليم",$E$5:$E$1504,"&lt;"&amp;$E757)+1)</f>
        <v/>
      </c>
      <c r="H757" s="33" t="str">
        <f aca="false">IF($G757="","",_xlfn.MINIFS($E$5:$E$1504,$A$5:$A$1504,$A757,$D$5:$D$1504,"&lt;&gt;تسليم",$E$5:$E$1504,"&gt;="&amp;$E757))</f>
        <v/>
      </c>
      <c r="I757" s="33" t="str">
        <f aca="false">IF($G757="","",_xlfn.MINIFS($E$5:$E$1504,$A$5:$A$1504,$A757,$D$5:$D$1504,"تسليم",$E$5:$E$1504,"&gt;"&amp;$E757))</f>
        <v/>
      </c>
      <c r="J757" s="33" t="str">
        <f aca="false">IF($G757="","",IF(H757&gt;0,IF(I757&gt;0,MIN(H757,I757),H757),IF(I757&gt;0,I757,تاريخ_الاحتساب)))</f>
        <v/>
      </c>
      <c r="K757" s="34" t="str">
        <f aca="false">IF($G757="","",IF(AND(H757=0,I757=0),"جارية","مغلقة"))</f>
        <v/>
      </c>
      <c r="L757" s="26" t="str">
        <f aca="false">IF($G757="","",MAX(0,NETWORKDAYS.INTL($E757,J757,رمز_العطلة,أيام_الأجازات)-1))</f>
        <v/>
      </c>
      <c r="M757" s="26" t="str">
        <f aca="false">IF($G757="","",MAX(0,L757-مهلة_المراجعة))</f>
        <v/>
      </c>
      <c r="N757" s="30" t="str">
        <f aca="false">IF($A757="",IF(OR($D757&lt;&gt;"",$E757&lt;&gt;""),"رقم المخرج ناقص",""),IF(ISNA(MATCH($A757,قائمة_المخرجات,0)),"رقم مخرج غير موجود",IF($D757="","نوع الحركة ناقص",IF(NOT(ISNUMBER($E757)),"التاريخ ناقص",IF($E757&gt;تاريخ_الاحتساب,"تاريخ بعد تاريخ الاحتساب",IF(AND($D757&lt;&gt;"تسليم",COUNTIFS($A$5:$A$1504,$A757,$D$5:$D$1504,"تسليم",$E$5:$E$1504,"&lt;="&amp;$E757)=0),"لا يوجد تسليم قبل الحركة دي",""))))))</f>
        <v/>
      </c>
    </row>
    <row r="758" customFormat="false" ht="15" hidden="false" customHeight="false" outlineLevel="0" collapsed="false">
      <c r="A758" s="20"/>
      <c r="B758" s="35" t="str">
        <f aca="false">IF($A758="","",IFERROR(INDEX(مخرج_البند,MATCH($A758,قائمة_المخرجات,0)),""))</f>
        <v/>
      </c>
      <c r="C758" s="30" t="str">
        <f aca="false">IF($A758="","",IFERROR(INDEX(مخرج_الوصف,MATCH($A758,قائمة_المخرجات,0)),""))</f>
        <v/>
      </c>
      <c r="D758" s="20"/>
      <c r="E758" s="31"/>
      <c r="F758" s="22"/>
      <c r="G758" s="36" t="str">
        <f aca="false">IF(OR($A758="",$D758&lt;&gt;"تسليم",NOT(ISNUMBER($E758))),"",COUNTIFS($A$5:$A$1504,$A758,$D$5:$D$1504,"تسليم",$E$5:$E$1504,"&lt;"&amp;$E758)+1)</f>
        <v/>
      </c>
      <c r="H758" s="33" t="str">
        <f aca="false">IF($G758="","",_xlfn.MINIFS($E$5:$E$1504,$A$5:$A$1504,$A758,$D$5:$D$1504,"&lt;&gt;تسليم",$E$5:$E$1504,"&gt;="&amp;$E758))</f>
        <v/>
      </c>
      <c r="I758" s="33" t="str">
        <f aca="false">IF($G758="","",_xlfn.MINIFS($E$5:$E$1504,$A$5:$A$1504,$A758,$D$5:$D$1504,"تسليم",$E$5:$E$1504,"&gt;"&amp;$E758))</f>
        <v/>
      </c>
      <c r="J758" s="33" t="str">
        <f aca="false">IF($G758="","",IF(H758&gt;0,IF(I758&gt;0,MIN(H758,I758),H758),IF(I758&gt;0,I758,تاريخ_الاحتساب)))</f>
        <v/>
      </c>
      <c r="K758" s="34" t="str">
        <f aca="false">IF($G758="","",IF(AND(H758=0,I758=0),"جارية","مغلقة"))</f>
        <v/>
      </c>
      <c r="L758" s="26" t="str">
        <f aca="false">IF($G758="","",MAX(0,NETWORKDAYS.INTL($E758,J758,رمز_العطلة,أيام_الأجازات)-1))</f>
        <v/>
      </c>
      <c r="M758" s="26" t="str">
        <f aca="false">IF($G758="","",MAX(0,L758-مهلة_المراجعة))</f>
        <v/>
      </c>
      <c r="N758" s="30" t="str">
        <f aca="false">IF($A758="",IF(OR($D758&lt;&gt;"",$E758&lt;&gt;""),"رقم المخرج ناقص",""),IF(ISNA(MATCH($A758,قائمة_المخرجات,0)),"رقم مخرج غير موجود",IF($D758="","نوع الحركة ناقص",IF(NOT(ISNUMBER($E758)),"التاريخ ناقص",IF($E758&gt;تاريخ_الاحتساب,"تاريخ بعد تاريخ الاحتساب",IF(AND($D758&lt;&gt;"تسليم",COUNTIFS($A$5:$A$1504,$A758,$D$5:$D$1504,"تسليم",$E$5:$E$1504,"&lt;="&amp;$E758)=0),"لا يوجد تسليم قبل الحركة دي",""))))))</f>
        <v/>
      </c>
    </row>
    <row r="759" customFormat="false" ht="15" hidden="false" customHeight="false" outlineLevel="0" collapsed="false">
      <c r="A759" s="20"/>
      <c r="B759" s="35" t="str">
        <f aca="false">IF($A759="","",IFERROR(INDEX(مخرج_البند,MATCH($A759,قائمة_المخرجات,0)),""))</f>
        <v/>
      </c>
      <c r="C759" s="30" t="str">
        <f aca="false">IF($A759="","",IFERROR(INDEX(مخرج_الوصف,MATCH($A759,قائمة_المخرجات,0)),""))</f>
        <v/>
      </c>
      <c r="D759" s="20"/>
      <c r="E759" s="31"/>
      <c r="F759" s="22"/>
      <c r="G759" s="36" t="str">
        <f aca="false">IF(OR($A759="",$D759&lt;&gt;"تسليم",NOT(ISNUMBER($E759))),"",COUNTIFS($A$5:$A$1504,$A759,$D$5:$D$1504,"تسليم",$E$5:$E$1504,"&lt;"&amp;$E759)+1)</f>
        <v/>
      </c>
      <c r="H759" s="33" t="str">
        <f aca="false">IF($G759="","",_xlfn.MINIFS($E$5:$E$1504,$A$5:$A$1504,$A759,$D$5:$D$1504,"&lt;&gt;تسليم",$E$5:$E$1504,"&gt;="&amp;$E759))</f>
        <v/>
      </c>
      <c r="I759" s="33" t="str">
        <f aca="false">IF($G759="","",_xlfn.MINIFS($E$5:$E$1504,$A$5:$A$1504,$A759,$D$5:$D$1504,"تسليم",$E$5:$E$1504,"&gt;"&amp;$E759))</f>
        <v/>
      </c>
      <c r="J759" s="33" t="str">
        <f aca="false">IF($G759="","",IF(H759&gt;0,IF(I759&gt;0,MIN(H759,I759),H759),IF(I759&gt;0,I759,تاريخ_الاحتساب)))</f>
        <v/>
      </c>
      <c r="K759" s="34" t="str">
        <f aca="false">IF($G759="","",IF(AND(H759=0,I759=0),"جارية","مغلقة"))</f>
        <v/>
      </c>
      <c r="L759" s="26" t="str">
        <f aca="false">IF($G759="","",MAX(0,NETWORKDAYS.INTL($E759,J759,رمز_العطلة,أيام_الأجازات)-1))</f>
        <v/>
      </c>
      <c r="M759" s="26" t="str">
        <f aca="false">IF($G759="","",MAX(0,L759-مهلة_المراجعة))</f>
        <v/>
      </c>
      <c r="N759" s="30" t="str">
        <f aca="false">IF($A759="",IF(OR($D759&lt;&gt;"",$E759&lt;&gt;""),"رقم المخرج ناقص",""),IF(ISNA(MATCH($A759,قائمة_المخرجات,0)),"رقم مخرج غير موجود",IF($D759="","نوع الحركة ناقص",IF(NOT(ISNUMBER($E759)),"التاريخ ناقص",IF($E759&gt;تاريخ_الاحتساب,"تاريخ بعد تاريخ الاحتساب",IF(AND($D759&lt;&gt;"تسليم",COUNTIFS($A$5:$A$1504,$A759,$D$5:$D$1504,"تسليم",$E$5:$E$1504,"&lt;="&amp;$E759)=0),"لا يوجد تسليم قبل الحركة دي",""))))))</f>
        <v/>
      </c>
    </row>
    <row r="760" customFormat="false" ht="15" hidden="false" customHeight="false" outlineLevel="0" collapsed="false">
      <c r="A760" s="20"/>
      <c r="B760" s="35" t="str">
        <f aca="false">IF($A760="","",IFERROR(INDEX(مخرج_البند,MATCH($A760,قائمة_المخرجات,0)),""))</f>
        <v/>
      </c>
      <c r="C760" s="30" t="str">
        <f aca="false">IF($A760="","",IFERROR(INDEX(مخرج_الوصف,MATCH($A760,قائمة_المخرجات,0)),""))</f>
        <v/>
      </c>
      <c r="D760" s="20"/>
      <c r="E760" s="31"/>
      <c r="F760" s="22"/>
      <c r="G760" s="36" t="str">
        <f aca="false">IF(OR($A760="",$D760&lt;&gt;"تسليم",NOT(ISNUMBER($E760))),"",COUNTIFS($A$5:$A$1504,$A760,$D$5:$D$1504,"تسليم",$E$5:$E$1504,"&lt;"&amp;$E760)+1)</f>
        <v/>
      </c>
      <c r="H760" s="33" t="str">
        <f aca="false">IF($G760="","",_xlfn.MINIFS($E$5:$E$1504,$A$5:$A$1504,$A760,$D$5:$D$1504,"&lt;&gt;تسليم",$E$5:$E$1504,"&gt;="&amp;$E760))</f>
        <v/>
      </c>
      <c r="I760" s="33" t="str">
        <f aca="false">IF($G760="","",_xlfn.MINIFS($E$5:$E$1504,$A$5:$A$1504,$A760,$D$5:$D$1504,"تسليم",$E$5:$E$1504,"&gt;"&amp;$E760))</f>
        <v/>
      </c>
      <c r="J760" s="33" t="str">
        <f aca="false">IF($G760="","",IF(H760&gt;0,IF(I760&gt;0,MIN(H760,I760),H760),IF(I760&gt;0,I760,تاريخ_الاحتساب)))</f>
        <v/>
      </c>
      <c r="K760" s="34" t="str">
        <f aca="false">IF($G760="","",IF(AND(H760=0,I760=0),"جارية","مغلقة"))</f>
        <v/>
      </c>
      <c r="L760" s="26" t="str">
        <f aca="false">IF($G760="","",MAX(0,NETWORKDAYS.INTL($E760,J760,رمز_العطلة,أيام_الأجازات)-1))</f>
        <v/>
      </c>
      <c r="M760" s="26" t="str">
        <f aca="false">IF($G760="","",MAX(0,L760-مهلة_المراجعة))</f>
        <v/>
      </c>
      <c r="N760" s="30" t="str">
        <f aca="false">IF($A760="",IF(OR($D760&lt;&gt;"",$E760&lt;&gt;""),"رقم المخرج ناقص",""),IF(ISNA(MATCH($A760,قائمة_المخرجات,0)),"رقم مخرج غير موجود",IF($D760="","نوع الحركة ناقص",IF(NOT(ISNUMBER($E760)),"التاريخ ناقص",IF($E760&gt;تاريخ_الاحتساب,"تاريخ بعد تاريخ الاحتساب",IF(AND($D760&lt;&gt;"تسليم",COUNTIFS($A$5:$A$1504,$A760,$D$5:$D$1504,"تسليم",$E$5:$E$1504,"&lt;="&amp;$E760)=0),"لا يوجد تسليم قبل الحركة دي",""))))))</f>
        <v/>
      </c>
    </row>
    <row r="761" customFormat="false" ht="15" hidden="false" customHeight="false" outlineLevel="0" collapsed="false">
      <c r="A761" s="20"/>
      <c r="B761" s="35" t="str">
        <f aca="false">IF($A761="","",IFERROR(INDEX(مخرج_البند,MATCH($A761,قائمة_المخرجات,0)),""))</f>
        <v/>
      </c>
      <c r="C761" s="30" t="str">
        <f aca="false">IF($A761="","",IFERROR(INDEX(مخرج_الوصف,MATCH($A761,قائمة_المخرجات,0)),""))</f>
        <v/>
      </c>
      <c r="D761" s="20"/>
      <c r="E761" s="31"/>
      <c r="F761" s="22"/>
      <c r="G761" s="36" t="str">
        <f aca="false">IF(OR($A761="",$D761&lt;&gt;"تسليم",NOT(ISNUMBER($E761))),"",COUNTIFS($A$5:$A$1504,$A761,$D$5:$D$1504,"تسليم",$E$5:$E$1504,"&lt;"&amp;$E761)+1)</f>
        <v/>
      </c>
      <c r="H761" s="33" t="str">
        <f aca="false">IF($G761="","",_xlfn.MINIFS($E$5:$E$1504,$A$5:$A$1504,$A761,$D$5:$D$1504,"&lt;&gt;تسليم",$E$5:$E$1504,"&gt;="&amp;$E761))</f>
        <v/>
      </c>
      <c r="I761" s="33" t="str">
        <f aca="false">IF($G761="","",_xlfn.MINIFS($E$5:$E$1504,$A$5:$A$1504,$A761,$D$5:$D$1504,"تسليم",$E$5:$E$1504,"&gt;"&amp;$E761))</f>
        <v/>
      </c>
      <c r="J761" s="33" t="str">
        <f aca="false">IF($G761="","",IF(H761&gt;0,IF(I761&gt;0,MIN(H761,I761),H761),IF(I761&gt;0,I761,تاريخ_الاحتساب)))</f>
        <v/>
      </c>
      <c r="K761" s="34" t="str">
        <f aca="false">IF($G761="","",IF(AND(H761=0,I761=0),"جارية","مغلقة"))</f>
        <v/>
      </c>
      <c r="L761" s="26" t="str">
        <f aca="false">IF($G761="","",MAX(0,NETWORKDAYS.INTL($E761,J761,رمز_العطلة,أيام_الأجازات)-1))</f>
        <v/>
      </c>
      <c r="M761" s="26" t="str">
        <f aca="false">IF($G761="","",MAX(0,L761-مهلة_المراجعة))</f>
        <v/>
      </c>
      <c r="N761" s="30" t="str">
        <f aca="false">IF($A761="",IF(OR($D761&lt;&gt;"",$E761&lt;&gt;""),"رقم المخرج ناقص",""),IF(ISNA(MATCH($A761,قائمة_المخرجات,0)),"رقم مخرج غير موجود",IF($D761="","نوع الحركة ناقص",IF(NOT(ISNUMBER($E761)),"التاريخ ناقص",IF($E761&gt;تاريخ_الاحتساب,"تاريخ بعد تاريخ الاحتساب",IF(AND($D761&lt;&gt;"تسليم",COUNTIFS($A$5:$A$1504,$A761,$D$5:$D$1504,"تسليم",$E$5:$E$1504,"&lt;="&amp;$E761)=0),"لا يوجد تسليم قبل الحركة دي",""))))))</f>
        <v/>
      </c>
    </row>
    <row r="762" customFormat="false" ht="15" hidden="false" customHeight="false" outlineLevel="0" collapsed="false">
      <c r="A762" s="20"/>
      <c r="B762" s="35" t="str">
        <f aca="false">IF($A762="","",IFERROR(INDEX(مخرج_البند,MATCH($A762,قائمة_المخرجات,0)),""))</f>
        <v/>
      </c>
      <c r="C762" s="30" t="str">
        <f aca="false">IF($A762="","",IFERROR(INDEX(مخرج_الوصف,MATCH($A762,قائمة_المخرجات,0)),""))</f>
        <v/>
      </c>
      <c r="D762" s="20"/>
      <c r="E762" s="31"/>
      <c r="F762" s="22"/>
      <c r="G762" s="36" t="str">
        <f aca="false">IF(OR($A762="",$D762&lt;&gt;"تسليم",NOT(ISNUMBER($E762))),"",COUNTIFS($A$5:$A$1504,$A762,$D$5:$D$1504,"تسليم",$E$5:$E$1504,"&lt;"&amp;$E762)+1)</f>
        <v/>
      </c>
      <c r="H762" s="33" t="str">
        <f aca="false">IF($G762="","",_xlfn.MINIFS($E$5:$E$1504,$A$5:$A$1504,$A762,$D$5:$D$1504,"&lt;&gt;تسليم",$E$5:$E$1504,"&gt;="&amp;$E762))</f>
        <v/>
      </c>
      <c r="I762" s="33" t="str">
        <f aca="false">IF($G762="","",_xlfn.MINIFS($E$5:$E$1504,$A$5:$A$1504,$A762,$D$5:$D$1504,"تسليم",$E$5:$E$1504,"&gt;"&amp;$E762))</f>
        <v/>
      </c>
      <c r="J762" s="33" t="str">
        <f aca="false">IF($G762="","",IF(H762&gt;0,IF(I762&gt;0,MIN(H762,I762),H762),IF(I762&gt;0,I762,تاريخ_الاحتساب)))</f>
        <v/>
      </c>
      <c r="K762" s="34" t="str">
        <f aca="false">IF($G762="","",IF(AND(H762=0,I762=0),"جارية","مغلقة"))</f>
        <v/>
      </c>
      <c r="L762" s="26" t="str">
        <f aca="false">IF($G762="","",MAX(0,NETWORKDAYS.INTL($E762,J762,رمز_العطلة,أيام_الأجازات)-1))</f>
        <v/>
      </c>
      <c r="M762" s="26" t="str">
        <f aca="false">IF($G762="","",MAX(0,L762-مهلة_المراجعة))</f>
        <v/>
      </c>
      <c r="N762" s="30" t="str">
        <f aca="false">IF($A762="",IF(OR($D762&lt;&gt;"",$E762&lt;&gt;""),"رقم المخرج ناقص",""),IF(ISNA(MATCH($A762,قائمة_المخرجات,0)),"رقم مخرج غير موجود",IF($D762="","نوع الحركة ناقص",IF(NOT(ISNUMBER($E762)),"التاريخ ناقص",IF($E762&gt;تاريخ_الاحتساب,"تاريخ بعد تاريخ الاحتساب",IF(AND($D762&lt;&gt;"تسليم",COUNTIFS($A$5:$A$1504,$A762,$D$5:$D$1504,"تسليم",$E$5:$E$1504,"&lt;="&amp;$E762)=0),"لا يوجد تسليم قبل الحركة دي",""))))))</f>
        <v/>
      </c>
    </row>
    <row r="763" customFormat="false" ht="15" hidden="false" customHeight="false" outlineLevel="0" collapsed="false">
      <c r="A763" s="20"/>
      <c r="B763" s="35" t="str">
        <f aca="false">IF($A763="","",IFERROR(INDEX(مخرج_البند,MATCH($A763,قائمة_المخرجات,0)),""))</f>
        <v/>
      </c>
      <c r="C763" s="30" t="str">
        <f aca="false">IF($A763="","",IFERROR(INDEX(مخرج_الوصف,MATCH($A763,قائمة_المخرجات,0)),""))</f>
        <v/>
      </c>
      <c r="D763" s="20"/>
      <c r="E763" s="31"/>
      <c r="F763" s="22"/>
      <c r="G763" s="36" t="str">
        <f aca="false">IF(OR($A763="",$D763&lt;&gt;"تسليم",NOT(ISNUMBER($E763))),"",COUNTIFS($A$5:$A$1504,$A763,$D$5:$D$1504,"تسليم",$E$5:$E$1504,"&lt;"&amp;$E763)+1)</f>
        <v/>
      </c>
      <c r="H763" s="33" t="str">
        <f aca="false">IF($G763="","",_xlfn.MINIFS($E$5:$E$1504,$A$5:$A$1504,$A763,$D$5:$D$1504,"&lt;&gt;تسليم",$E$5:$E$1504,"&gt;="&amp;$E763))</f>
        <v/>
      </c>
      <c r="I763" s="33" t="str">
        <f aca="false">IF($G763="","",_xlfn.MINIFS($E$5:$E$1504,$A$5:$A$1504,$A763,$D$5:$D$1504,"تسليم",$E$5:$E$1504,"&gt;"&amp;$E763))</f>
        <v/>
      </c>
      <c r="J763" s="33" t="str">
        <f aca="false">IF($G763="","",IF(H763&gt;0,IF(I763&gt;0,MIN(H763,I763),H763),IF(I763&gt;0,I763,تاريخ_الاحتساب)))</f>
        <v/>
      </c>
      <c r="K763" s="34" t="str">
        <f aca="false">IF($G763="","",IF(AND(H763=0,I763=0),"جارية","مغلقة"))</f>
        <v/>
      </c>
      <c r="L763" s="26" t="str">
        <f aca="false">IF($G763="","",MAX(0,NETWORKDAYS.INTL($E763,J763,رمز_العطلة,أيام_الأجازات)-1))</f>
        <v/>
      </c>
      <c r="M763" s="26" t="str">
        <f aca="false">IF($G763="","",MAX(0,L763-مهلة_المراجعة))</f>
        <v/>
      </c>
      <c r="N763" s="30" t="str">
        <f aca="false">IF($A763="",IF(OR($D763&lt;&gt;"",$E763&lt;&gt;""),"رقم المخرج ناقص",""),IF(ISNA(MATCH($A763,قائمة_المخرجات,0)),"رقم مخرج غير موجود",IF($D763="","نوع الحركة ناقص",IF(NOT(ISNUMBER($E763)),"التاريخ ناقص",IF($E763&gt;تاريخ_الاحتساب,"تاريخ بعد تاريخ الاحتساب",IF(AND($D763&lt;&gt;"تسليم",COUNTIFS($A$5:$A$1504,$A763,$D$5:$D$1504,"تسليم",$E$5:$E$1504,"&lt;="&amp;$E763)=0),"لا يوجد تسليم قبل الحركة دي",""))))))</f>
        <v/>
      </c>
    </row>
    <row r="764" customFormat="false" ht="15" hidden="false" customHeight="false" outlineLevel="0" collapsed="false">
      <c r="A764" s="20"/>
      <c r="B764" s="35" t="str">
        <f aca="false">IF($A764="","",IFERROR(INDEX(مخرج_البند,MATCH($A764,قائمة_المخرجات,0)),""))</f>
        <v/>
      </c>
      <c r="C764" s="30" t="str">
        <f aca="false">IF($A764="","",IFERROR(INDEX(مخرج_الوصف,MATCH($A764,قائمة_المخرجات,0)),""))</f>
        <v/>
      </c>
      <c r="D764" s="20"/>
      <c r="E764" s="31"/>
      <c r="F764" s="22"/>
      <c r="G764" s="36" t="str">
        <f aca="false">IF(OR($A764="",$D764&lt;&gt;"تسليم",NOT(ISNUMBER($E764))),"",COUNTIFS($A$5:$A$1504,$A764,$D$5:$D$1504,"تسليم",$E$5:$E$1504,"&lt;"&amp;$E764)+1)</f>
        <v/>
      </c>
      <c r="H764" s="33" t="str">
        <f aca="false">IF($G764="","",_xlfn.MINIFS($E$5:$E$1504,$A$5:$A$1504,$A764,$D$5:$D$1504,"&lt;&gt;تسليم",$E$5:$E$1504,"&gt;="&amp;$E764))</f>
        <v/>
      </c>
      <c r="I764" s="33" t="str">
        <f aca="false">IF($G764="","",_xlfn.MINIFS($E$5:$E$1504,$A$5:$A$1504,$A764,$D$5:$D$1504,"تسليم",$E$5:$E$1504,"&gt;"&amp;$E764))</f>
        <v/>
      </c>
      <c r="J764" s="33" t="str">
        <f aca="false">IF($G764="","",IF(H764&gt;0,IF(I764&gt;0,MIN(H764,I764),H764),IF(I764&gt;0,I764,تاريخ_الاحتساب)))</f>
        <v/>
      </c>
      <c r="K764" s="34" t="str">
        <f aca="false">IF($G764="","",IF(AND(H764=0,I764=0),"جارية","مغلقة"))</f>
        <v/>
      </c>
      <c r="L764" s="26" t="str">
        <f aca="false">IF($G764="","",MAX(0,NETWORKDAYS.INTL($E764,J764,رمز_العطلة,أيام_الأجازات)-1))</f>
        <v/>
      </c>
      <c r="M764" s="26" t="str">
        <f aca="false">IF($G764="","",MAX(0,L764-مهلة_المراجعة))</f>
        <v/>
      </c>
      <c r="N764" s="30" t="str">
        <f aca="false">IF($A764="",IF(OR($D764&lt;&gt;"",$E764&lt;&gt;""),"رقم المخرج ناقص",""),IF(ISNA(MATCH($A764,قائمة_المخرجات,0)),"رقم مخرج غير موجود",IF($D764="","نوع الحركة ناقص",IF(NOT(ISNUMBER($E764)),"التاريخ ناقص",IF($E764&gt;تاريخ_الاحتساب,"تاريخ بعد تاريخ الاحتساب",IF(AND($D764&lt;&gt;"تسليم",COUNTIFS($A$5:$A$1504,$A764,$D$5:$D$1504,"تسليم",$E$5:$E$1504,"&lt;="&amp;$E764)=0),"لا يوجد تسليم قبل الحركة دي",""))))))</f>
        <v/>
      </c>
    </row>
    <row r="765" customFormat="false" ht="15" hidden="false" customHeight="false" outlineLevel="0" collapsed="false">
      <c r="A765" s="20"/>
      <c r="B765" s="35" t="str">
        <f aca="false">IF($A765="","",IFERROR(INDEX(مخرج_البند,MATCH($A765,قائمة_المخرجات,0)),""))</f>
        <v/>
      </c>
      <c r="C765" s="30" t="str">
        <f aca="false">IF($A765="","",IFERROR(INDEX(مخرج_الوصف,MATCH($A765,قائمة_المخرجات,0)),""))</f>
        <v/>
      </c>
      <c r="D765" s="20"/>
      <c r="E765" s="31"/>
      <c r="F765" s="22"/>
      <c r="G765" s="36" t="str">
        <f aca="false">IF(OR($A765="",$D765&lt;&gt;"تسليم",NOT(ISNUMBER($E765))),"",COUNTIFS($A$5:$A$1504,$A765,$D$5:$D$1504,"تسليم",$E$5:$E$1504,"&lt;"&amp;$E765)+1)</f>
        <v/>
      </c>
      <c r="H765" s="33" t="str">
        <f aca="false">IF($G765="","",_xlfn.MINIFS($E$5:$E$1504,$A$5:$A$1504,$A765,$D$5:$D$1504,"&lt;&gt;تسليم",$E$5:$E$1504,"&gt;="&amp;$E765))</f>
        <v/>
      </c>
      <c r="I765" s="33" t="str">
        <f aca="false">IF($G765="","",_xlfn.MINIFS($E$5:$E$1504,$A$5:$A$1504,$A765,$D$5:$D$1504,"تسليم",$E$5:$E$1504,"&gt;"&amp;$E765))</f>
        <v/>
      </c>
      <c r="J765" s="33" t="str">
        <f aca="false">IF($G765="","",IF(H765&gt;0,IF(I765&gt;0,MIN(H765,I765),H765),IF(I765&gt;0,I765,تاريخ_الاحتساب)))</f>
        <v/>
      </c>
      <c r="K765" s="34" t="str">
        <f aca="false">IF($G765="","",IF(AND(H765=0,I765=0),"جارية","مغلقة"))</f>
        <v/>
      </c>
      <c r="L765" s="26" t="str">
        <f aca="false">IF($G765="","",MAX(0,NETWORKDAYS.INTL($E765,J765,رمز_العطلة,أيام_الأجازات)-1))</f>
        <v/>
      </c>
      <c r="M765" s="26" t="str">
        <f aca="false">IF($G765="","",MAX(0,L765-مهلة_المراجعة))</f>
        <v/>
      </c>
      <c r="N765" s="30" t="str">
        <f aca="false">IF($A765="",IF(OR($D765&lt;&gt;"",$E765&lt;&gt;""),"رقم المخرج ناقص",""),IF(ISNA(MATCH($A765,قائمة_المخرجات,0)),"رقم مخرج غير موجود",IF($D765="","نوع الحركة ناقص",IF(NOT(ISNUMBER($E765)),"التاريخ ناقص",IF($E765&gt;تاريخ_الاحتساب,"تاريخ بعد تاريخ الاحتساب",IF(AND($D765&lt;&gt;"تسليم",COUNTIFS($A$5:$A$1504,$A765,$D$5:$D$1504,"تسليم",$E$5:$E$1504,"&lt;="&amp;$E765)=0),"لا يوجد تسليم قبل الحركة دي",""))))))</f>
        <v/>
      </c>
    </row>
    <row r="766" customFormat="false" ht="15" hidden="false" customHeight="false" outlineLevel="0" collapsed="false">
      <c r="A766" s="20"/>
      <c r="B766" s="35" t="str">
        <f aca="false">IF($A766="","",IFERROR(INDEX(مخرج_البند,MATCH($A766,قائمة_المخرجات,0)),""))</f>
        <v/>
      </c>
      <c r="C766" s="30" t="str">
        <f aca="false">IF($A766="","",IFERROR(INDEX(مخرج_الوصف,MATCH($A766,قائمة_المخرجات,0)),""))</f>
        <v/>
      </c>
      <c r="D766" s="20"/>
      <c r="E766" s="31"/>
      <c r="F766" s="22"/>
      <c r="G766" s="36" t="str">
        <f aca="false">IF(OR($A766="",$D766&lt;&gt;"تسليم",NOT(ISNUMBER($E766))),"",COUNTIFS($A$5:$A$1504,$A766,$D$5:$D$1504,"تسليم",$E$5:$E$1504,"&lt;"&amp;$E766)+1)</f>
        <v/>
      </c>
      <c r="H766" s="33" t="str">
        <f aca="false">IF($G766="","",_xlfn.MINIFS($E$5:$E$1504,$A$5:$A$1504,$A766,$D$5:$D$1504,"&lt;&gt;تسليم",$E$5:$E$1504,"&gt;="&amp;$E766))</f>
        <v/>
      </c>
      <c r="I766" s="33" t="str">
        <f aca="false">IF($G766="","",_xlfn.MINIFS($E$5:$E$1504,$A$5:$A$1504,$A766,$D$5:$D$1504,"تسليم",$E$5:$E$1504,"&gt;"&amp;$E766))</f>
        <v/>
      </c>
      <c r="J766" s="33" t="str">
        <f aca="false">IF($G766="","",IF(H766&gt;0,IF(I766&gt;0,MIN(H766,I766),H766),IF(I766&gt;0,I766,تاريخ_الاحتساب)))</f>
        <v/>
      </c>
      <c r="K766" s="34" t="str">
        <f aca="false">IF($G766="","",IF(AND(H766=0,I766=0),"جارية","مغلقة"))</f>
        <v/>
      </c>
      <c r="L766" s="26" t="str">
        <f aca="false">IF($G766="","",MAX(0,NETWORKDAYS.INTL($E766,J766,رمز_العطلة,أيام_الأجازات)-1))</f>
        <v/>
      </c>
      <c r="M766" s="26" t="str">
        <f aca="false">IF($G766="","",MAX(0,L766-مهلة_المراجعة))</f>
        <v/>
      </c>
      <c r="N766" s="30" t="str">
        <f aca="false">IF($A766="",IF(OR($D766&lt;&gt;"",$E766&lt;&gt;""),"رقم المخرج ناقص",""),IF(ISNA(MATCH($A766,قائمة_المخرجات,0)),"رقم مخرج غير موجود",IF($D766="","نوع الحركة ناقص",IF(NOT(ISNUMBER($E766)),"التاريخ ناقص",IF($E766&gt;تاريخ_الاحتساب,"تاريخ بعد تاريخ الاحتساب",IF(AND($D766&lt;&gt;"تسليم",COUNTIFS($A$5:$A$1504,$A766,$D$5:$D$1504,"تسليم",$E$5:$E$1504,"&lt;="&amp;$E766)=0),"لا يوجد تسليم قبل الحركة دي",""))))))</f>
        <v/>
      </c>
    </row>
    <row r="767" customFormat="false" ht="15" hidden="false" customHeight="false" outlineLevel="0" collapsed="false">
      <c r="A767" s="20"/>
      <c r="B767" s="35" t="str">
        <f aca="false">IF($A767="","",IFERROR(INDEX(مخرج_البند,MATCH($A767,قائمة_المخرجات,0)),""))</f>
        <v/>
      </c>
      <c r="C767" s="30" t="str">
        <f aca="false">IF($A767="","",IFERROR(INDEX(مخرج_الوصف,MATCH($A767,قائمة_المخرجات,0)),""))</f>
        <v/>
      </c>
      <c r="D767" s="20"/>
      <c r="E767" s="31"/>
      <c r="F767" s="22"/>
      <c r="G767" s="36" t="str">
        <f aca="false">IF(OR($A767="",$D767&lt;&gt;"تسليم",NOT(ISNUMBER($E767))),"",COUNTIFS($A$5:$A$1504,$A767,$D$5:$D$1504,"تسليم",$E$5:$E$1504,"&lt;"&amp;$E767)+1)</f>
        <v/>
      </c>
      <c r="H767" s="33" t="str">
        <f aca="false">IF($G767="","",_xlfn.MINIFS($E$5:$E$1504,$A$5:$A$1504,$A767,$D$5:$D$1504,"&lt;&gt;تسليم",$E$5:$E$1504,"&gt;="&amp;$E767))</f>
        <v/>
      </c>
      <c r="I767" s="33" t="str">
        <f aca="false">IF($G767="","",_xlfn.MINIFS($E$5:$E$1504,$A$5:$A$1504,$A767,$D$5:$D$1504,"تسليم",$E$5:$E$1504,"&gt;"&amp;$E767))</f>
        <v/>
      </c>
      <c r="J767" s="33" t="str">
        <f aca="false">IF($G767="","",IF(H767&gt;0,IF(I767&gt;0,MIN(H767,I767),H767),IF(I767&gt;0,I767,تاريخ_الاحتساب)))</f>
        <v/>
      </c>
      <c r="K767" s="34" t="str">
        <f aca="false">IF($G767="","",IF(AND(H767=0,I767=0),"جارية","مغلقة"))</f>
        <v/>
      </c>
      <c r="L767" s="26" t="str">
        <f aca="false">IF($G767="","",MAX(0,NETWORKDAYS.INTL($E767,J767,رمز_العطلة,أيام_الأجازات)-1))</f>
        <v/>
      </c>
      <c r="M767" s="26" t="str">
        <f aca="false">IF($G767="","",MAX(0,L767-مهلة_المراجعة))</f>
        <v/>
      </c>
      <c r="N767" s="30" t="str">
        <f aca="false">IF($A767="",IF(OR($D767&lt;&gt;"",$E767&lt;&gt;""),"رقم المخرج ناقص",""),IF(ISNA(MATCH($A767,قائمة_المخرجات,0)),"رقم مخرج غير موجود",IF($D767="","نوع الحركة ناقص",IF(NOT(ISNUMBER($E767)),"التاريخ ناقص",IF($E767&gt;تاريخ_الاحتساب,"تاريخ بعد تاريخ الاحتساب",IF(AND($D767&lt;&gt;"تسليم",COUNTIFS($A$5:$A$1504,$A767,$D$5:$D$1504,"تسليم",$E$5:$E$1504,"&lt;="&amp;$E767)=0),"لا يوجد تسليم قبل الحركة دي",""))))))</f>
        <v/>
      </c>
    </row>
    <row r="768" customFormat="false" ht="15" hidden="false" customHeight="false" outlineLevel="0" collapsed="false">
      <c r="A768" s="20"/>
      <c r="B768" s="35" t="str">
        <f aca="false">IF($A768="","",IFERROR(INDEX(مخرج_البند,MATCH($A768,قائمة_المخرجات,0)),""))</f>
        <v/>
      </c>
      <c r="C768" s="30" t="str">
        <f aca="false">IF($A768="","",IFERROR(INDEX(مخرج_الوصف,MATCH($A768,قائمة_المخرجات,0)),""))</f>
        <v/>
      </c>
      <c r="D768" s="20"/>
      <c r="E768" s="31"/>
      <c r="F768" s="22"/>
      <c r="G768" s="36" t="str">
        <f aca="false">IF(OR($A768="",$D768&lt;&gt;"تسليم",NOT(ISNUMBER($E768))),"",COUNTIFS($A$5:$A$1504,$A768,$D$5:$D$1504,"تسليم",$E$5:$E$1504,"&lt;"&amp;$E768)+1)</f>
        <v/>
      </c>
      <c r="H768" s="33" t="str">
        <f aca="false">IF($G768="","",_xlfn.MINIFS($E$5:$E$1504,$A$5:$A$1504,$A768,$D$5:$D$1504,"&lt;&gt;تسليم",$E$5:$E$1504,"&gt;="&amp;$E768))</f>
        <v/>
      </c>
      <c r="I768" s="33" t="str">
        <f aca="false">IF($G768="","",_xlfn.MINIFS($E$5:$E$1504,$A$5:$A$1504,$A768,$D$5:$D$1504,"تسليم",$E$5:$E$1504,"&gt;"&amp;$E768))</f>
        <v/>
      </c>
      <c r="J768" s="33" t="str">
        <f aca="false">IF($G768="","",IF(H768&gt;0,IF(I768&gt;0,MIN(H768,I768),H768),IF(I768&gt;0,I768,تاريخ_الاحتساب)))</f>
        <v/>
      </c>
      <c r="K768" s="34" t="str">
        <f aca="false">IF($G768="","",IF(AND(H768=0,I768=0),"جارية","مغلقة"))</f>
        <v/>
      </c>
      <c r="L768" s="26" t="str">
        <f aca="false">IF($G768="","",MAX(0,NETWORKDAYS.INTL($E768,J768,رمز_العطلة,أيام_الأجازات)-1))</f>
        <v/>
      </c>
      <c r="M768" s="26" t="str">
        <f aca="false">IF($G768="","",MAX(0,L768-مهلة_المراجعة))</f>
        <v/>
      </c>
      <c r="N768" s="30" t="str">
        <f aca="false">IF($A768="",IF(OR($D768&lt;&gt;"",$E768&lt;&gt;""),"رقم المخرج ناقص",""),IF(ISNA(MATCH($A768,قائمة_المخرجات,0)),"رقم مخرج غير موجود",IF($D768="","نوع الحركة ناقص",IF(NOT(ISNUMBER($E768)),"التاريخ ناقص",IF($E768&gt;تاريخ_الاحتساب,"تاريخ بعد تاريخ الاحتساب",IF(AND($D768&lt;&gt;"تسليم",COUNTIFS($A$5:$A$1504,$A768,$D$5:$D$1504,"تسليم",$E$5:$E$1504,"&lt;="&amp;$E768)=0),"لا يوجد تسليم قبل الحركة دي",""))))))</f>
        <v/>
      </c>
    </row>
    <row r="769" customFormat="false" ht="15" hidden="false" customHeight="false" outlineLevel="0" collapsed="false">
      <c r="A769" s="20"/>
      <c r="B769" s="35" t="str">
        <f aca="false">IF($A769="","",IFERROR(INDEX(مخرج_البند,MATCH($A769,قائمة_المخرجات,0)),""))</f>
        <v/>
      </c>
      <c r="C769" s="30" t="str">
        <f aca="false">IF($A769="","",IFERROR(INDEX(مخرج_الوصف,MATCH($A769,قائمة_المخرجات,0)),""))</f>
        <v/>
      </c>
      <c r="D769" s="20"/>
      <c r="E769" s="31"/>
      <c r="F769" s="22"/>
      <c r="G769" s="36" t="str">
        <f aca="false">IF(OR($A769="",$D769&lt;&gt;"تسليم",NOT(ISNUMBER($E769))),"",COUNTIFS($A$5:$A$1504,$A769,$D$5:$D$1504,"تسليم",$E$5:$E$1504,"&lt;"&amp;$E769)+1)</f>
        <v/>
      </c>
      <c r="H769" s="33" t="str">
        <f aca="false">IF($G769="","",_xlfn.MINIFS($E$5:$E$1504,$A$5:$A$1504,$A769,$D$5:$D$1504,"&lt;&gt;تسليم",$E$5:$E$1504,"&gt;="&amp;$E769))</f>
        <v/>
      </c>
      <c r="I769" s="33" t="str">
        <f aca="false">IF($G769="","",_xlfn.MINIFS($E$5:$E$1504,$A$5:$A$1504,$A769,$D$5:$D$1504,"تسليم",$E$5:$E$1504,"&gt;"&amp;$E769))</f>
        <v/>
      </c>
      <c r="J769" s="33" t="str">
        <f aca="false">IF($G769="","",IF(H769&gt;0,IF(I769&gt;0,MIN(H769,I769),H769),IF(I769&gt;0,I769,تاريخ_الاحتساب)))</f>
        <v/>
      </c>
      <c r="K769" s="34" t="str">
        <f aca="false">IF($G769="","",IF(AND(H769=0,I769=0),"جارية","مغلقة"))</f>
        <v/>
      </c>
      <c r="L769" s="26" t="str">
        <f aca="false">IF($G769="","",MAX(0,NETWORKDAYS.INTL($E769,J769,رمز_العطلة,أيام_الأجازات)-1))</f>
        <v/>
      </c>
      <c r="M769" s="26" t="str">
        <f aca="false">IF($G769="","",MAX(0,L769-مهلة_المراجعة))</f>
        <v/>
      </c>
      <c r="N769" s="30" t="str">
        <f aca="false">IF($A769="",IF(OR($D769&lt;&gt;"",$E769&lt;&gt;""),"رقم المخرج ناقص",""),IF(ISNA(MATCH($A769,قائمة_المخرجات,0)),"رقم مخرج غير موجود",IF($D769="","نوع الحركة ناقص",IF(NOT(ISNUMBER($E769)),"التاريخ ناقص",IF($E769&gt;تاريخ_الاحتساب,"تاريخ بعد تاريخ الاحتساب",IF(AND($D769&lt;&gt;"تسليم",COUNTIFS($A$5:$A$1504,$A769,$D$5:$D$1504,"تسليم",$E$5:$E$1504,"&lt;="&amp;$E769)=0),"لا يوجد تسليم قبل الحركة دي",""))))))</f>
        <v/>
      </c>
    </row>
    <row r="770" customFormat="false" ht="15" hidden="false" customHeight="false" outlineLevel="0" collapsed="false">
      <c r="A770" s="20"/>
      <c r="B770" s="35" t="str">
        <f aca="false">IF($A770="","",IFERROR(INDEX(مخرج_البند,MATCH($A770,قائمة_المخرجات,0)),""))</f>
        <v/>
      </c>
      <c r="C770" s="30" t="str">
        <f aca="false">IF($A770="","",IFERROR(INDEX(مخرج_الوصف,MATCH($A770,قائمة_المخرجات,0)),""))</f>
        <v/>
      </c>
      <c r="D770" s="20"/>
      <c r="E770" s="31"/>
      <c r="F770" s="22"/>
      <c r="G770" s="36" t="str">
        <f aca="false">IF(OR($A770="",$D770&lt;&gt;"تسليم",NOT(ISNUMBER($E770))),"",COUNTIFS($A$5:$A$1504,$A770,$D$5:$D$1504,"تسليم",$E$5:$E$1504,"&lt;"&amp;$E770)+1)</f>
        <v/>
      </c>
      <c r="H770" s="33" t="str">
        <f aca="false">IF($G770="","",_xlfn.MINIFS($E$5:$E$1504,$A$5:$A$1504,$A770,$D$5:$D$1504,"&lt;&gt;تسليم",$E$5:$E$1504,"&gt;="&amp;$E770))</f>
        <v/>
      </c>
      <c r="I770" s="33" t="str">
        <f aca="false">IF($G770="","",_xlfn.MINIFS($E$5:$E$1504,$A$5:$A$1504,$A770,$D$5:$D$1504,"تسليم",$E$5:$E$1504,"&gt;"&amp;$E770))</f>
        <v/>
      </c>
      <c r="J770" s="33" t="str">
        <f aca="false">IF($G770="","",IF(H770&gt;0,IF(I770&gt;0,MIN(H770,I770),H770),IF(I770&gt;0,I770,تاريخ_الاحتساب)))</f>
        <v/>
      </c>
      <c r="K770" s="34" t="str">
        <f aca="false">IF($G770="","",IF(AND(H770=0,I770=0),"جارية","مغلقة"))</f>
        <v/>
      </c>
      <c r="L770" s="26" t="str">
        <f aca="false">IF($G770="","",MAX(0,NETWORKDAYS.INTL($E770,J770,رمز_العطلة,أيام_الأجازات)-1))</f>
        <v/>
      </c>
      <c r="M770" s="26" t="str">
        <f aca="false">IF($G770="","",MAX(0,L770-مهلة_المراجعة))</f>
        <v/>
      </c>
      <c r="N770" s="30" t="str">
        <f aca="false">IF($A770="",IF(OR($D770&lt;&gt;"",$E770&lt;&gt;""),"رقم المخرج ناقص",""),IF(ISNA(MATCH($A770,قائمة_المخرجات,0)),"رقم مخرج غير موجود",IF($D770="","نوع الحركة ناقص",IF(NOT(ISNUMBER($E770)),"التاريخ ناقص",IF($E770&gt;تاريخ_الاحتساب,"تاريخ بعد تاريخ الاحتساب",IF(AND($D770&lt;&gt;"تسليم",COUNTIFS($A$5:$A$1504,$A770,$D$5:$D$1504,"تسليم",$E$5:$E$1504,"&lt;="&amp;$E770)=0),"لا يوجد تسليم قبل الحركة دي",""))))))</f>
        <v/>
      </c>
    </row>
    <row r="771" customFormat="false" ht="15" hidden="false" customHeight="false" outlineLevel="0" collapsed="false">
      <c r="A771" s="20"/>
      <c r="B771" s="35" t="str">
        <f aca="false">IF($A771="","",IFERROR(INDEX(مخرج_البند,MATCH($A771,قائمة_المخرجات,0)),""))</f>
        <v/>
      </c>
      <c r="C771" s="30" t="str">
        <f aca="false">IF($A771="","",IFERROR(INDEX(مخرج_الوصف,MATCH($A771,قائمة_المخرجات,0)),""))</f>
        <v/>
      </c>
      <c r="D771" s="20"/>
      <c r="E771" s="31"/>
      <c r="F771" s="22"/>
      <c r="G771" s="36" t="str">
        <f aca="false">IF(OR($A771="",$D771&lt;&gt;"تسليم",NOT(ISNUMBER($E771))),"",COUNTIFS($A$5:$A$1504,$A771,$D$5:$D$1504,"تسليم",$E$5:$E$1504,"&lt;"&amp;$E771)+1)</f>
        <v/>
      </c>
      <c r="H771" s="33" t="str">
        <f aca="false">IF($G771="","",_xlfn.MINIFS($E$5:$E$1504,$A$5:$A$1504,$A771,$D$5:$D$1504,"&lt;&gt;تسليم",$E$5:$E$1504,"&gt;="&amp;$E771))</f>
        <v/>
      </c>
      <c r="I771" s="33" t="str">
        <f aca="false">IF($G771="","",_xlfn.MINIFS($E$5:$E$1504,$A$5:$A$1504,$A771,$D$5:$D$1504,"تسليم",$E$5:$E$1504,"&gt;"&amp;$E771))</f>
        <v/>
      </c>
      <c r="J771" s="33" t="str">
        <f aca="false">IF($G771="","",IF(H771&gt;0,IF(I771&gt;0,MIN(H771,I771),H771),IF(I771&gt;0,I771,تاريخ_الاحتساب)))</f>
        <v/>
      </c>
      <c r="K771" s="34" t="str">
        <f aca="false">IF($G771="","",IF(AND(H771=0,I771=0),"جارية","مغلقة"))</f>
        <v/>
      </c>
      <c r="L771" s="26" t="str">
        <f aca="false">IF($G771="","",MAX(0,NETWORKDAYS.INTL($E771,J771,رمز_العطلة,أيام_الأجازات)-1))</f>
        <v/>
      </c>
      <c r="M771" s="26" t="str">
        <f aca="false">IF($G771="","",MAX(0,L771-مهلة_المراجعة))</f>
        <v/>
      </c>
      <c r="N771" s="30" t="str">
        <f aca="false">IF($A771="",IF(OR($D771&lt;&gt;"",$E771&lt;&gt;""),"رقم المخرج ناقص",""),IF(ISNA(MATCH($A771,قائمة_المخرجات,0)),"رقم مخرج غير موجود",IF($D771="","نوع الحركة ناقص",IF(NOT(ISNUMBER($E771)),"التاريخ ناقص",IF($E771&gt;تاريخ_الاحتساب,"تاريخ بعد تاريخ الاحتساب",IF(AND($D771&lt;&gt;"تسليم",COUNTIFS($A$5:$A$1504,$A771,$D$5:$D$1504,"تسليم",$E$5:$E$1504,"&lt;="&amp;$E771)=0),"لا يوجد تسليم قبل الحركة دي",""))))))</f>
        <v/>
      </c>
    </row>
    <row r="772" customFormat="false" ht="15" hidden="false" customHeight="false" outlineLevel="0" collapsed="false">
      <c r="A772" s="20"/>
      <c r="B772" s="35" t="str">
        <f aca="false">IF($A772="","",IFERROR(INDEX(مخرج_البند,MATCH($A772,قائمة_المخرجات,0)),""))</f>
        <v/>
      </c>
      <c r="C772" s="30" t="str">
        <f aca="false">IF($A772="","",IFERROR(INDEX(مخرج_الوصف,MATCH($A772,قائمة_المخرجات,0)),""))</f>
        <v/>
      </c>
      <c r="D772" s="20"/>
      <c r="E772" s="31"/>
      <c r="F772" s="22"/>
      <c r="G772" s="36" t="str">
        <f aca="false">IF(OR($A772="",$D772&lt;&gt;"تسليم",NOT(ISNUMBER($E772))),"",COUNTIFS($A$5:$A$1504,$A772,$D$5:$D$1504,"تسليم",$E$5:$E$1504,"&lt;"&amp;$E772)+1)</f>
        <v/>
      </c>
      <c r="H772" s="33" t="str">
        <f aca="false">IF($G772="","",_xlfn.MINIFS($E$5:$E$1504,$A$5:$A$1504,$A772,$D$5:$D$1504,"&lt;&gt;تسليم",$E$5:$E$1504,"&gt;="&amp;$E772))</f>
        <v/>
      </c>
      <c r="I772" s="33" t="str">
        <f aca="false">IF($G772="","",_xlfn.MINIFS($E$5:$E$1504,$A$5:$A$1504,$A772,$D$5:$D$1504,"تسليم",$E$5:$E$1504,"&gt;"&amp;$E772))</f>
        <v/>
      </c>
      <c r="J772" s="33" t="str">
        <f aca="false">IF($G772="","",IF(H772&gt;0,IF(I772&gt;0,MIN(H772,I772),H772),IF(I772&gt;0,I772,تاريخ_الاحتساب)))</f>
        <v/>
      </c>
      <c r="K772" s="34" t="str">
        <f aca="false">IF($G772="","",IF(AND(H772=0,I772=0),"جارية","مغلقة"))</f>
        <v/>
      </c>
      <c r="L772" s="26" t="str">
        <f aca="false">IF($G772="","",MAX(0,NETWORKDAYS.INTL($E772,J772,رمز_العطلة,أيام_الأجازات)-1))</f>
        <v/>
      </c>
      <c r="M772" s="26" t="str">
        <f aca="false">IF($G772="","",MAX(0,L772-مهلة_المراجعة))</f>
        <v/>
      </c>
      <c r="N772" s="30" t="str">
        <f aca="false">IF($A772="",IF(OR($D772&lt;&gt;"",$E772&lt;&gt;""),"رقم المخرج ناقص",""),IF(ISNA(MATCH($A772,قائمة_المخرجات,0)),"رقم مخرج غير موجود",IF($D772="","نوع الحركة ناقص",IF(NOT(ISNUMBER($E772)),"التاريخ ناقص",IF($E772&gt;تاريخ_الاحتساب,"تاريخ بعد تاريخ الاحتساب",IF(AND($D772&lt;&gt;"تسليم",COUNTIFS($A$5:$A$1504,$A772,$D$5:$D$1504,"تسليم",$E$5:$E$1504,"&lt;="&amp;$E772)=0),"لا يوجد تسليم قبل الحركة دي",""))))))</f>
        <v/>
      </c>
    </row>
    <row r="773" customFormat="false" ht="15" hidden="false" customHeight="false" outlineLevel="0" collapsed="false">
      <c r="A773" s="20"/>
      <c r="B773" s="35" t="str">
        <f aca="false">IF($A773="","",IFERROR(INDEX(مخرج_البند,MATCH($A773,قائمة_المخرجات,0)),""))</f>
        <v/>
      </c>
      <c r="C773" s="30" t="str">
        <f aca="false">IF($A773="","",IFERROR(INDEX(مخرج_الوصف,MATCH($A773,قائمة_المخرجات,0)),""))</f>
        <v/>
      </c>
      <c r="D773" s="20"/>
      <c r="E773" s="31"/>
      <c r="F773" s="22"/>
      <c r="G773" s="36" t="str">
        <f aca="false">IF(OR($A773="",$D773&lt;&gt;"تسليم",NOT(ISNUMBER($E773))),"",COUNTIFS($A$5:$A$1504,$A773,$D$5:$D$1504,"تسليم",$E$5:$E$1504,"&lt;"&amp;$E773)+1)</f>
        <v/>
      </c>
      <c r="H773" s="33" t="str">
        <f aca="false">IF($G773="","",_xlfn.MINIFS($E$5:$E$1504,$A$5:$A$1504,$A773,$D$5:$D$1504,"&lt;&gt;تسليم",$E$5:$E$1504,"&gt;="&amp;$E773))</f>
        <v/>
      </c>
      <c r="I773" s="33" t="str">
        <f aca="false">IF($G773="","",_xlfn.MINIFS($E$5:$E$1504,$A$5:$A$1504,$A773,$D$5:$D$1504,"تسليم",$E$5:$E$1504,"&gt;"&amp;$E773))</f>
        <v/>
      </c>
      <c r="J773" s="33" t="str">
        <f aca="false">IF($G773="","",IF(H773&gt;0,IF(I773&gt;0,MIN(H773,I773),H773),IF(I773&gt;0,I773,تاريخ_الاحتساب)))</f>
        <v/>
      </c>
      <c r="K773" s="34" t="str">
        <f aca="false">IF($G773="","",IF(AND(H773=0,I773=0),"جارية","مغلقة"))</f>
        <v/>
      </c>
      <c r="L773" s="26" t="str">
        <f aca="false">IF($G773="","",MAX(0,NETWORKDAYS.INTL($E773,J773,رمز_العطلة,أيام_الأجازات)-1))</f>
        <v/>
      </c>
      <c r="M773" s="26" t="str">
        <f aca="false">IF($G773="","",MAX(0,L773-مهلة_المراجعة))</f>
        <v/>
      </c>
      <c r="N773" s="30" t="str">
        <f aca="false">IF($A773="",IF(OR($D773&lt;&gt;"",$E773&lt;&gt;""),"رقم المخرج ناقص",""),IF(ISNA(MATCH($A773,قائمة_المخرجات,0)),"رقم مخرج غير موجود",IF($D773="","نوع الحركة ناقص",IF(NOT(ISNUMBER($E773)),"التاريخ ناقص",IF($E773&gt;تاريخ_الاحتساب,"تاريخ بعد تاريخ الاحتساب",IF(AND($D773&lt;&gt;"تسليم",COUNTIFS($A$5:$A$1504,$A773,$D$5:$D$1504,"تسليم",$E$5:$E$1504,"&lt;="&amp;$E773)=0),"لا يوجد تسليم قبل الحركة دي",""))))))</f>
        <v/>
      </c>
    </row>
    <row r="774" customFormat="false" ht="15" hidden="false" customHeight="false" outlineLevel="0" collapsed="false">
      <c r="A774" s="20"/>
      <c r="B774" s="35" t="str">
        <f aca="false">IF($A774="","",IFERROR(INDEX(مخرج_البند,MATCH($A774,قائمة_المخرجات,0)),""))</f>
        <v/>
      </c>
      <c r="C774" s="30" t="str">
        <f aca="false">IF($A774="","",IFERROR(INDEX(مخرج_الوصف,MATCH($A774,قائمة_المخرجات,0)),""))</f>
        <v/>
      </c>
      <c r="D774" s="20"/>
      <c r="E774" s="31"/>
      <c r="F774" s="22"/>
      <c r="G774" s="36" t="str">
        <f aca="false">IF(OR($A774="",$D774&lt;&gt;"تسليم",NOT(ISNUMBER($E774))),"",COUNTIFS($A$5:$A$1504,$A774,$D$5:$D$1504,"تسليم",$E$5:$E$1504,"&lt;"&amp;$E774)+1)</f>
        <v/>
      </c>
      <c r="H774" s="33" t="str">
        <f aca="false">IF($G774="","",_xlfn.MINIFS($E$5:$E$1504,$A$5:$A$1504,$A774,$D$5:$D$1504,"&lt;&gt;تسليم",$E$5:$E$1504,"&gt;="&amp;$E774))</f>
        <v/>
      </c>
      <c r="I774" s="33" t="str">
        <f aca="false">IF($G774="","",_xlfn.MINIFS($E$5:$E$1504,$A$5:$A$1504,$A774,$D$5:$D$1504,"تسليم",$E$5:$E$1504,"&gt;"&amp;$E774))</f>
        <v/>
      </c>
      <c r="J774" s="33" t="str">
        <f aca="false">IF($G774="","",IF(H774&gt;0,IF(I774&gt;0,MIN(H774,I774),H774),IF(I774&gt;0,I774,تاريخ_الاحتساب)))</f>
        <v/>
      </c>
      <c r="K774" s="34" t="str">
        <f aca="false">IF($G774="","",IF(AND(H774=0,I774=0),"جارية","مغلقة"))</f>
        <v/>
      </c>
      <c r="L774" s="26" t="str">
        <f aca="false">IF($G774="","",MAX(0,NETWORKDAYS.INTL($E774,J774,رمز_العطلة,أيام_الأجازات)-1))</f>
        <v/>
      </c>
      <c r="M774" s="26" t="str">
        <f aca="false">IF($G774="","",MAX(0,L774-مهلة_المراجعة))</f>
        <v/>
      </c>
      <c r="N774" s="30" t="str">
        <f aca="false">IF($A774="",IF(OR($D774&lt;&gt;"",$E774&lt;&gt;""),"رقم المخرج ناقص",""),IF(ISNA(MATCH($A774,قائمة_المخرجات,0)),"رقم مخرج غير موجود",IF($D774="","نوع الحركة ناقص",IF(NOT(ISNUMBER($E774)),"التاريخ ناقص",IF($E774&gt;تاريخ_الاحتساب,"تاريخ بعد تاريخ الاحتساب",IF(AND($D774&lt;&gt;"تسليم",COUNTIFS($A$5:$A$1504,$A774,$D$5:$D$1504,"تسليم",$E$5:$E$1504,"&lt;="&amp;$E774)=0),"لا يوجد تسليم قبل الحركة دي",""))))))</f>
        <v/>
      </c>
    </row>
    <row r="775" customFormat="false" ht="15" hidden="false" customHeight="false" outlineLevel="0" collapsed="false">
      <c r="A775" s="20"/>
      <c r="B775" s="35" t="str">
        <f aca="false">IF($A775="","",IFERROR(INDEX(مخرج_البند,MATCH($A775,قائمة_المخرجات,0)),""))</f>
        <v/>
      </c>
      <c r="C775" s="30" t="str">
        <f aca="false">IF($A775="","",IFERROR(INDEX(مخرج_الوصف,MATCH($A775,قائمة_المخرجات,0)),""))</f>
        <v/>
      </c>
      <c r="D775" s="20"/>
      <c r="E775" s="31"/>
      <c r="F775" s="22"/>
      <c r="G775" s="36" t="str">
        <f aca="false">IF(OR($A775="",$D775&lt;&gt;"تسليم",NOT(ISNUMBER($E775))),"",COUNTIFS($A$5:$A$1504,$A775,$D$5:$D$1504,"تسليم",$E$5:$E$1504,"&lt;"&amp;$E775)+1)</f>
        <v/>
      </c>
      <c r="H775" s="33" t="str">
        <f aca="false">IF($G775="","",_xlfn.MINIFS($E$5:$E$1504,$A$5:$A$1504,$A775,$D$5:$D$1504,"&lt;&gt;تسليم",$E$5:$E$1504,"&gt;="&amp;$E775))</f>
        <v/>
      </c>
      <c r="I775" s="33" t="str">
        <f aca="false">IF($G775="","",_xlfn.MINIFS($E$5:$E$1504,$A$5:$A$1504,$A775,$D$5:$D$1504,"تسليم",$E$5:$E$1504,"&gt;"&amp;$E775))</f>
        <v/>
      </c>
      <c r="J775" s="33" t="str">
        <f aca="false">IF($G775="","",IF(H775&gt;0,IF(I775&gt;0,MIN(H775,I775),H775),IF(I775&gt;0,I775,تاريخ_الاحتساب)))</f>
        <v/>
      </c>
      <c r="K775" s="34" t="str">
        <f aca="false">IF($G775="","",IF(AND(H775=0,I775=0),"جارية","مغلقة"))</f>
        <v/>
      </c>
      <c r="L775" s="26" t="str">
        <f aca="false">IF($G775="","",MAX(0,NETWORKDAYS.INTL($E775,J775,رمز_العطلة,أيام_الأجازات)-1))</f>
        <v/>
      </c>
      <c r="M775" s="26" t="str">
        <f aca="false">IF($G775="","",MAX(0,L775-مهلة_المراجعة))</f>
        <v/>
      </c>
      <c r="N775" s="30" t="str">
        <f aca="false">IF($A775="",IF(OR($D775&lt;&gt;"",$E775&lt;&gt;""),"رقم المخرج ناقص",""),IF(ISNA(MATCH($A775,قائمة_المخرجات,0)),"رقم مخرج غير موجود",IF($D775="","نوع الحركة ناقص",IF(NOT(ISNUMBER($E775)),"التاريخ ناقص",IF($E775&gt;تاريخ_الاحتساب,"تاريخ بعد تاريخ الاحتساب",IF(AND($D775&lt;&gt;"تسليم",COUNTIFS($A$5:$A$1504,$A775,$D$5:$D$1504,"تسليم",$E$5:$E$1504,"&lt;="&amp;$E775)=0),"لا يوجد تسليم قبل الحركة دي",""))))))</f>
        <v/>
      </c>
    </row>
    <row r="776" customFormat="false" ht="15" hidden="false" customHeight="false" outlineLevel="0" collapsed="false">
      <c r="A776" s="20"/>
      <c r="B776" s="35" t="str">
        <f aca="false">IF($A776="","",IFERROR(INDEX(مخرج_البند,MATCH($A776,قائمة_المخرجات,0)),""))</f>
        <v/>
      </c>
      <c r="C776" s="30" t="str">
        <f aca="false">IF($A776="","",IFERROR(INDEX(مخرج_الوصف,MATCH($A776,قائمة_المخرجات,0)),""))</f>
        <v/>
      </c>
      <c r="D776" s="20"/>
      <c r="E776" s="31"/>
      <c r="F776" s="22"/>
      <c r="G776" s="36" t="str">
        <f aca="false">IF(OR($A776="",$D776&lt;&gt;"تسليم",NOT(ISNUMBER($E776))),"",COUNTIFS($A$5:$A$1504,$A776,$D$5:$D$1504,"تسليم",$E$5:$E$1504,"&lt;"&amp;$E776)+1)</f>
        <v/>
      </c>
      <c r="H776" s="33" t="str">
        <f aca="false">IF($G776="","",_xlfn.MINIFS($E$5:$E$1504,$A$5:$A$1504,$A776,$D$5:$D$1504,"&lt;&gt;تسليم",$E$5:$E$1504,"&gt;="&amp;$E776))</f>
        <v/>
      </c>
      <c r="I776" s="33" t="str">
        <f aca="false">IF($G776="","",_xlfn.MINIFS($E$5:$E$1504,$A$5:$A$1504,$A776,$D$5:$D$1504,"تسليم",$E$5:$E$1504,"&gt;"&amp;$E776))</f>
        <v/>
      </c>
      <c r="J776" s="33" t="str">
        <f aca="false">IF($G776="","",IF(H776&gt;0,IF(I776&gt;0,MIN(H776,I776),H776),IF(I776&gt;0,I776,تاريخ_الاحتساب)))</f>
        <v/>
      </c>
      <c r="K776" s="34" t="str">
        <f aca="false">IF($G776="","",IF(AND(H776=0,I776=0),"جارية","مغلقة"))</f>
        <v/>
      </c>
      <c r="L776" s="26" t="str">
        <f aca="false">IF($G776="","",MAX(0,NETWORKDAYS.INTL($E776,J776,رمز_العطلة,أيام_الأجازات)-1))</f>
        <v/>
      </c>
      <c r="M776" s="26" t="str">
        <f aca="false">IF($G776="","",MAX(0,L776-مهلة_المراجعة))</f>
        <v/>
      </c>
      <c r="N776" s="30" t="str">
        <f aca="false">IF($A776="",IF(OR($D776&lt;&gt;"",$E776&lt;&gt;""),"رقم المخرج ناقص",""),IF(ISNA(MATCH($A776,قائمة_المخرجات,0)),"رقم مخرج غير موجود",IF($D776="","نوع الحركة ناقص",IF(NOT(ISNUMBER($E776)),"التاريخ ناقص",IF($E776&gt;تاريخ_الاحتساب,"تاريخ بعد تاريخ الاحتساب",IF(AND($D776&lt;&gt;"تسليم",COUNTIFS($A$5:$A$1504,$A776,$D$5:$D$1504,"تسليم",$E$5:$E$1504,"&lt;="&amp;$E776)=0),"لا يوجد تسليم قبل الحركة دي",""))))))</f>
        <v/>
      </c>
    </row>
    <row r="777" customFormat="false" ht="15" hidden="false" customHeight="false" outlineLevel="0" collapsed="false">
      <c r="A777" s="20"/>
      <c r="B777" s="35" t="str">
        <f aca="false">IF($A777="","",IFERROR(INDEX(مخرج_البند,MATCH($A777,قائمة_المخرجات,0)),""))</f>
        <v/>
      </c>
      <c r="C777" s="30" t="str">
        <f aca="false">IF($A777="","",IFERROR(INDEX(مخرج_الوصف,MATCH($A777,قائمة_المخرجات,0)),""))</f>
        <v/>
      </c>
      <c r="D777" s="20"/>
      <c r="E777" s="31"/>
      <c r="F777" s="22"/>
      <c r="G777" s="36" t="str">
        <f aca="false">IF(OR($A777="",$D777&lt;&gt;"تسليم",NOT(ISNUMBER($E777))),"",COUNTIFS($A$5:$A$1504,$A777,$D$5:$D$1504,"تسليم",$E$5:$E$1504,"&lt;"&amp;$E777)+1)</f>
        <v/>
      </c>
      <c r="H777" s="33" t="str">
        <f aca="false">IF($G777="","",_xlfn.MINIFS($E$5:$E$1504,$A$5:$A$1504,$A777,$D$5:$D$1504,"&lt;&gt;تسليم",$E$5:$E$1504,"&gt;="&amp;$E777))</f>
        <v/>
      </c>
      <c r="I777" s="33" t="str">
        <f aca="false">IF($G777="","",_xlfn.MINIFS($E$5:$E$1504,$A$5:$A$1504,$A777,$D$5:$D$1504,"تسليم",$E$5:$E$1504,"&gt;"&amp;$E777))</f>
        <v/>
      </c>
      <c r="J777" s="33" t="str">
        <f aca="false">IF($G777="","",IF(H777&gt;0,IF(I777&gt;0,MIN(H777,I777),H777),IF(I777&gt;0,I777,تاريخ_الاحتساب)))</f>
        <v/>
      </c>
      <c r="K777" s="34" t="str">
        <f aca="false">IF($G777="","",IF(AND(H777=0,I777=0),"جارية","مغلقة"))</f>
        <v/>
      </c>
      <c r="L777" s="26" t="str">
        <f aca="false">IF($G777="","",MAX(0,NETWORKDAYS.INTL($E777,J777,رمز_العطلة,أيام_الأجازات)-1))</f>
        <v/>
      </c>
      <c r="M777" s="26" t="str">
        <f aca="false">IF($G777="","",MAX(0,L777-مهلة_المراجعة))</f>
        <v/>
      </c>
      <c r="N777" s="30" t="str">
        <f aca="false">IF($A777="",IF(OR($D777&lt;&gt;"",$E777&lt;&gt;""),"رقم المخرج ناقص",""),IF(ISNA(MATCH($A777,قائمة_المخرجات,0)),"رقم مخرج غير موجود",IF($D777="","نوع الحركة ناقص",IF(NOT(ISNUMBER($E777)),"التاريخ ناقص",IF($E777&gt;تاريخ_الاحتساب,"تاريخ بعد تاريخ الاحتساب",IF(AND($D777&lt;&gt;"تسليم",COUNTIFS($A$5:$A$1504,$A777,$D$5:$D$1504,"تسليم",$E$5:$E$1504,"&lt;="&amp;$E777)=0),"لا يوجد تسليم قبل الحركة دي",""))))))</f>
        <v/>
      </c>
    </row>
    <row r="778" customFormat="false" ht="15" hidden="false" customHeight="false" outlineLevel="0" collapsed="false">
      <c r="A778" s="20"/>
      <c r="B778" s="35" t="str">
        <f aca="false">IF($A778="","",IFERROR(INDEX(مخرج_البند,MATCH($A778,قائمة_المخرجات,0)),""))</f>
        <v/>
      </c>
      <c r="C778" s="30" t="str">
        <f aca="false">IF($A778="","",IFERROR(INDEX(مخرج_الوصف,MATCH($A778,قائمة_المخرجات,0)),""))</f>
        <v/>
      </c>
      <c r="D778" s="20"/>
      <c r="E778" s="31"/>
      <c r="F778" s="22"/>
      <c r="G778" s="36" t="str">
        <f aca="false">IF(OR($A778="",$D778&lt;&gt;"تسليم",NOT(ISNUMBER($E778))),"",COUNTIFS($A$5:$A$1504,$A778,$D$5:$D$1504,"تسليم",$E$5:$E$1504,"&lt;"&amp;$E778)+1)</f>
        <v/>
      </c>
      <c r="H778" s="33" t="str">
        <f aca="false">IF($G778="","",_xlfn.MINIFS($E$5:$E$1504,$A$5:$A$1504,$A778,$D$5:$D$1504,"&lt;&gt;تسليم",$E$5:$E$1504,"&gt;="&amp;$E778))</f>
        <v/>
      </c>
      <c r="I778" s="33" t="str">
        <f aca="false">IF($G778="","",_xlfn.MINIFS($E$5:$E$1504,$A$5:$A$1504,$A778,$D$5:$D$1504,"تسليم",$E$5:$E$1504,"&gt;"&amp;$E778))</f>
        <v/>
      </c>
      <c r="J778" s="33" t="str">
        <f aca="false">IF($G778="","",IF(H778&gt;0,IF(I778&gt;0,MIN(H778,I778),H778),IF(I778&gt;0,I778,تاريخ_الاحتساب)))</f>
        <v/>
      </c>
      <c r="K778" s="34" t="str">
        <f aca="false">IF($G778="","",IF(AND(H778=0,I778=0),"جارية","مغلقة"))</f>
        <v/>
      </c>
      <c r="L778" s="26" t="str">
        <f aca="false">IF($G778="","",MAX(0,NETWORKDAYS.INTL($E778,J778,رمز_العطلة,أيام_الأجازات)-1))</f>
        <v/>
      </c>
      <c r="M778" s="26" t="str">
        <f aca="false">IF($G778="","",MAX(0,L778-مهلة_المراجعة))</f>
        <v/>
      </c>
      <c r="N778" s="30" t="str">
        <f aca="false">IF($A778="",IF(OR($D778&lt;&gt;"",$E778&lt;&gt;""),"رقم المخرج ناقص",""),IF(ISNA(MATCH($A778,قائمة_المخرجات,0)),"رقم مخرج غير موجود",IF($D778="","نوع الحركة ناقص",IF(NOT(ISNUMBER($E778)),"التاريخ ناقص",IF($E778&gt;تاريخ_الاحتساب,"تاريخ بعد تاريخ الاحتساب",IF(AND($D778&lt;&gt;"تسليم",COUNTIFS($A$5:$A$1504,$A778,$D$5:$D$1504,"تسليم",$E$5:$E$1504,"&lt;="&amp;$E778)=0),"لا يوجد تسليم قبل الحركة دي",""))))))</f>
        <v/>
      </c>
    </row>
    <row r="779" customFormat="false" ht="15" hidden="false" customHeight="false" outlineLevel="0" collapsed="false">
      <c r="A779" s="20"/>
      <c r="B779" s="35" t="str">
        <f aca="false">IF($A779="","",IFERROR(INDEX(مخرج_البند,MATCH($A779,قائمة_المخرجات,0)),""))</f>
        <v/>
      </c>
      <c r="C779" s="30" t="str">
        <f aca="false">IF($A779="","",IFERROR(INDEX(مخرج_الوصف,MATCH($A779,قائمة_المخرجات,0)),""))</f>
        <v/>
      </c>
      <c r="D779" s="20"/>
      <c r="E779" s="31"/>
      <c r="F779" s="22"/>
      <c r="G779" s="36" t="str">
        <f aca="false">IF(OR($A779="",$D779&lt;&gt;"تسليم",NOT(ISNUMBER($E779))),"",COUNTIFS($A$5:$A$1504,$A779,$D$5:$D$1504,"تسليم",$E$5:$E$1504,"&lt;"&amp;$E779)+1)</f>
        <v/>
      </c>
      <c r="H779" s="33" t="str">
        <f aca="false">IF($G779="","",_xlfn.MINIFS($E$5:$E$1504,$A$5:$A$1504,$A779,$D$5:$D$1504,"&lt;&gt;تسليم",$E$5:$E$1504,"&gt;="&amp;$E779))</f>
        <v/>
      </c>
      <c r="I779" s="33" t="str">
        <f aca="false">IF($G779="","",_xlfn.MINIFS($E$5:$E$1504,$A$5:$A$1504,$A779,$D$5:$D$1504,"تسليم",$E$5:$E$1504,"&gt;"&amp;$E779))</f>
        <v/>
      </c>
      <c r="J779" s="33" t="str">
        <f aca="false">IF($G779="","",IF(H779&gt;0,IF(I779&gt;0,MIN(H779,I779),H779),IF(I779&gt;0,I779,تاريخ_الاحتساب)))</f>
        <v/>
      </c>
      <c r="K779" s="34" t="str">
        <f aca="false">IF($G779="","",IF(AND(H779=0,I779=0),"جارية","مغلقة"))</f>
        <v/>
      </c>
      <c r="L779" s="26" t="str">
        <f aca="false">IF($G779="","",MAX(0,NETWORKDAYS.INTL($E779,J779,رمز_العطلة,أيام_الأجازات)-1))</f>
        <v/>
      </c>
      <c r="M779" s="26" t="str">
        <f aca="false">IF($G779="","",MAX(0,L779-مهلة_المراجعة))</f>
        <v/>
      </c>
      <c r="N779" s="30" t="str">
        <f aca="false">IF($A779="",IF(OR($D779&lt;&gt;"",$E779&lt;&gt;""),"رقم المخرج ناقص",""),IF(ISNA(MATCH($A779,قائمة_المخرجات,0)),"رقم مخرج غير موجود",IF($D779="","نوع الحركة ناقص",IF(NOT(ISNUMBER($E779)),"التاريخ ناقص",IF($E779&gt;تاريخ_الاحتساب,"تاريخ بعد تاريخ الاحتساب",IF(AND($D779&lt;&gt;"تسليم",COUNTIFS($A$5:$A$1504,$A779,$D$5:$D$1504,"تسليم",$E$5:$E$1504,"&lt;="&amp;$E779)=0),"لا يوجد تسليم قبل الحركة دي",""))))))</f>
        <v/>
      </c>
    </row>
    <row r="780" customFormat="false" ht="15" hidden="false" customHeight="false" outlineLevel="0" collapsed="false">
      <c r="A780" s="20"/>
      <c r="B780" s="35" t="str">
        <f aca="false">IF($A780="","",IFERROR(INDEX(مخرج_البند,MATCH($A780,قائمة_المخرجات,0)),""))</f>
        <v/>
      </c>
      <c r="C780" s="30" t="str">
        <f aca="false">IF($A780="","",IFERROR(INDEX(مخرج_الوصف,MATCH($A780,قائمة_المخرجات,0)),""))</f>
        <v/>
      </c>
      <c r="D780" s="20"/>
      <c r="E780" s="31"/>
      <c r="F780" s="22"/>
      <c r="G780" s="36" t="str">
        <f aca="false">IF(OR($A780="",$D780&lt;&gt;"تسليم",NOT(ISNUMBER($E780))),"",COUNTIFS($A$5:$A$1504,$A780,$D$5:$D$1504,"تسليم",$E$5:$E$1504,"&lt;"&amp;$E780)+1)</f>
        <v/>
      </c>
      <c r="H780" s="33" t="str">
        <f aca="false">IF($G780="","",_xlfn.MINIFS($E$5:$E$1504,$A$5:$A$1504,$A780,$D$5:$D$1504,"&lt;&gt;تسليم",$E$5:$E$1504,"&gt;="&amp;$E780))</f>
        <v/>
      </c>
      <c r="I780" s="33" t="str">
        <f aca="false">IF($G780="","",_xlfn.MINIFS($E$5:$E$1504,$A$5:$A$1504,$A780,$D$5:$D$1504,"تسليم",$E$5:$E$1504,"&gt;"&amp;$E780))</f>
        <v/>
      </c>
      <c r="J780" s="33" t="str">
        <f aca="false">IF($G780="","",IF(H780&gt;0,IF(I780&gt;0,MIN(H780,I780),H780),IF(I780&gt;0,I780,تاريخ_الاحتساب)))</f>
        <v/>
      </c>
      <c r="K780" s="34" t="str">
        <f aca="false">IF($G780="","",IF(AND(H780=0,I780=0),"جارية","مغلقة"))</f>
        <v/>
      </c>
      <c r="L780" s="26" t="str">
        <f aca="false">IF($G780="","",MAX(0,NETWORKDAYS.INTL($E780,J780,رمز_العطلة,أيام_الأجازات)-1))</f>
        <v/>
      </c>
      <c r="M780" s="26" t="str">
        <f aca="false">IF($G780="","",MAX(0,L780-مهلة_المراجعة))</f>
        <v/>
      </c>
      <c r="N780" s="30" t="str">
        <f aca="false">IF($A780="",IF(OR($D780&lt;&gt;"",$E780&lt;&gt;""),"رقم المخرج ناقص",""),IF(ISNA(MATCH($A780,قائمة_المخرجات,0)),"رقم مخرج غير موجود",IF($D780="","نوع الحركة ناقص",IF(NOT(ISNUMBER($E780)),"التاريخ ناقص",IF($E780&gt;تاريخ_الاحتساب,"تاريخ بعد تاريخ الاحتساب",IF(AND($D780&lt;&gt;"تسليم",COUNTIFS($A$5:$A$1504,$A780,$D$5:$D$1504,"تسليم",$E$5:$E$1504,"&lt;="&amp;$E780)=0),"لا يوجد تسليم قبل الحركة دي",""))))))</f>
        <v/>
      </c>
    </row>
    <row r="781" customFormat="false" ht="15" hidden="false" customHeight="false" outlineLevel="0" collapsed="false">
      <c r="A781" s="20"/>
      <c r="B781" s="35" t="str">
        <f aca="false">IF($A781="","",IFERROR(INDEX(مخرج_البند,MATCH($A781,قائمة_المخرجات,0)),""))</f>
        <v/>
      </c>
      <c r="C781" s="30" t="str">
        <f aca="false">IF($A781="","",IFERROR(INDEX(مخرج_الوصف,MATCH($A781,قائمة_المخرجات,0)),""))</f>
        <v/>
      </c>
      <c r="D781" s="20"/>
      <c r="E781" s="31"/>
      <c r="F781" s="22"/>
      <c r="G781" s="36" t="str">
        <f aca="false">IF(OR($A781="",$D781&lt;&gt;"تسليم",NOT(ISNUMBER($E781))),"",COUNTIFS($A$5:$A$1504,$A781,$D$5:$D$1504,"تسليم",$E$5:$E$1504,"&lt;"&amp;$E781)+1)</f>
        <v/>
      </c>
      <c r="H781" s="33" t="str">
        <f aca="false">IF($G781="","",_xlfn.MINIFS($E$5:$E$1504,$A$5:$A$1504,$A781,$D$5:$D$1504,"&lt;&gt;تسليم",$E$5:$E$1504,"&gt;="&amp;$E781))</f>
        <v/>
      </c>
      <c r="I781" s="33" t="str">
        <f aca="false">IF($G781="","",_xlfn.MINIFS($E$5:$E$1504,$A$5:$A$1504,$A781,$D$5:$D$1504,"تسليم",$E$5:$E$1504,"&gt;"&amp;$E781))</f>
        <v/>
      </c>
      <c r="J781" s="33" t="str">
        <f aca="false">IF($G781="","",IF(H781&gt;0,IF(I781&gt;0,MIN(H781,I781),H781),IF(I781&gt;0,I781,تاريخ_الاحتساب)))</f>
        <v/>
      </c>
      <c r="K781" s="34" t="str">
        <f aca="false">IF($G781="","",IF(AND(H781=0,I781=0),"جارية","مغلقة"))</f>
        <v/>
      </c>
      <c r="L781" s="26" t="str">
        <f aca="false">IF($G781="","",MAX(0,NETWORKDAYS.INTL($E781,J781,رمز_العطلة,أيام_الأجازات)-1))</f>
        <v/>
      </c>
      <c r="M781" s="26" t="str">
        <f aca="false">IF($G781="","",MAX(0,L781-مهلة_المراجعة))</f>
        <v/>
      </c>
      <c r="N781" s="30" t="str">
        <f aca="false">IF($A781="",IF(OR($D781&lt;&gt;"",$E781&lt;&gt;""),"رقم المخرج ناقص",""),IF(ISNA(MATCH($A781,قائمة_المخرجات,0)),"رقم مخرج غير موجود",IF($D781="","نوع الحركة ناقص",IF(NOT(ISNUMBER($E781)),"التاريخ ناقص",IF($E781&gt;تاريخ_الاحتساب,"تاريخ بعد تاريخ الاحتساب",IF(AND($D781&lt;&gt;"تسليم",COUNTIFS($A$5:$A$1504,$A781,$D$5:$D$1504,"تسليم",$E$5:$E$1504,"&lt;="&amp;$E781)=0),"لا يوجد تسليم قبل الحركة دي",""))))))</f>
        <v/>
      </c>
    </row>
    <row r="782" customFormat="false" ht="15" hidden="false" customHeight="false" outlineLevel="0" collapsed="false">
      <c r="A782" s="20"/>
      <c r="B782" s="35" t="str">
        <f aca="false">IF($A782="","",IFERROR(INDEX(مخرج_البند,MATCH($A782,قائمة_المخرجات,0)),""))</f>
        <v/>
      </c>
      <c r="C782" s="30" t="str">
        <f aca="false">IF($A782="","",IFERROR(INDEX(مخرج_الوصف,MATCH($A782,قائمة_المخرجات,0)),""))</f>
        <v/>
      </c>
      <c r="D782" s="20"/>
      <c r="E782" s="31"/>
      <c r="F782" s="22"/>
      <c r="G782" s="36" t="str">
        <f aca="false">IF(OR($A782="",$D782&lt;&gt;"تسليم",NOT(ISNUMBER($E782))),"",COUNTIFS($A$5:$A$1504,$A782,$D$5:$D$1504,"تسليم",$E$5:$E$1504,"&lt;"&amp;$E782)+1)</f>
        <v/>
      </c>
      <c r="H782" s="33" t="str">
        <f aca="false">IF($G782="","",_xlfn.MINIFS($E$5:$E$1504,$A$5:$A$1504,$A782,$D$5:$D$1504,"&lt;&gt;تسليم",$E$5:$E$1504,"&gt;="&amp;$E782))</f>
        <v/>
      </c>
      <c r="I782" s="33" t="str">
        <f aca="false">IF($G782="","",_xlfn.MINIFS($E$5:$E$1504,$A$5:$A$1504,$A782,$D$5:$D$1504,"تسليم",$E$5:$E$1504,"&gt;"&amp;$E782))</f>
        <v/>
      </c>
      <c r="J782" s="33" t="str">
        <f aca="false">IF($G782="","",IF(H782&gt;0,IF(I782&gt;0,MIN(H782,I782),H782),IF(I782&gt;0,I782,تاريخ_الاحتساب)))</f>
        <v/>
      </c>
      <c r="K782" s="34" t="str">
        <f aca="false">IF($G782="","",IF(AND(H782=0,I782=0),"جارية","مغلقة"))</f>
        <v/>
      </c>
      <c r="L782" s="26" t="str">
        <f aca="false">IF($G782="","",MAX(0,NETWORKDAYS.INTL($E782,J782,رمز_العطلة,أيام_الأجازات)-1))</f>
        <v/>
      </c>
      <c r="M782" s="26" t="str">
        <f aca="false">IF($G782="","",MAX(0,L782-مهلة_المراجعة))</f>
        <v/>
      </c>
      <c r="N782" s="30" t="str">
        <f aca="false">IF($A782="",IF(OR($D782&lt;&gt;"",$E782&lt;&gt;""),"رقم المخرج ناقص",""),IF(ISNA(MATCH($A782,قائمة_المخرجات,0)),"رقم مخرج غير موجود",IF($D782="","نوع الحركة ناقص",IF(NOT(ISNUMBER($E782)),"التاريخ ناقص",IF($E782&gt;تاريخ_الاحتساب,"تاريخ بعد تاريخ الاحتساب",IF(AND($D782&lt;&gt;"تسليم",COUNTIFS($A$5:$A$1504,$A782,$D$5:$D$1504,"تسليم",$E$5:$E$1504,"&lt;="&amp;$E782)=0),"لا يوجد تسليم قبل الحركة دي",""))))))</f>
        <v/>
      </c>
    </row>
    <row r="783" customFormat="false" ht="15" hidden="false" customHeight="false" outlineLevel="0" collapsed="false">
      <c r="A783" s="20"/>
      <c r="B783" s="35" t="str">
        <f aca="false">IF($A783="","",IFERROR(INDEX(مخرج_البند,MATCH($A783,قائمة_المخرجات,0)),""))</f>
        <v/>
      </c>
      <c r="C783" s="30" t="str">
        <f aca="false">IF($A783="","",IFERROR(INDEX(مخرج_الوصف,MATCH($A783,قائمة_المخرجات,0)),""))</f>
        <v/>
      </c>
      <c r="D783" s="20"/>
      <c r="E783" s="31"/>
      <c r="F783" s="22"/>
      <c r="G783" s="36" t="str">
        <f aca="false">IF(OR($A783="",$D783&lt;&gt;"تسليم",NOT(ISNUMBER($E783))),"",COUNTIFS($A$5:$A$1504,$A783,$D$5:$D$1504,"تسليم",$E$5:$E$1504,"&lt;"&amp;$E783)+1)</f>
        <v/>
      </c>
      <c r="H783" s="33" t="str">
        <f aca="false">IF($G783="","",_xlfn.MINIFS($E$5:$E$1504,$A$5:$A$1504,$A783,$D$5:$D$1504,"&lt;&gt;تسليم",$E$5:$E$1504,"&gt;="&amp;$E783))</f>
        <v/>
      </c>
      <c r="I783" s="33" t="str">
        <f aca="false">IF($G783="","",_xlfn.MINIFS($E$5:$E$1504,$A$5:$A$1504,$A783,$D$5:$D$1504,"تسليم",$E$5:$E$1504,"&gt;"&amp;$E783))</f>
        <v/>
      </c>
      <c r="J783" s="33" t="str">
        <f aca="false">IF($G783="","",IF(H783&gt;0,IF(I783&gt;0,MIN(H783,I783),H783),IF(I783&gt;0,I783,تاريخ_الاحتساب)))</f>
        <v/>
      </c>
      <c r="K783" s="34" t="str">
        <f aca="false">IF($G783="","",IF(AND(H783=0,I783=0),"جارية","مغلقة"))</f>
        <v/>
      </c>
      <c r="L783" s="26" t="str">
        <f aca="false">IF($G783="","",MAX(0,NETWORKDAYS.INTL($E783,J783,رمز_العطلة,أيام_الأجازات)-1))</f>
        <v/>
      </c>
      <c r="M783" s="26" t="str">
        <f aca="false">IF($G783="","",MAX(0,L783-مهلة_المراجعة))</f>
        <v/>
      </c>
      <c r="N783" s="30" t="str">
        <f aca="false">IF($A783="",IF(OR($D783&lt;&gt;"",$E783&lt;&gt;""),"رقم المخرج ناقص",""),IF(ISNA(MATCH($A783,قائمة_المخرجات,0)),"رقم مخرج غير موجود",IF($D783="","نوع الحركة ناقص",IF(NOT(ISNUMBER($E783)),"التاريخ ناقص",IF($E783&gt;تاريخ_الاحتساب,"تاريخ بعد تاريخ الاحتساب",IF(AND($D783&lt;&gt;"تسليم",COUNTIFS($A$5:$A$1504,$A783,$D$5:$D$1504,"تسليم",$E$5:$E$1504,"&lt;="&amp;$E783)=0),"لا يوجد تسليم قبل الحركة دي",""))))))</f>
        <v/>
      </c>
    </row>
    <row r="784" customFormat="false" ht="15" hidden="false" customHeight="false" outlineLevel="0" collapsed="false">
      <c r="A784" s="20"/>
      <c r="B784" s="35" t="str">
        <f aca="false">IF($A784="","",IFERROR(INDEX(مخرج_البند,MATCH($A784,قائمة_المخرجات,0)),""))</f>
        <v/>
      </c>
      <c r="C784" s="30" t="str">
        <f aca="false">IF($A784="","",IFERROR(INDEX(مخرج_الوصف,MATCH($A784,قائمة_المخرجات,0)),""))</f>
        <v/>
      </c>
      <c r="D784" s="20"/>
      <c r="E784" s="31"/>
      <c r="F784" s="22"/>
      <c r="G784" s="36" t="str">
        <f aca="false">IF(OR($A784="",$D784&lt;&gt;"تسليم",NOT(ISNUMBER($E784))),"",COUNTIFS($A$5:$A$1504,$A784,$D$5:$D$1504,"تسليم",$E$5:$E$1504,"&lt;"&amp;$E784)+1)</f>
        <v/>
      </c>
      <c r="H784" s="33" t="str">
        <f aca="false">IF($G784="","",_xlfn.MINIFS($E$5:$E$1504,$A$5:$A$1504,$A784,$D$5:$D$1504,"&lt;&gt;تسليم",$E$5:$E$1504,"&gt;="&amp;$E784))</f>
        <v/>
      </c>
      <c r="I784" s="33" t="str">
        <f aca="false">IF($G784="","",_xlfn.MINIFS($E$5:$E$1504,$A$5:$A$1504,$A784,$D$5:$D$1504,"تسليم",$E$5:$E$1504,"&gt;"&amp;$E784))</f>
        <v/>
      </c>
      <c r="J784" s="33" t="str">
        <f aca="false">IF($G784="","",IF(H784&gt;0,IF(I784&gt;0,MIN(H784,I784),H784),IF(I784&gt;0,I784,تاريخ_الاحتساب)))</f>
        <v/>
      </c>
      <c r="K784" s="34" t="str">
        <f aca="false">IF($G784="","",IF(AND(H784=0,I784=0),"جارية","مغلقة"))</f>
        <v/>
      </c>
      <c r="L784" s="26" t="str">
        <f aca="false">IF($G784="","",MAX(0,NETWORKDAYS.INTL($E784,J784,رمز_العطلة,أيام_الأجازات)-1))</f>
        <v/>
      </c>
      <c r="M784" s="26" t="str">
        <f aca="false">IF($G784="","",MAX(0,L784-مهلة_المراجعة))</f>
        <v/>
      </c>
      <c r="N784" s="30" t="str">
        <f aca="false">IF($A784="",IF(OR($D784&lt;&gt;"",$E784&lt;&gt;""),"رقم المخرج ناقص",""),IF(ISNA(MATCH($A784,قائمة_المخرجات,0)),"رقم مخرج غير موجود",IF($D784="","نوع الحركة ناقص",IF(NOT(ISNUMBER($E784)),"التاريخ ناقص",IF($E784&gt;تاريخ_الاحتساب,"تاريخ بعد تاريخ الاحتساب",IF(AND($D784&lt;&gt;"تسليم",COUNTIFS($A$5:$A$1504,$A784,$D$5:$D$1504,"تسليم",$E$5:$E$1504,"&lt;="&amp;$E784)=0),"لا يوجد تسليم قبل الحركة دي",""))))))</f>
        <v/>
      </c>
    </row>
    <row r="785" customFormat="false" ht="15" hidden="false" customHeight="false" outlineLevel="0" collapsed="false">
      <c r="A785" s="20"/>
      <c r="B785" s="35" t="str">
        <f aca="false">IF($A785="","",IFERROR(INDEX(مخرج_البند,MATCH($A785,قائمة_المخرجات,0)),""))</f>
        <v/>
      </c>
      <c r="C785" s="30" t="str">
        <f aca="false">IF($A785="","",IFERROR(INDEX(مخرج_الوصف,MATCH($A785,قائمة_المخرجات,0)),""))</f>
        <v/>
      </c>
      <c r="D785" s="20"/>
      <c r="E785" s="31"/>
      <c r="F785" s="22"/>
      <c r="G785" s="36" t="str">
        <f aca="false">IF(OR($A785="",$D785&lt;&gt;"تسليم",NOT(ISNUMBER($E785))),"",COUNTIFS($A$5:$A$1504,$A785,$D$5:$D$1504,"تسليم",$E$5:$E$1504,"&lt;"&amp;$E785)+1)</f>
        <v/>
      </c>
      <c r="H785" s="33" t="str">
        <f aca="false">IF($G785="","",_xlfn.MINIFS($E$5:$E$1504,$A$5:$A$1504,$A785,$D$5:$D$1504,"&lt;&gt;تسليم",$E$5:$E$1504,"&gt;="&amp;$E785))</f>
        <v/>
      </c>
      <c r="I785" s="33" t="str">
        <f aca="false">IF($G785="","",_xlfn.MINIFS($E$5:$E$1504,$A$5:$A$1504,$A785,$D$5:$D$1504,"تسليم",$E$5:$E$1504,"&gt;"&amp;$E785))</f>
        <v/>
      </c>
      <c r="J785" s="33" t="str">
        <f aca="false">IF($G785="","",IF(H785&gt;0,IF(I785&gt;0,MIN(H785,I785),H785),IF(I785&gt;0,I785,تاريخ_الاحتساب)))</f>
        <v/>
      </c>
      <c r="K785" s="34" t="str">
        <f aca="false">IF($G785="","",IF(AND(H785=0,I785=0),"جارية","مغلقة"))</f>
        <v/>
      </c>
      <c r="L785" s="26" t="str">
        <f aca="false">IF($G785="","",MAX(0,NETWORKDAYS.INTL($E785,J785,رمز_العطلة,أيام_الأجازات)-1))</f>
        <v/>
      </c>
      <c r="M785" s="26" t="str">
        <f aca="false">IF($G785="","",MAX(0,L785-مهلة_المراجعة))</f>
        <v/>
      </c>
      <c r="N785" s="30" t="str">
        <f aca="false">IF($A785="",IF(OR($D785&lt;&gt;"",$E785&lt;&gt;""),"رقم المخرج ناقص",""),IF(ISNA(MATCH($A785,قائمة_المخرجات,0)),"رقم مخرج غير موجود",IF($D785="","نوع الحركة ناقص",IF(NOT(ISNUMBER($E785)),"التاريخ ناقص",IF($E785&gt;تاريخ_الاحتساب,"تاريخ بعد تاريخ الاحتساب",IF(AND($D785&lt;&gt;"تسليم",COUNTIFS($A$5:$A$1504,$A785,$D$5:$D$1504,"تسليم",$E$5:$E$1504,"&lt;="&amp;$E785)=0),"لا يوجد تسليم قبل الحركة دي",""))))))</f>
        <v/>
      </c>
    </row>
    <row r="786" customFormat="false" ht="15" hidden="false" customHeight="false" outlineLevel="0" collapsed="false">
      <c r="A786" s="20"/>
      <c r="B786" s="35" t="str">
        <f aca="false">IF($A786="","",IFERROR(INDEX(مخرج_البند,MATCH($A786,قائمة_المخرجات,0)),""))</f>
        <v/>
      </c>
      <c r="C786" s="30" t="str">
        <f aca="false">IF($A786="","",IFERROR(INDEX(مخرج_الوصف,MATCH($A786,قائمة_المخرجات,0)),""))</f>
        <v/>
      </c>
      <c r="D786" s="20"/>
      <c r="E786" s="31"/>
      <c r="F786" s="22"/>
      <c r="G786" s="36" t="str">
        <f aca="false">IF(OR($A786="",$D786&lt;&gt;"تسليم",NOT(ISNUMBER($E786))),"",COUNTIFS($A$5:$A$1504,$A786,$D$5:$D$1504,"تسليم",$E$5:$E$1504,"&lt;"&amp;$E786)+1)</f>
        <v/>
      </c>
      <c r="H786" s="33" t="str">
        <f aca="false">IF($G786="","",_xlfn.MINIFS($E$5:$E$1504,$A$5:$A$1504,$A786,$D$5:$D$1504,"&lt;&gt;تسليم",$E$5:$E$1504,"&gt;="&amp;$E786))</f>
        <v/>
      </c>
      <c r="I786" s="33" t="str">
        <f aca="false">IF($G786="","",_xlfn.MINIFS($E$5:$E$1504,$A$5:$A$1504,$A786,$D$5:$D$1504,"تسليم",$E$5:$E$1504,"&gt;"&amp;$E786))</f>
        <v/>
      </c>
      <c r="J786" s="33" t="str">
        <f aca="false">IF($G786="","",IF(H786&gt;0,IF(I786&gt;0,MIN(H786,I786),H786),IF(I786&gt;0,I786,تاريخ_الاحتساب)))</f>
        <v/>
      </c>
      <c r="K786" s="34" t="str">
        <f aca="false">IF($G786="","",IF(AND(H786=0,I786=0),"جارية","مغلقة"))</f>
        <v/>
      </c>
      <c r="L786" s="26" t="str">
        <f aca="false">IF($G786="","",MAX(0,NETWORKDAYS.INTL($E786,J786,رمز_العطلة,أيام_الأجازات)-1))</f>
        <v/>
      </c>
      <c r="M786" s="26" t="str">
        <f aca="false">IF($G786="","",MAX(0,L786-مهلة_المراجعة))</f>
        <v/>
      </c>
      <c r="N786" s="30" t="str">
        <f aca="false">IF($A786="",IF(OR($D786&lt;&gt;"",$E786&lt;&gt;""),"رقم المخرج ناقص",""),IF(ISNA(MATCH($A786,قائمة_المخرجات,0)),"رقم مخرج غير موجود",IF($D786="","نوع الحركة ناقص",IF(NOT(ISNUMBER($E786)),"التاريخ ناقص",IF($E786&gt;تاريخ_الاحتساب,"تاريخ بعد تاريخ الاحتساب",IF(AND($D786&lt;&gt;"تسليم",COUNTIFS($A$5:$A$1504,$A786,$D$5:$D$1504,"تسليم",$E$5:$E$1504,"&lt;="&amp;$E786)=0),"لا يوجد تسليم قبل الحركة دي",""))))))</f>
        <v/>
      </c>
    </row>
    <row r="787" customFormat="false" ht="15" hidden="false" customHeight="false" outlineLevel="0" collapsed="false">
      <c r="A787" s="20"/>
      <c r="B787" s="35" t="str">
        <f aca="false">IF($A787="","",IFERROR(INDEX(مخرج_البند,MATCH($A787,قائمة_المخرجات,0)),""))</f>
        <v/>
      </c>
      <c r="C787" s="30" t="str">
        <f aca="false">IF($A787="","",IFERROR(INDEX(مخرج_الوصف,MATCH($A787,قائمة_المخرجات,0)),""))</f>
        <v/>
      </c>
      <c r="D787" s="20"/>
      <c r="E787" s="31"/>
      <c r="F787" s="22"/>
      <c r="G787" s="36" t="str">
        <f aca="false">IF(OR($A787="",$D787&lt;&gt;"تسليم",NOT(ISNUMBER($E787))),"",COUNTIFS($A$5:$A$1504,$A787,$D$5:$D$1504,"تسليم",$E$5:$E$1504,"&lt;"&amp;$E787)+1)</f>
        <v/>
      </c>
      <c r="H787" s="33" t="str">
        <f aca="false">IF($G787="","",_xlfn.MINIFS($E$5:$E$1504,$A$5:$A$1504,$A787,$D$5:$D$1504,"&lt;&gt;تسليم",$E$5:$E$1504,"&gt;="&amp;$E787))</f>
        <v/>
      </c>
      <c r="I787" s="33" t="str">
        <f aca="false">IF($G787="","",_xlfn.MINIFS($E$5:$E$1504,$A$5:$A$1504,$A787,$D$5:$D$1504,"تسليم",$E$5:$E$1504,"&gt;"&amp;$E787))</f>
        <v/>
      </c>
      <c r="J787" s="33" t="str">
        <f aca="false">IF($G787="","",IF(H787&gt;0,IF(I787&gt;0,MIN(H787,I787),H787),IF(I787&gt;0,I787,تاريخ_الاحتساب)))</f>
        <v/>
      </c>
      <c r="K787" s="34" t="str">
        <f aca="false">IF($G787="","",IF(AND(H787=0,I787=0),"جارية","مغلقة"))</f>
        <v/>
      </c>
      <c r="L787" s="26" t="str">
        <f aca="false">IF($G787="","",MAX(0,NETWORKDAYS.INTL($E787,J787,رمز_العطلة,أيام_الأجازات)-1))</f>
        <v/>
      </c>
      <c r="M787" s="26" t="str">
        <f aca="false">IF($G787="","",MAX(0,L787-مهلة_المراجعة))</f>
        <v/>
      </c>
      <c r="N787" s="30" t="str">
        <f aca="false">IF($A787="",IF(OR($D787&lt;&gt;"",$E787&lt;&gt;""),"رقم المخرج ناقص",""),IF(ISNA(MATCH($A787,قائمة_المخرجات,0)),"رقم مخرج غير موجود",IF($D787="","نوع الحركة ناقص",IF(NOT(ISNUMBER($E787)),"التاريخ ناقص",IF($E787&gt;تاريخ_الاحتساب,"تاريخ بعد تاريخ الاحتساب",IF(AND($D787&lt;&gt;"تسليم",COUNTIFS($A$5:$A$1504,$A787,$D$5:$D$1504,"تسليم",$E$5:$E$1504,"&lt;="&amp;$E787)=0),"لا يوجد تسليم قبل الحركة دي",""))))))</f>
        <v/>
      </c>
    </row>
    <row r="788" customFormat="false" ht="15" hidden="false" customHeight="false" outlineLevel="0" collapsed="false">
      <c r="A788" s="20"/>
      <c r="B788" s="35" t="str">
        <f aca="false">IF($A788="","",IFERROR(INDEX(مخرج_البند,MATCH($A788,قائمة_المخرجات,0)),""))</f>
        <v/>
      </c>
      <c r="C788" s="30" t="str">
        <f aca="false">IF($A788="","",IFERROR(INDEX(مخرج_الوصف,MATCH($A788,قائمة_المخرجات,0)),""))</f>
        <v/>
      </c>
      <c r="D788" s="20"/>
      <c r="E788" s="31"/>
      <c r="F788" s="22"/>
      <c r="G788" s="36" t="str">
        <f aca="false">IF(OR($A788="",$D788&lt;&gt;"تسليم",NOT(ISNUMBER($E788))),"",COUNTIFS($A$5:$A$1504,$A788,$D$5:$D$1504,"تسليم",$E$5:$E$1504,"&lt;"&amp;$E788)+1)</f>
        <v/>
      </c>
      <c r="H788" s="33" t="str">
        <f aca="false">IF($G788="","",_xlfn.MINIFS($E$5:$E$1504,$A$5:$A$1504,$A788,$D$5:$D$1504,"&lt;&gt;تسليم",$E$5:$E$1504,"&gt;="&amp;$E788))</f>
        <v/>
      </c>
      <c r="I788" s="33" t="str">
        <f aca="false">IF($G788="","",_xlfn.MINIFS($E$5:$E$1504,$A$5:$A$1504,$A788,$D$5:$D$1504,"تسليم",$E$5:$E$1504,"&gt;"&amp;$E788))</f>
        <v/>
      </c>
      <c r="J788" s="33" t="str">
        <f aca="false">IF($G788="","",IF(H788&gt;0,IF(I788&gt;0,MIN(H788,I788),H788),IF(I788&gt;0,I788,تاريخ_الاحتساب)))</f>
        <v/>
      </c>
      <c r="K788" s="34" t="str">
        <f aca="false">IF($G788="","",IF(AND(H788=0,I788=0),"جارية","مغلقة"))</f>
        <v/>
      </c>
      <c r="L788" s="26" t="str">
        <f aca="false">IF($G788="","",MAX(0,NETWORKDAYS.INTL($E788,J788,رمز_العطلة,أيام_الأجازات)-1))</f>
        <v/>
      </c>
      <c r="M788" s="26" t="str">
        <f aca="false">IF($G788="","",MAX(0,L788-مهلة_المراجعة))</f>
        <v/>
      </c>
      <c r="N788" s="30" t="str">
        <f aca="false">IF($A788="",IF(OR($D788&lt;&gt;"",$E788&lt;&gt;""),"رقم المخرج ناقص",""),IF(ISNA(MATCH($A788,قائمة_المخرجات,0)),"رقم مخرج غير موجود",IF($D788="","نوع الحركة ناقص",IF(NOT(ISNUMBER($E788)),"التاريخ ناقص",IF($E788&gt;تاريخ_الاحتساب,"تاريخ بعد تاريخ الاحتساب",IF(AND($D788&lt;&gt;"تسليم",COUNTIFS($A$5:$A$1504,$A788,$D$5:$D$1504,"تسليم",$E$5:$E$1504,"&lt;="&amp;$E788)=0),"لا يوجد تسليم قبل الحركة دي",""))))))</f>
        <v/>
      </c>
    </row>
    <row r="789" customFormat="false" ht="15" hidden="false" customHeight="false" outlineLevel="0" collapsed="false">
      <c r="A789" s="20"/>
      <c r="B789" s="35" t="str">
        <f aca="false">IF($A789="","",IFERROR(INDEX(مخرج_البند,MATCH($A789,قائمة_المخرجات,0)),""))</f>
        <v/>
      </c>
      <c r="C789" s="30" t="str">
        <f aca="false">IF($A789="","",IFERROR(INDEX(مخرج_الوصف,MATCH($A789,قائمة_المخرجات,0)),""))</f>
        <v/>
      </c>
      <c r="D789" s="20"/>
      <c r="E789" s="31"/>
      <c r="F789" s="22"/>
      <c r="G789" s="36" t="str">
        <f aca="false">IF(OR($A789="",$D789&lt;&gt;"تسليم",NOT(ISNUMBER($E789))),"",COUNTIFS($A$5:$A$1504,$A789,$D$5:$D$1504,"تسليم",$E$5:$E$1504,"&lt;"&amp;$E789)+1)</f>
        <v/>
      </c>
      <c r="H789" s="33" t="str">
        <f aca="false">IF($G789="","",_xlfn.MINIFS($E$5:$E$1504,$A$5:$A$1504,$A789,$D$5:$D$1504,"&lt;&gt;تسليم",$E$5:$E$1504,"&gt;="&amp;$E789))</f>
        <v/>
      </c>
      <c r="I789" s="33" t="str">
        <f aca="false">IF($G789="","",_xlfn.MINIFS($E$5:$E$1504,$A$5:$A$1504,$A789,$D$5:$D$1504,"تسليم",$E$5:$E$1504,"&gt;"&amp;$E789))</f>
        <v/>
      </c>
      <c r="J789" s="33" t="str">
        <f aca="false">IF($G789="","",IF(H789&gt;0,IF(I789&gt;0,MIN(H789,I789),H789),IF(I789&gt;0,I789,تاريخ_الاحتساب)))</f>
        <v/>
      </c>
      <c r="K789" s="34" t="str">
        <f aca="false">IF($G789="","",IF(AND(H789=0,I789=0),"جارية","مغلقة"))</f>
        <v/>
      </c>
      <c r="L789" s="26" t="str">
        <f aca="false">IF($G789="","",MAX(0,NETWORKDAYS.INTL($E789,J789,رمز_العطلة,أيام_الأجازات)-1))</f>
        <v/>
      </c>
      <c r="M789" s="26" t="str">
        <f aca="false">IF($G789="","",MAX(0,L789-مهلة_المراجعة))</f>
        <v/>
      </c>
      <c r="N789" s="30" t="str">
        <f aca="false">IF($A789="",IF(OR($D789&lt;&gt;"",$E789&lt;&gt;""),"رقم المخرج ناقص",""),IF(ISNA(MATCH($A789,قائمة_المخرجات,0)),"رقم مخرج غير موجود",IF($D789="","نوع الحركة ناقص",IF(NOT(ISNUMBER($E789)),"التاريخ ناقص",IF($E789&gt;تاريخ_الاحتساب,"تاريخ بعد تاريخ الاحتساب",IF(AND($D789&lt;&gt;"تسليم",COUNTIFS($A$5:$A$1504,$A789,$D$5:$D$1504,"تسليم",$E$5:$E$1504,"&lt;="&amp;$E789)=0),"لا يوجد تسليم قبل الحركة دي",""))))))</f>
        <v/>
      </c>
    </row>
    <row r="790" customFormat="false" ht="15" hidden="false" customHeight="false" outlineLevel="0" collapsed="false">
      <c r="A790" s="20"/>
      <c r="B790" s="35" t="str">
        <f aca="false">IF($A790="","",IFERROR(INDEX(مخرج_البند,MATCH($A790,قائمة_المخرجات,0)),""))</f>
        <v/>
      </c>
      <c r="C790" s="30" t="str">
        <f aca="false">IF($A790="","",IFERROR(INDEX(مخرج_الوصف,MATCH($A790,قائمة_المخرجات,0)),""))</f>
        <v/>
      </c>
      <c r="D790" s="20"/>
      <c r="E790" s="31"/>
      <c r="F790" s="22"/>
      <c r="G790" s="36" t="str">
        <f aca="false">IF(OR($A790="",$D790&lt;&gt;"تسليم",NOT(ISNUMBER($E790))),"",COUNTIFS($A$5:$A$1504,$A790,$D$5:$D$1504,"تسليم",$E$5:$E$1504,"&lt;"&amp;$E790)+1)</f>
        <v/>
      </c>
      <c r="H790" s="33" t="str">
        <f aca="false">IF($G790="","",_xlfn.MINIFS($E$5:$E$1504,$A$5:$A$1504,$A790,$D$5:$D$1504,"&lt;&gt;تسليم",$E$5:$E$1504,"&gt;="&amp;$E790))</f>
        <v/>
      </c>
      <c r="I790" s="33" t="str">
        <f aca="false">IF($G790="","",_xlfn.MINIFS($E$5:$E$1504,$A$5:$A$1504,$A790,$D$5:$D$1504,"تسليم",$E$5:$E$1504,"&gt;"&amp;$E790))</f>
        <v/>
      </c>
      <c r="J790" s="33" t="str">
        <f aca="false">IF($G790="","",IF(H790&gt;0,IF(I790&gt;0,MIN(H790,I790),H790),IF(I790&gt;0,I790,تاريخ_الاحتساب)))</f>
        <v/>
      </c>
      <c r="K790" s="34" t="str">
        <f aca="false">IF($G790="","",IF(AND(H790=0,I790=0),"جارية","مغلقة"))</f>
        <v/>
      </c>
      <c r="L790" s="26" t="str">
        <f aca="false">IF($G790="","",MAX(0,NETWORKDAYS.INTL($E790,J790,رمز_العطلة,أيام_الأجازات)-1))</f>
        <v/>
      </c>
      <c r="M790" s="26" t="str">
        <f aca="false">IF($G790="","",MAX(0,L790-مهلة_المراجعة))</f>
        <v/>
      </c>
      <c r="N790" s="30" t="str">
        <f aca="false">IF($A790="",IF(OR($D790&lt;&gt;"",$E790&lt;&gt;""),"رقم المخرج ناقص",""),IF(ISNA(MATCH($A790,قائمة_المخرجات,0)),"رقم مخرج غير موجود",IF($D790="","نوع الحركة ناقص",IF(NOT(ISNUMBER($E790)),"التاريخ ناقص",IF($E790&gt;تاريخ_الاحتساب,"تاريخ بعد تاريخ الاحتساب",IF(AND($D790&lt;&gt;"تسليم",COUNTIFS($A$5:$A$1504,$A790,$D$5:$D$1504,"تسليم",$E$5:$E$1504,"&lt;="&amp;$E790)=0),"لا يوجد تسليم قبل الحركة دي",""))))))</f>
        <v/>
      </c>
    </row>
    <row r="791" customFormat="false" ht="15" hidden="false" customHeight="false" outlineLevel="0" collapsed="false">
      <c r="A791" s="20"/>
      <c r="B791" s="35" t="str">
        <f aca="false">IF($A791="","",IFERROR(INDEX(مخرج_البند,MATCH($A791,قائمة_المخرجات,0)),""))</f>
        <v/>
      </c>
      <c r="C791" s="30" t="str">
        <f aca="false">IF($A791="","",IFERROR(INDEX(مخرج_الوصف,MATCH($A791,قائمة_المخرجات,0)),""))</f>
        <v/>
      </c>
      <c r="D791" s="20"/>
      <c r="E791" s="31"/>
      <c r="F791" s="22"/>
      <c r="G791" s="36" t="str">
        <f aca="false">IF(OR($A791="",$D791&lt;&gt;"تسليم",NOT(ISNUMBER($E791))),"",COUNTIFS($A$5:$A$1504,$A791,$D$5:$D$1504,"تسليم",$E$5:$E$1504,"&lt;"&amp;$E791)+1)</f>
        <v/>
      </c>
      <c r="H791" s="33" t="str">
        <f aca="false">IF($G791="","",_xlfn.MINIFS($E$5:$E$1504,$A$5:$A$1504,$A791,$D$5:$D$1504,"&lt;&gt;تسليم",$E$5:$E$1504,"&gt;="&amp;$E791))</f>
        <v/>
      </c>
      <c r="I791" s="33" t="str">
        <f aca="false">IF($G791="","",_xlfn.MINIFS($E$5:$E$1504,$A$5:$A$1504,$A791,$D$5:$D$1504,"تسليم",$E$5:$E$1504,"&gt;"&amp;$E791))</f>
        <v/>
      </c>
      <c r="J791" s="33" t="str">
        <f aca="false">IF($G791="","",IF(H791&gt;0,IF(I791&gt;0,MIN(H791,I791),H791),IF(I791&gt;0,I791,تاريخ_الاحتساب)))</f>
        <v/>
      </c>
      <c r="K791" s="34" t="str">
        <f aca="false">IF($G791="","",IF(AND(H791=0,I791=0),"جارية","مغلقة"))</f>
        <v/>
      </c>
      <c r="L791" s="26" t="str">
        <f aca="false">IF($G791="","",MAX(0,NETWORKDAYS.INTL($E791,J791,رمز_العطلة,أيام_الأجازات)-1))</f>
        <v/>
      </c>
      <c r="M791" s="26" t="str">
        <f aca="false">IF($G791="","",MAX(0,L791-مهلة_المراجعة))</f>
        <v/>
      </c>
      <c r="N791" s="30" t="str">
        <f aca="false">IF($A791="",IF(OR($D791&lt;&gt;"",$E791&lt;&gt;""),"رقم المخرج ناقص",""),IF(ISNA(MATCH($A791,قائمة_المخرجات,0)),"رقم مخرج غير موجود",IF($D791="","نوع الحركة ناقص",IF(NOT(ISNUMBER($E791)),"التاريخ ناقص",IF($E791&gt;تاريخ_الاحتساب,"تاريخ بعد تاريخ الاحتساب",IF(AND($D791&lt;&gt;"تسليم",COUNTIFS($A$5:$A$1504,$A791,$D$5:$D$1504,"تسليم",$E$5:$E$1504,"&lt;="&amp;$E791)=0),"لا يوجد تسليم قبل الحركة دي",""))))))</f>
        <v/>
      </c>
    </row>
    <row r="792" customFormat="false" ht="15" hidden="false" customHeight="false" outlineLevel="0" collapsed="false">
      <c r="A792" s="20"/>
      <c r="B792" s="35" t="str">
        <f aca="false">IF($A792="","",IFERROR(INDEX(مخرج_البند,MATCH($A792,قائمة_المخرجات,0)),""))</f>
        <v/>
      </c>
      <c r="C792" s="30" t="str">
        <f aca="false">IF($A792="","",IFERROR(INDEX(مخرج_الوصف,MATCH($A792,قائمة_المخرجات,0)),""))</f>
        <v/>
      </c>
      <c r="D792" s="20"/>
      <c r="E792" s="31"/>
      <c r="F792" s="22"/>
      <c r="G792" s="36" t="str">
        <f aca="false">IF(OR($A792="",$D792&lt;&gt;"تسليم",NOT(ISNUMBER($E792))),"",COUNTIFS($A$5:$A$1504,$A792,$D$5:$D$1504,"تسليم",$E$5:$E$1504,"&lt;"&amp;$E792)+1)</f>
        <v/>
      </c>
      <c r="H792" s="33" t="str">
        <f aca="false">IF($G792="","",_xlfn.MINIFS($E$5:$E$1504,$A$5:$A$1504,$A792,$D$5:$D$1504,"&lt;&gt;تسليم",$E$5:$E$1504,"&gt;="&amp;$E792))</f>
        <v/>
      </c>
      <c r="I792" s="33" t="str">
        <f aca="false">IF($G792="","",_xlfn.MINIFS($E$5:$E$1504,$A$5:$A$1504,$A792,$D$5:$D$1504,"تسليم",$E$5:$E$1504,"&gt;"&amp;$E792))</f>
        <v/>
      </c>
      <c r="J792" s="33" t="str">
        <f aca="false">IF($G792="","",IF(H792&gt;0,IF(I792&gt;0,MIN(H792,I792),H792),IF(I792&gt;0,I792,تاريخ_الاحتساب)))</f>
        <v/>
      </c>
      <c r="K792" s="34" t="str">
        <f aca="false">IF($G792="","",IF(AND(H792=0,I792=0),"جارية","مغلقة"))</f>
        <v/>
      </c>
      <c r="L792" s="26" t="str">
        <f aca="false">IF($G792="","",MAX(0,NETWORKDAYS.INTL($E792,J792,رمز_العطلة,أيام_الأجازات)-1))</f>
        <v/>
      </c>
      <c r="M792" s="26" t="str">
        <f aca="false">IF($G792="","",MAX(0,L792-مهلة_المراجعة))</f>
        <v/>
      </c>
      <c r="N792" s="30" t="str">
        <f aca="false">IF($A792="",IF(OR($D792&lt;&gt;"",$E792&lt;&gt;""),"رقم المخرج ناقص",""),IF(ISNA(MATCH($A792,قائمة_المخرجات,0)),"رقم مخرج غير موجود",IF($D792="","نوع الحركة ناقص",IF(NOT(ISNUMBER($E792)),"التاريخ ناقص",IF($E792&gt;تاريخ_الاحتساب,"تاريخ بعد تاريخ الاحتساب",IF(AND($D792&lt;&gt;"تسليم",COUNTIFS($A$5:$A$1504,$A792,$D$5:$D$1504,"تسليم",$E$5:$E$1504,"&lt;="&amp;$E792)=0),"لا يوجد تسليم قبل الحركة دي",""))))))</f>
        <v/>
      </c>
    </row>
    <row r="793" customFormat="false" ht="15" hidden="false" customHeight="false" outlineLevel="0" collapsed="false">
      <c r="A793" s="20"/>
      <c r="B793" s="35" t="str">
        <f aca="false">IF($A793="","",IFERROR(INDEX(مخرج_البند,MATCH($A793,قائمة_المخرجات,0)),""))</f>
        <v/>
      </c>
      <c r="C793" s="30" t="str">
        <f aca="false">IF($A793="","",IFERROR(INDEX(مخرج_الوصف,MATCH($A793,قائمة_المخرجات,0)),""))</f>
        <v/>
      </c>
      <c r="D793" s="20"/>
      <c r="E793" s="31"/>
      <c r="F793" s="22"/>
      <c r="G793" s="36" t="str">
        <f aca="false">IF(OR($A793="",$D793&lt;&gt;"تسليم",NOT(ISNUMBER($E793))),"",COUNTIFS($A$5:$A$1504,$A793,$D$5:$D$1504,"تسليم",$E$5:$E$1504,"&lt;"&amp;$E793)+1)</f>
        <v/>
      </c>
      <c r="H793" s="33" t="str">
        <f aca="false">IF($G793="","",_xlfn.MINIFS($E$5:$E$1504,$A$5:$A$1504,$A793,$D$5:$D$1504,"&lt;&gt;تسليم",$E$5:$E$1504,"&gt;="&amp;$E793))</f>
        <v/>
      </c>
      <c r="I793" s="33" t="str">
        <f aca="false">IF($G793="","",_xlfn.MINIFS($E$5:$E$1504,$A$5:$A$1504,$A793,$D$5:$D$1504,"تسليم",$E$5:$E$1504,"&gt;"&amp;$E793))</f>
        <v/>
      </c>
      <c r="J793" s="33" t="str">
        <f aca="false">IF($G793="","",IF(H793&gt;0,IF(I793&gt;0,MIN(H793,I793),H793),IF(I793&gt;0,I793,تاريخ_الاحتساب)))</f>
        <v/>
      </c>
      <c r="K793" s="34" t="str">
        <f aca="false">IF($G793="","",IF(AND(H793=0,I793=0),"جارية","مغلقة"))</f>
        <v/>
      </c>
      <c r="L793" s="26" t="str">
        <f aca="false">IF($G793="","",MAX(0,NETWORKDAYS.INTL($E793,J793,رمز_العطلة,أيام_الأجازات)-1))</f>
        <v/>
      </c>
      <c r="M793" s="26" t="str">
        <f aca="false">IF($G793="","",MAX(0,L793-مهلة_المراجعة))</f>
        <v/>
      </c>
      <c r="N793" s="30" t="str">
        <f aca="false">IF($A793="",IF(OR($D793&lt;&gt;"",$E793&lt;&gt;""),"رقم المخرج ناقص",""),IF(ISNA(MATCH($A793,قائمة_المخرجات,0)),"رقم مخرج غير موجود",IF($D793="","نوع الحركة ناقص",IF(NOT(ISNUMBER($E793)),"التاريخ ناقص",IF($E793&gt;تاريخ_الاحتساب,"تاريخ بعد تاريخ الاحتساب",IF(AND($D793&lt;&gt;"تسليم",COUNTIFS($A$5:$A$1504,$A793,$D$5:$D$1504,"تسليم",$E$5:$E$1504,"&lt;="&amp;$E793)=0),"لا يوجد تسليم قبل الحركة دي",""))))))</f>
        <v/>
      </c>
    </row>
    <row r="794" customFormat="false" ht="15" hidden="false" customHeight="false" outlineLevel="0" collapsed="false">
      <c r="A794" s="20"/>
      <c r="B794" s="35" t="str">
        <f aca="false">IF($A794="","",IFERROR(INDEX(مخرج_البند,MATCH($A794,قائمة_المخرجات,0)),""))</f>
        <v/>
      </c>
      <c r="C794" s="30" t="str">
        <f aca="false">IF($A794="","",IFERROR(INDEX(مخرج_الوصف,MATCH($A794,قائمة_المخرجات,0)),""))</f>
        <v/>
      </c>
      <c r="D794" s="20"/>
      <c r="E794" s="31"/>
      <c r="F794" s="22"/>
      <c r="G794" s="36" t="str">
        <f aca="false">IF(OR($A794="",$D794&lt;&gt;"تسليم",NOT(ISNUMBER($E794))),"",COUNTIFS($A$5:$A$1504,$A794,$D$5:$D$1504,"تسليم",$E$5:$E$1504,"&lt;"&amp;$E794)+1)</f>
        <v/>
      </c>
      <c r="H794" s="33" t="str">
        <f aca="false">IF($G794="","",_xlfn.MINIFS($E$5:$E$1504,$A$5:$A$1504,$A794,$D$5:$D$1504,"&lt;&gt;تسليم",$E$5:$E$1504,"&gt;="&amp;$E794))</f>
        <v/>
      </c>
      <c r="I794" s="33" t="str">
        <f aca="false">IF($G794="","",_xlfn.MINIFS($E$5:$E$1504,$A$5:$A$1504,$A794,$D$5:$D$1504,"تسليم",$E$5:$E$1504,"&gt;"&amp;$E794))</f>
        <v/>
      </c>
      <c r="J794" s="33" t="str">
        <f aca="false">IF($G794="","",IF(H794&gt;0,IF(I794&gt;0,MIN(H794,I794),H794),IF(I794&gt;0,I794,تاريخ_الاحتساب)))</f>
        <v/>
      </c>
      <c r="K794" s="34" t="str">
        <f aca="false">IF($G794="","",IF(AND(H794=0,I794=0),"جارية","مغلقة"))</f>
        <v/>
      </c>
      <c r="L794" s="26" t="str">
        <f aca="false">IF($G794="","",MAX(0,NETWORKDAYS.INTL($E794,J794,رمز_العطلة,أيام_الأجازات)-1))</f>
        <v/>
      </c>
      <c r="M794" s="26" t="str">
        <f aca="false">IF($G794="","",MAX(0,L794-مهلة_المراجعة))</f>
        <v/>
      </c>
      <c r="N794" s="30" t="str">
        <f aca="false">IF($A794="",IF(OR($D794&lt;&gt;"",$E794&lt;&gt;""),"رقم المخرج ناقص",""),IF(ISNA(MATCH($A794,قائمة_المخرجات,0)),"رقم مخرج غير موجود",IF($D794="","نوع الحركة ناقص",IF(NOT(ISNUMBER($E794)),"التاريخ ناقص",IF($E794&gt;تاريخ_الاحتساب,"تاريخ بعد تاريخ الاحتساب",IF(AND($D794&lt;&gt;"تسليم",COUNTIFS($A$5:$A$1504,$A794,$D$5:$D$1504,"تسليم",$E$5:$E$1504,"&lt;="&amp;$E794)=0),"لا يوجد تسليم قبل الحركة دي",""))))))</f>
        <v/>
      </c>
    </row>
    <row r="795" customFormat="false" ht="15" hidden="false" customHeight="false" outlineLevel="0" collapsed="false">
      <c r="A795" s="20"/>
      <c r="B795" s="35" t="str">
        <f aca="false">IF($A795="","",IFERROR(INDEX(مخرج_البند,MATCH($A795,قائمة_المخرجات,0)),""))</f>
        <v/>
      </c>
      <c r="C795" s="30" t="str">
        <f aca="false">IF($A795="","",IFERROR(INDEX(مخرج_الوصف,MATCH($A795,قائمة_المخرجات,0)),""))</f>
        <v/>
      </c>
      <c r="D795" s="20"/>
      <c r="E795" s="31"/>
      <c r="F795" s="22"/>
      <c r="G795" s="36" t="str">
        <f aca="false">IF(OR($A795="",$D795&lt;&gt;"تسليم",NOT(ISNUMBER($E795))),"",COUNTIFS($A$5:$A$1504,$A795,$D$5:$D$1504,"تسليم",$E$5:$E$1504,"&lt;"&amp;$E795)+1)</f>
        <v/>
      </c>
      <c r="H795" s="33" t="str">
        <f aca="false">IF($G795="","",_xlfn.MINIFS($E$5:$E$1504,$A$5:$A$1504,$A795,$D$5:$D$1504,"&lt;&gt;تسليم",$E$5:$E$1504,"&gt;="&amp;$E795))</f>
        <v/>
      </c>
      <c r="I795" s="33" t="str">
        <f aca="false">IF($G795="","",_xlfn.MINIFS($E$5:$E$1504,$A$5:$A$1504,$A795,$D$5:$D$1504,"تسليم",$E$5:$E$1504,"&gt;"&amp;$E795))</f>
        <v/>
      </c>
      <c r="J795" s="33" t="str">
        <f aca="false">IF($G795="","",IF(H795&gt;0,IF(I795&gt;0,MIN(H795,I795),H795),IF(I795&gt;0,I795,تاريخ_الاحتساب)))</f>
        <v/>
      </c>
      <c r="K795" s="34" t="str">
        <f aca="false">IF($G795="","",IF(AND(H795=0,I795=0),"جارية","مغلقة"))</f>
        <v/>
      </c>
      <c r="L795" s="26" t="str">
        <f aca="false">IF($G795="","",MAX(0,NETWORKDAYS.INTL($E795,J795,رمز_العطلة,أيام_الأجازات)-1))</f>
        <v/>
      </c>
      <c r="M795" s="26" t="str">
        <f aca="false">IF($G795="","",MAX(0,L795-مهلة_المراجعة))</f>
        <v/>
      </c>
      <c r="N795" s="30" t="str">
        <f aca="false">IF($A795="",IF(OR($D795&lt;&gt;"",$E795&lt;&gt;""),"رقم المخرج ناقص",""),IF(ISNA(MATCH($A795,قائمة_المخرجات,0)),"رقم مخرج غير موجود",IF($D795="","نوع الحركة ناقص",IF(NOT(ISNUMBER($E795)),"التاريخ ناقص",IF($E795&gt;تاريخ_الاحتساب,"تاريخ بعد تاريخ الاحتساب",IF(AND($D795&lt;&gt;"تسليم",COUNTIFS($A$5:$A$1504,$A795,$D$5:$D$1504,"تسليم",$E$5:$E$1504,"&lt;="&amp;$E795)=0),"لا يوجد تسليم قبل الحركة دي",""))))))</f>
        <v/>
      </c>
    </row>
    <row r="796" customFormat="false" ht="15" hidden="false" customHeight="false" outlineLevel="0" collapsed="false">
      <c r="A796" s="20"/>
      <c r="B796" s="35" t="str">
        <f aca="false">IF($A796="","",IFERROR(INDEX(مخرج_البند,MATCH($A796,قائمة_المخرجات,0)),""))</f>
        <v/>
      </c>
      <c r="C796" s="30" t="str">
        <f aca="false">IF($A796="","",IFERROR(INDEX(مخرج_الوصف,MATCH($A796,قائمة_المخرجات,0)),""))</f>
        <v/>
      </c>
      <c r="D796" s="20"/>
      <c r="E796" s="31"/>
      <c r="F796" s="22"/>
      <c r="G796" s="36" t="str">
        <f aca="false">IF(OR($A796="",$D796&lt;&gt;"تسليم",NOT(ISNUMBER($E796))),"",COUNTIFS($A$5:$A$1504,$A796,$D$5:$D$1504,"تسليم",$E$5:$E$1504,"&lt;"&amp;$E796)+1)</f>
        <v/>
      </c>
      <c r="H796" s="33" t="str">
        <f aca="false">IF($G796="","",_xlfn.MINIFS($E$5:$E$1504,$A$5:$A$1504,$A796,$D$5:$D$1504,"&lt;&gt;تسليم",$E$5:$E$1504,"&gt;="&amp;$E796))</f>
        <v/>
      </c>
      <c r="I796" s="33" t="str">
        <f aca="false">IF($G796="","",_xlfn.MINIFS($E$5:$E$1504,$A$5:$A$1504,$A796,$D$5:$D$1504,"تسليم",$E$5:$E$1504,"&gt;"&amp;$E796))</f>
        <v/>
      </c>
      <c r="J796" s="33" t="str">
        <f aca="false">IF($G796="","",IF(H796&gt;0,IF(I796&gt;0,MIN(H796,I796),H796),IF(I796&gt;0,I796,تاريخ_الاحتساب)))</f>
        <v/>
      </c>
      <c r="K796" s="34" t="str">
        <f aca="false">IF($G796="","",IF(AND(H796=0,I796=0),"جارية","مغلقة"))</f>
        <v/>
      </c>
      <c r="L796" s="26" t="str">
        <f aca="false">IF($G796="","",MAX(0,NETWORKDAYS.INTL($E796,J796,رمز_العطلة,أيام_الأجازات)-1))</f>
        <v/>
      </c>
      <c r="M796" s="26" t="str">
        <f aca="false">IF($G796="","",MAX(0,L796-مهلة_المراجعة))</f>
        <v/>
      </c>
      <c r="N796" s="30" t="str">
        <f aca="false">IF($A796="",IF(OR($D796&lt;&gt;"",$E796&lt;&gt;""),"رقم المخرج ناقص",""),IF(ISNA(MATCH($A796,قائمة_المخرجات,0)),"رقم مخرج غير موجود",IF($D796="","نوع الحركة ناقص",IF(NOT(ISNUMBER($E796)),"التاريخ ناقص",IF($E796&gt;تاريخ_الاحتساب,"تاريخ بعد تاريخ الاحتساب",IF(AND($D796&lt;&gt;"تسليم",COUNTIFS($A$5:$A$1504,$A796,$D$5:$D$1504,"تسليم",$E$5:$E$1504,"&lt;="&amp;$E796)=0),"لا يوجد تسليم قبل الحركة دي",""))))))</f>
        <v/>
      </c>
    </row>
    <row r="797" customFormat="false" ht="15" hidden="false" customHeight="false" outlineLevel="0" collapsed="false">
      <c r="A797" s="20"/>
      <c r="B797" s="35" t="str">
        <f aca="false">IF($A797="","",IFERROR(INDEX(مخرج_البند,MATCH($A797,قائمة_المخرجات,0)),""))</f>
        <v/>
      </c>
      <c r="C797" s="30" t="str">
        <f aca="false">IF($A797="","",IFERROR(INDEX(مخرج_الوصف,MATCH($A797,قائمة_المخرجات,0)),""))</f>
        <v/>
      </c>
      <c r="D797" s="20"/>
      <c r="E797" s="31"/>
      <c r="F797" s="22"/>
      <c r="G797" s="36" t="str">
        <f aca="false">IF(OR($A797="",$D797&lt;&gt;"تسليم",NOT(ISNUMBER($E797))),"",COUNTIFS($A$5:$A$1504,$A797,$D$5:$D$1504,"تسليم",$E$5:$E$1504,"&lt;"&amp;$E797)+1)</f>
        <v/>
      </c>
      <c r="H797" s="33" t="str">
        <f aca="false">IF($G797="","",_xlfn.MINIFS($E$5:$E$1504,$A$5:$A$1504,$A797,$D$5:$D$1504,"&lt;&gt;تسليم",$E$5:$E$1504,"&gt;="&amp;$E797))</f>
        <v/>
      </c>
      <c r="I797" s="33" t="str">
        <f aca="false">IF($G797="","",_xlfn.MINIFS($E$5:$E$1504,$A$5:$A$1504,$A797,$D$5:$D$1504,"تسليم",$E$5:$E$1504,"&gt;"&amp;$E797))</f>
        <v/>
      </c>
      <c r="J797" s="33" t="str">
        <f aca="false">IF($G797="","",IF(H797&gt;0,IF(I797&gt;0,MIN(H797,I797),H797),IF(I797&gt;0,I797,تاريخ_الاحتساب)))</f>
        <v/>
      </c>
      <c r="K797" s="34" t="str">
        <f aca="false">IF($G797="","",IF(AND(H797=0,I797=0),"جارية","مغلقة"))</f>
        <v/>
      </c>
      <c r="L797" s="26" t="str">
        <f aca="false">IF($G797="","",MAX(0,NETWORKDAYS.INTL($E797,J797,رمز_العطلة,أيام_الأجازات)-1))</f>
        <v/>
      </c>
      <c r="M797" s="26" t="str">
        <f aca="false">IF($G797="","",MAX(0,L797-مهلة_المراجعة))</f>
        <v/>
      </c>
      <c r="N797" s="30" t="str">
        <f aca="false">IF($A797="",IF(OR($D797&lt;&gt;"",$E797&lt;&gt;""),"رقم المخرج ناقص",""),IF(ISNA(MATCH($A797,قائمة_المخرجات,0)),"رقم مخرج غير موجود",IF($D797="","نوع الحركة ناقص",IF(NOT(ISNUMBER($E797)),"التاريخ ناقص",IF($E797&gt;تاريخ_الاحتساب,"تاريخ بعد تاريخ الاحتساب",IF(AND($D797&lt;&gt;"تسليم",COUNTIFS($A$5:$A$1504,$A797,$D$5:$D$1504,"تسليم",$E$5:$E$1504,"&lt;="&amp;$E797)=0),"لا يوجد تسليم قبل الحركة دي",""))))))</f>
        <v/>
      </c>
    </row>
    <row r="798" customFormat="false" ht="15" hidden="false" customHeight="false" outlineLevel="0" collapsed="false">
      <c r="A798" s="20"/>
      <c r="B798" s="35" t="str">
        <f aca="false">IF($A798="","",IFERROR(INDEX(مخرج_البند,MATCH($A798,قائمة_المخرجات,0)),""))</f>
        <v/>
      </c>
      <c r="C798" s="30" t="str">
        <f aca="false">IF($A798="","",IFERROR(INDEX(مخرج_الوصف,MATCH($A798,قائمة_المخرجات,0)),""))</f>
        <v/>
      </c>
      <c r="D798" s="20"/>
      <c r="E798" s="31"/>
      <c r="F798" s="22"/>
      <c r="G798" s="36" t="str">
        <f aca="false">IF(OR($A798="",$D798&lt;&gt;"تسليم",NOT(ISNUMBER($E798))),"",COUNTIFS($A$5:$A$1504,$A798,$D$5:$D$1504,"تسليم",$E$5:$E$1504,"&lt;"&amp;$E798)+1)</f>
        <v/>
      </c>
      <c r="H798" s="33" t="str">
        <f aca="false">IF($G798="","",_xlfn.MINIFS($E$5:$E$1504,$A$5:$A$1504,$A798,$D$5:$D$1504,"&lt;&gt;تسليم",$E$5:$E$1504,"&gt;="&amp;$E798))</f>
        <v/>
      </c>
      <c r="I798" s="33" t="str">
        <f aca="false">IF($G798="","",_xlfn.MINIFS($E$5:$E$1504,$A$5:$A$1504,$A798,$D$5:$D$1504,"تسليم",$E$5:$E$1504,"&gt;"&amp;$E798))</f>
        <v/>
      </c>
      <c r="J798" s="33" t="str">
        <f aca="false">IF($G798="","",IF(H798&gt;0,IF(I798&gt;0,MIN(H798,I798),H798),IF(I798&gt;0,I798,تاريخ_الاحتساب)))</f>
        <v/>
      </c>
      <c r="K798" s="34" t="str">
        <f aca="false">IF($G798="","",IF(AND(H798=0,I798=0),"جارية","مغلقة"))</f>
        <v/>
      </c>
      <c r="L798" s="26" t="str">
        <f aca="false">IF($G798="","",MAX(0,NETWORKDAYS.INTL($E798,J798,رمز_العطلة,أيام_الأجازات)-1))</f>
        <v/>
      </c>
      <c r="M798" s="26" t="str">
        <f aca="false">IF($G798="","",MAX(0,L798-مهلة_المراجعة))</f>
        <v/>
      </c>
      <c r="N798" s="30" t="str">
        <f aca="false">IF($A798="",IF(OR($D798&lt;&gt;"",$E798&lt;&gt;""),"رقم المخرج ناقص",""),IF(ISNA(MATCH($A798,قائمة_المخرجات,0)),"رقم مخرج غير موجود",IF($D798="","نوع الحركة ناقص",IF(NOT(ISNUMBER($E798)),"التاريخ ناقص",IF($E798&gt;تاريخ_الاحتساب,"تاريخ بعد تاريخ الاحتساب",IF(AND($D798&lt;&gt;"تسليم",COUNTIFS($A$5:$A$1504,$A798,$D$5:$D$1504,"تسليم",$E$5:$E$1504,"&lt;="&amp;$E798)=0),"لا يوجد تسليم قبل الحركة دي",""))))))</f>
        <v/>
      </c>
    </row>
    <row r="799" customFormat="false" ht="15" hidden="false" customHeight="false" outlineLevel="0" collapsed="false">
      <c r="A799" s="20"/>
      <c r="B799" s="35" t="str">
        <f aca="false">IF($A799="","",IFERROR(INDEX(مخرج_البند,MATCH($A799,قائمة_المخرجات,0)),""))</f>
        <v/>
      </c>
      <c r="C799" s="30" t="str">
        <f aca="false">IF($A799="","",IFERROR(INDEX(مخرج_الوصف,MATCH($A799,قائمة_المخرجات,0)),""))</f>
        <v/>
      </c>
      <c r="D799" s="20"/>
      <c r="E799" s="31"/>
      <c r="F799" s="22"/>
      <c r="G799" s="36" t="str">
        <f aca="false">IF(OR($A799="",$D799&lt;&gt;"تسليم",NOT(ISNUMBER($E799))),"",COUNTIFS($A$5:$A$1504,$A799,$D$5:$D$1504,"تسليم",$E$5:$E$1504,"&lt;"&amp;$E799)+1)</f>
        <v/>
      </c>
      <c r="H799" s="33" t="str">
        <f aca="false">IF($G799="","",_xlfn.MINIFS($E$5:$E$1504,$A$5:$A$1504,$A799,$D$5:$D$1504,"&lt;&gt;تسليم",$E$5:$E$1504,"&gt;="&amp;$E799))</f>
        <v/>
      </c>
      <c r="I799" s="33" t="str">
        <f aca="false">IF($G799="","",_xlfn.MINIFS($E$5:$E$1504,$A$5:$A$1504,$A799,$D$5:$D$1504,"تسليم",$E$5:$E$1504,"&gt;"&amp;$E799))</f>
        <v/>
      </c>
      <c r="J799" s="33" t="str">
        <f aca="false">IF($G799="","",IF(H799&gt;0,IF(I799&gt;0,MIN(H799,I799),H799),IF(I799&gt;0,I799,تاريخ_الاحتساب)))</f>
        <v/>
      </c>
      <c r="K799" s="34" t="str">
        <f aca="false">IF($G799="","",IF(AND(H799=0,I799=0),"جارية","مغلقة"))</f>
        <v/>
      </c>
      <c r="L799" s="26" t="str">
        <f aca="false">IF($G799="","",MAX(0,NETWORKDAYS.INTL($E799,J799,رمز_العطلة,أيام_الأجازات)-1))</f>
        <v/>
      </c>
      <c r="M799" s="26" t="str">
        <f aca="false">IF($G799="","",MAX(0,L799-مهلة_المراجعة))</f>
        <v/>
      </c>
      <c r="N799" s="30" t="str">
        <f aca="false">IF($A799="",IF(OR($D799&lt;&gt;"",$E799&lt;&gt;""),"رقم المخرج ناقص",""),IF(ISNA(MATCH($A799,قائمة_المخرجات,0)),"رقم مخرج غير موجود",IF($D799="","نوع الحركة ناقص",IF(NOT(ISNUMBER($E799)),"التاريخ ناقص",IF($E799&gt;تاريخ_الاحتساب,"تاريخ بعد تاريخ الاحتساب",IF(AND($D799&lt;&gt;"تسليم",COUNTIFS($A$5:$A$1504,$A799,$D$5:$D$1504,"تسليم",$E$5:$E$1504,"&lt;="&amp;$E799)=0),"لا يوجد تسليم قبل الحركة دي",""))))))</f>
        <v/>
      </c>
    </row>
    <row r="800" customFormat="false" ht="15" hidden="false" customHeight="false" outlineLevel="0" collapsed="false">
      <c r="A800" s="20"/>
      <c r="B800" s="35" t="str">
        <f aca="false">IF($A800="","",IFERROR(INDEX(مخرج_البند,MATCH($A800,قائمة_المخرجات,0)),""))</f>
        <v/>
      </c>
      <c r="C800" s="30" t="str">
        <f aca="false">IF($A800="","",IFERROR(INDEX(مخرج_الوصف,MATCH($A800,قائمة_المخرجات,0)),""))</f>
        <v/>
      </c>
      <c r="D800" s="20"/>
      <c r="E800" s="31"/>
      <c r="F800" s="22"/>
      <c r="G800" s="36" t="str">
        <f aca="false">IF(OR($A800="",$D800&lt;&gt;"تسليم",NOT(ISNUMBER($E800))),"",COUNTIFS($A$5:$A$1504,$A800,$D$5:$D$1504,"تسليم",$E$5:$E$1504,"&lt;"&amp;$E800)+1)</f>
        <v/>
      </c>
      <c r="H800" s="33" t="str">
        <f aca="false">IF($G800="","",_xlfn.MINIFS($E$5:$E$1504,$A$5:$A$1504,$A800,$D$5:$D$1504,"&lt;&gt;تسليم",$E$5:$E$1504,"&gt;="&amp;$E800))</f>
        <v/>
      </c>
      <c r="I800" s="33" t="str">
        <f aca="false">IF($G800="","",_xlfn.MINIFS($E$5:$E$1504,$A$5:$A$1504,$A800,$D$5:$D$1504,"تسليم",$E$5:$E$1504,"&gt;"&amp;$E800))</f>
        <v/>
      </c>
      <c r="J800" s="33" t="str">
        <f aca="false">IF($G800="","",IF(H800&gt;0,IF(I800&gt;0,MIN(H800,I800),H800),IF(I800&gt;0,I800,تاريخ_الاحتساب)))</f>
        <v/>
      </c>
      <c r="K800" s="34" t="str">
        <f aca="false">IF($G800="","",IF(AND(H800=0,I800=0),"جارية","مغلقة"))</f>
        <v/>
      </c>
      <c r="L800" s="26" t="str">
        <f aca="false">IF($G800="","",MAX(0,NETWORKDAYS.INTL($E800,J800,رمز_العطلة,أيام_الأجازات)-1))</f>
        <v/>
      </c>
      <c r="M800" s="26" t="str">
        <f aca="false">IF($G800="","",MAX(0,L800-مهلة_المراجعة))</f>
        <v/>
      </c>
      <c r="N800" s="30" t="str">
        <f aca="false">IF($A800="",IF(OR($D800&lt;&gt;"",$E800&lt;&gt;""),"رقم المخرج ناقص",""),IF(ISNA(MATCH($A800,قائمة_المخرجات,0)),"رقم مخرج غير موجود",IF($D800="","نوع الحركة ناقص",IF(NOT(ISNUMBER($E800)),"التاريخ ناقص",IF($E800&gt;تاريخ_الاحتساب,"تاريخ بعد تاريخ الاحتساب",IF(AND($D800&lt;&gt;"تسليم",COUNTIFS($A$5:$A$1504,$A800,$D$5:$D$1504,"تسليم",$E$5:$E$1504,"&lt;="&amp;$E800)=0),"لا يوجد تسليم قبل الحركة دي",""))))))</f>
        <v/>
      </c>
    </row>
    <row r="801" customFormat="false" ht="15" hidden="false" customHeight="false" outlineLevel="0" collapsed="false">
      <c r="A801" s="20"/>
      <c r="B801" s="35" t="str">
        <f aca="false">IF($A801="","",IFERROR(INDEX(مخرج_البند,MATCH($A801,قائمة_المخرجات,0)),""))</f>
        <v/>
      </c>
      <c r="C801" s="30" t="str">
        <f aca="false">IF($A801="","",IFERROR(INDEX(مخرج_الوصف,MATCH($A801,قائمة_المخرجات,0)),""))</f>
        <v/>
      </c>
      <c r="D801" s="20"/>
      <c r="E801" s="31"/>
      <c r="F801" s="22"/>
      <c r="G801" s="36" t="str">
        <f aca="false">IF(OR($A801="",$D801&lt;&gt;"تسليم",NOT(ISNUMBER($E801))),"",COUNTIFS($A$5:$A$1504,$A801,$D$5:$D$1504,"تسليم",$E$5:$E$1504,"&lt;"&amp;$E801)+1)</f>
        <v/>
      </c>
      <c r="H801" s="33" t="str">
        <f aca="false">IF($G801="","",_xlfn.MINIFS($E$5:$E$1504,$A$5:$A$1504,$A801,$D$5:$D$1504,"&lt;&gt;تسليم",$E$5:$E$1504,"&gt;="&amp;$E801))</f>
        <v/>
      </c>
      <c r="I801" s="33" t="str">
        <f aca="false">IF($G801="","",_xlfn.MINIFS($E$5:$E$1504,$A$5:$A$1504,$A801,$D$5:$D$1504,"تسليم",$E$5:$E$1504,"&gt;"&amp;$E801))</f>
        <v/>
      </c>
      <c r="J801" s="33" t="str">
        <f aca="false">IF($G801="","",IF(H801&gt;0,IF(I801&gt;0,MIN(H801,I801),H801),IF(I801&gt;0,I801,تاريخ_الاحتساب)))</f>
        <v/>
      </c>
      <c r="K801" s="34" t="str">
        <f aca="false">IF($G801="","",IF(AND(H801=0,I801=0),"جارية","مغلقة"))</f>
        <v/>
      </c>
      <c r="L801" s="26" t="str">
        <f aca="false">IF($G801="","",MAX(0,NETWORKDAYS.INTL($E801,J801,رمز_العطلة,أيام_الأجازات)-1))</f>
        <v/>
      </c>
      <c r="M801" s="26" t="str">
        <f aca="false">IF($G801="","",MAX(0,L801-مهلة_المراجعة))</f>
        <v/>
      </c>
      <c r="N801" s="30" t="str">
        <f aca="false">IF($A801="",IF(OR($D801&lt;&gt;"",$E801&lt;&gt;""),"رقم المخرج ناقص",""),IF(ISNA(MATCH($A801,قائمة_المخرجات,0)),"رقم مخرج غير موجود",IF($D801="","نوع الحركة ناقص",IF(NOT(ISNUMBER($E801)),"التاريخ ناقص",IF($E801&gt;تاريخ_الاحتساب,"تاريخ بعد تاريخ الاحتساب",IF(AND($D801&lt;&gt;"تسليم",COUNTIFS($A$5:$A$1504,$A801,$D$5:$D$1504,"تسليم",$E$5:$E$1504,"&lt;="&amp;$E801)=0),"لا يوجد تسليم قبل الحركة دي",""))))))</f>
        <v/>
      </c>
    </row>
    <row r="802" customFormat="false" ht="15" hidden="false" customHeight="false" outlineLevel="0" collapsed="false">
      <c r="A802" s="20"/>
      <c r="B802" s="35" t="str">
        <f aca="false">IF($A802="","",IFERROR(INDEX(مخرج_البند,MATCH($A802,قائمة_المخرجات,0)),""))</f>
        <v/>
      </c>
      <c r="C802" s="30" t="str">
        <f aca="false">IF($A802="","",IFERROR(INDEX(مخرج_الوصف,MATCH($A802,قائمة_المخرجات,0)),""))</f>
        <v/>
      </c>
      <c r="D802" s="20"/>
      <c r="E802" s="31"/>
      <c r="F802" s="22"/>
      <c r="G802" s="36" t="str">
        <f aca="false">IF(OR($A802="",$D802&lt;&gt;"تسليم",NOT(ISNUMBER($E802))),"",COUNTIFS($A$5:$A$1504,$A802,$D$5:$D$1504,"تسليم",$E$5:$E$1504,"&lt;"&amp;$E802)+1)</f>
        <v/>
      </c>
      <c r="H802" s="33" t="str">
        <f aca="false">IF($G802="","",_xlfn.MINIFS($E$5:$E$1504,$A$5:$A$1504,$A802,$D$5:$D$1504,"&lt;&gt;تسليم",$E$5:$E$1504,"&gt;="&amp;$E802))</f>
        <v/>
      </c>
      <c r="I802" s="33" t="str">
        <f aca="false">IF($G802="","",_xlfn.MINIFS($E$5:$E$1504,$A$5:$A$1504,$A802,$D$5:$D$1504,"تسليم",$E$5:$E$1504,"&gt;"&amp;$E802))</f>
        <v/>
      </c>
      <c r="J802" s="33" t="str">
        <f aca="false">IF($G802="","",IF(H802&gt;0,IF(I802&gt;0,MIN(H802,I802),H802),IF(I802&gt;0,I802,تاريخ_الاحتساب)))</f>
        <v/>
      </c>
      <c r="K802" s="34" t="str">
        <f aca="false">IF($G802="","",IF(AND(H802=0,I802=0),"جارية","مغلقة"))</f>
        <v/>
      </c>
      <c r="L802" s="26" t="str">
        <f aca="false">IF($G802="","",MAX(0,NETWORKDAYS.INTL($E802,J802,رمز_العطلة,أيام_الأجازات)-1))</f>
        <v/>
      </c>
      <c r="M802" s="26" t="str">
        <f aca="false">IF($G802="","",MAX(0,L802-مهلة_المراجعة))</f>
        <v/>
      </c>
      <c r="N802" s="30" t="str">
        <f aca="false">IF($A802="",IF(OR($D802&lt;&gt;"",$E802&lt;&gt;""),"رقم المخرج ناقص",""),IF(ISNA(MATCH($A802,قائمة_المخرجات,0)),"رقم مخرج غير موجود",IF($D802="","نوع الحركة ناقص",IF(NOT(ISNUMBER($E802)),"التاريخ ناقص",IF($E802&gt;تاريخ_الاحتساب,"تاريخ بعد تاريخ الاحتساب",IF(AND($D802&lt;&gt;"تسليم",COUNTIFS($A$5:$A$1504,$A802,$D$5:$D$1504,"تسليم",$E$5:$E$1504,"&lt;="&amp;$E802)=0),"لا يوجد تسليم قبل الحركة دي",""))))))</f>
        <v/>
      </c>
    </row>
    <row r="803" customFormat="false" ht="15" hidden="false" customHeight="false" outlineLevel="0" collapsed="false">
      <c r="A803" s="20"/>
      <c r="B803" s="35" t="str">
        <f aca="false">IF($A803="","",IFERROR(INDEX(مخرج_البند,MATCH($A803,قائمة_المخرجات,0)),""))</f>
        <v/>
      </c>
      <c r="C803" s="30" t="str">
        <f aca="false">IF($A803="","",IFERROR(INDEX(مخرج_الوصف,MATCH($A803,قائمة_المخرجات,0)),""))</f>
        <v/>
      </c>
      <c r="D803" s="20"/>
      <c r="E803" s="31"/>
      <c r="F803" s="22"/>
      <c r="G803" s="36" t="str">
        <f aca="false">IF(OR($A803="",$D803&lt;&gt;"تسليم",NOT(ISNUMBER($E803))),"",COUNTIFS($A$5:$A$1504,$A803,$D$5:$D$1504,"تسليم",$E$5:$E$1504,"&lt;"&amp;$E803)+1)</f>
        <v/>
      </c>
      <c r="H803" s="33" t="str">
        <f aca="false">IF($G803="","",_xlfn.MINIFS($E$5:$E$1504,$A$5:$A$1504,$A803,$D$5:$D$1504,"&lt;&gt;تسليم",$E$5:$E$1504,"&gt;="&amp;$E803))</f>
        <v/>
      </c>
      <c r="I803" s="33" t="str">
        <f aca="false">IF($G803="","",_xlfn.MINIFS($E$5:$E$1504,$A$5:$A$1504,$A803,$D$5:$D$1504,"تسليم",$E$5:$E$1504,"&gt;"&amp;$E803))</f>
        <v/>
      </c>
      <c r="J803" s="33" t="str">
        <f aca="false">IF($G803="","",IF(H803&gt;0,IF(I803&gt;0,MIN(H803,I803),H803),IF(I803&gt;0,I803,تاريخ_الاحتساب)))</f>
        <v/>
      </c>
      <c r="K803" s="34" t="str">
        <f aca="false">IF($G803="","",IF(AND(H803=0,I803=0),"جارية","مغلقة"))</f>
        <v/>
      </c>
      <c r="L803" s="26" t="str">
        <f aca="false">IF($G803="","",MAX(0,NETWORKDAYS.INTL($E803,J803,رمز_العطلة,أيام_الأجازات)-1))</f>
        <v/>
      </c>
      <c r="M803" s="26" t="str">
        <f aca="false">IF($G803="","",MAX(0,L803-مهلة_المراجعة))</f>
        <v/>
      </c>
      <c r="N803" s="30" t="str">
        <f aca="false">IF($A803="",IF(OR($D803&lt;&gt;"",$E803&lt;&gt;""),"رقم المخرج ناقص",""),IF(ISNA(MATCH($A803,قائمة_المخرجات,0)),"رقم مخرج غير موجود",IF($D803="","نوع الحركة ناقص",IF(NOT(ISNUMBER($E803)),"التاريخ ناقص",IF($E803&gt;تاريخ_الاحتساب,"تاريخ بعد تاريخ الاحتساب",IF(AND($D803&lt;&gt;"تسليم",COUNTIFS($A$5:$A$1504,$A803,$D$5:$D$1504,"تسليم",$E$5:$E$1504,"&lt;="&amp;$E803)=0),"لا يوجد تسليم قبل الحركة دي",""))))))</f>
        <v/>
      </c>
    </row>
    <row r="804" customFormat="false" ht="15" hidden="false" customHeight="false" outlineLevel="0" collapsed="false">
      <c r="A804" s="20"/>
      <c r="B804" s="35" t="str">
        <f aca="false">IF($A804="","",IFERROR(INDEX(مخرج_البند,MATCH($A804,قائمة_المخرجات,0)),""))</f>
        <v/>
      </c>
      <c r="C804" s="30" t="str">
        <f aca="false">IF($A804="","",IFERROR(INDEX(مخرج_الوصف,MATCH($A804,قائمة_المخرجات,0)),""))</f>
        <v/>
      </c>
      <c r="D804" s="20"/>
      <c r="E804" s="31"/>
      <c r="F804" s="22"/>
      <c r="G804" s="36" t="str">
        <f aca="false">IF(OR($A804="",$D804&lt;&gt;"تسليم",NOT(ISNUMBER($E804))),"",COUNTIFS($A$5:$A$1504,$A804,$D$5:$D$1504,"تسليم",$E$5:$E$1504,"&lt;"&amp;$E804)+1)</f>
        <v/>
      </c>
      <c r="H804" s="33" t="str">
        <f aca="false">IF($G804="","",_xlfn.MINIFS($E$5:$E$1504,$A$5:$A$1504,$A804,$D$5:$D$1504,"&lt;&gt;تسليم",$E$5:$E$1504,"&gt;="&amp;$E804))</f>
        <v/>
      </c>
      <c r="I804" s="33" t="str">
        <f aca="false">IF($G804="","",_xlfn.MINIFS($E$5:$E$1504,$A$5:$A$1504,$A804,$D$5:$D$1504,"تسليم",$E$5:$E$1504,"&gt;"&amp;$E804))</f>
        <v/>
      </c>
      <c r="J804" s="33" t="str">
        <f aca="false">IF($G804="","",IF(H804&gt;0,IF(I804&gt;0,MIN(H804,I804),H804),IF(I804&gt;0,I804,تاريخ_الاحتساب)))</f>
        <v/>
      </c>
      <c r="K804" s="34" t="str">
        <f aca="false">IF($G804="","",IF(AND(H804=0,I804=0),"جارية","مغلقة"))</f>
        <v/>
      </c>
      <c r="L804" s="26" t="str">
        <f aca="false">IF($G804="","",MAX(0,NETWORKDAYS.INTL($E804,J804,رمز_العطلة,أيام_الأجازات)-1))</f>
        <v/>
      </c>
      <c r="M804" s="26" t="str">
        <f aca="false">IF($G804="","",MAX(0,L804-مهلة_المراجعة))</f>
        <v/>
      </c>
      <c r="N804" s="30" t="str">
        <f aca="false">IF($A804="",IF(OR($D804&lt;&gt;"",$E804&lt;&gt;""),"رقم المخرج ناقص",""),IF(ISNA(MATCH($A804,قائمة_المخرجات,0)),"رقم مخرج غير موجود",IF($D804="","نوع الحركة ناقص",IF(NOT(ISNUMBER($E804)),"التاريخ ناقص",IF($E804&gt;تاريخ_الاحتساب,"تاريخ بعد تاريخ الاحتساب",IF(AND($D804&lt;&gt;"تسليم",COUNTIFS($A$5:$A$1504,$A804,$D$5:$D$1504,"تسليم",$E$5:$E$1504,"&lt;="&amp;$E804)=0),"لا يوجد تسليم قبل الحركة دي",""))))))</f>
        <v/>
      </c>
    </row>
    <row r="805" customFormat="false" ht="15" hidden="false" customHeight="false" outlineLevel="0" collapsed="false">
      <c r="A805" s="20"/>
      <c r="B805" s="35" t="str">
        <f aca="false">IF($A805="","",IFERROR(INDEX(مخرج_البند,MATCH($A805,قائمة_المخرجات,0)),""))</f>
        <v/>
      </c>
      <c r="C805" s="30" t="str">
        <f aca="false">IF($A805="","",IFERROR(INDEX(مخرج_الوصف,MATCH($A805,قائمة_المخرجات,0)),""))</f>
        <v/>
      </c>
      <c r="D805" s="20"/>
      <c r="E805" s="31"/>
      <c r="F805" s="22"/>
      <c r="G805" s="36" t="str">
        <f aca="false">IF(OR($A805="",$D805&lt;&gt;"تسليم",NOT(ISNUMBER($E805))),"",COUNTIFS($A$5:$A$1504,$A805,$D$5:$D$1504,"تسليم",$E$5:$E$1504,"&lt;"&amp;$E805)+1)</f>
        <v/>
      </c>
      <c r="H805" s="33" t="str">
        <f aca="false">IF($G805="","",_xlfn.MINIFS($E$5:$E$1504,$A$5:$A$1504,$A805,$D$5:$D$1504,"&lt;&gt;تسليم",$E$5:$E$1504,"&gt;="&amp;$E805))</f>
        <v/>
      </c>
      <c r="I805" s="33" t="str">
        <f aca="false">IF($G805="","",_xlfn.MINIFS($E$5:$E$1504,$A$5:$A$1504,$A805,$D$5:$D$1504,"تسليم",$E$5:$E$1504,"&gt;"&amp;$E805))</f>
        <v/>
      </c>
      <c r="J805" s="33" t="str">
        <f aca="false">IF($G805="","",IF(H805&gt;0,IF(I805&gt;0,MIN(H805,I805),H805),IF(I805&gt;0,I805,تاريخ_الاحتساب)))</f>
        <v/>
      </c>
      <c r="K805" s="34" t="str">
        <f aca="false">IF($G805="","",IF(AND(H805=0,I805=0),"جارية","مغلقة"))</f>
        <v/>
      </c>
      <c r="L805" s="26" t="str">
        <f aca="false">IF($G805="","",MAX(0,NETWORKDAYS.INTL($E805,J805,رمز_العطلة,أيام_الأجازات)-1))</f>
        <v/>
      </c>
      <c r="M805" s="26" t="str">
        <f aca="false">IF($G805="","",MAX(0,L805-مهلة_المراجعة))</f>
        <v/>
      </c>
      <c r="N805" s="30" t="str">
        <f aca="false">IF($A805="",IF(OR($D805&lt;&gt;"",$E805&lt;&gt;""),"رقم المخرج ناقص",""),IF(ISNA(MATCH($A805,قائمة_المخرجات,0)),"رقم مخرج غير موجود",IF($D805="","نوع الحركة ناقص",IF(NOT(ISNUMBER($E805)),"التاريخ ناقص",IF($E805&gt;تاريخ_الاحتساب,"تاريخ بعد تاريخ الاحتساب",IF(AND($D805&lt;&gt;"تسليم",COUNTIFS($A$5:$A$1504,$A805,$D$5:$D$1504,"تسليم",$E$5:$E$1504,"&lt;="&amp;$E805)=0),"لا يوجد تسليم قبل الحركة دي",""))))))</f>
        <v/>
      </c>
    </row>
    <row r="806" customFormat="false" ht="15" hidden="false" customHeight="false" outlineLevel="0" collapsed="false">
      <c r="A806" s="20"/>
      <c r="B806" s="35" t="str">
        <f aca="false">IF($A806="","",IFERROR(INDEX(مخرج_البند,MATCH($A806,قائمة_المخرجات,0)),""))</f>
        <v/>
      </c>
      <c r="C806" s="30" t="str">
        <f aca="false">IF($A806="","",IFERROR(INDEX(مخرج_الوصف,MATCH($A806,قائمة_المخرجات,0)),""))</f>
        <v/>
      </c>
      <c r="D806" s="20"/>
      <c r="E806" s="31"/>
      <c r="F806" s="22"/>
      <c r="G806" s="36" t="str">
        <f aca="false">IF(OR($A806="",$D806&lt;&gt;"تسليم",NOT(ISNUMBER($E806))),"",COUNTIFS($A$5:$A$1504,$A806,$D$5:$D$1504,"تسليم",$E$5:$E$1504,"&lt;"&amp;$E806)+1)</f>
        <v/>
      </c>
      <c r="H806" s="33" t="str">
        <f aca="false">IF($G806="","",_xlfn.MINIFS($E$5:$E$1504,$A$5:$A$1504,$A806,$D$5:$D$1504,"&lt;&gt;تسليم",$E$5:$E$1504,"&gt;="&amp;$E806))</f>
        <v/>
      </c>
      <c r="I806" s="33" t="str">
        <f aca="false">IF($G806="","",_xlfn.MINIFS($E$5:$E$1504,$A$5:$A$1504,$A806,$D$5:$D$1504,"تسليم",$E$5:$E$1504,"&gt;"&amp;$E806))</f>
        <v/>
      </c>
      <c r="J806" s="33" t="str">
        <f aca="false">IF($G806="","",IF(H806&gt;0,IF(I806&gt;0,MIN(H806,I806),H806),IF(I806&gt;0,I806,تاريخ_الاحتساب)))</f>
        <v/>
      </c>
      <c r="K806" s="34" t="str">
        <f aca="false">IF($G806="","",IF(AND(H806=0,I806=0),"جارية","مغلقة"))</f>
        <v/>
      </c>
      <c r="L806" s="26" t="str">
        <f aca="false">IF($G806="","",MAX(0,NETWORKDAYS.INTL($E806,J806,رمز_العطلة,أيام_الأجازات)-1))</f>
        <v/>
      </c>
      <c r="M806" s="26" t="str">
        <f aca="false">IF($G806="","",MAX(0,L806-مهلة_المراجعة))</f>
        <v/>
      </c>
      <c r="N806" s="30" t="str">
        <f aca="false">IF($A806="",IF(OR($D806&lt;&gt;"",$E806&lt;&gt;""),"رقم المخرج ناقص",""),IF(ISNA(MATCH($A806,قائمة_المخرجات,0)),"رقم مخرج غير موجود",IF($D806="","نوع الحركة ناقص",IF(NOT(ISNUMBER($E806)),"التاريخ ناقص",IF($E806&gt;تاريخ_الاحتساب,"تاريخ بعد تاريخ الاحتساب",IF(AND($D806&lt;&gt;"تسليم",COUNTIFS($A$5:$A$1504,$A806,$D$5:$D$1504,"تسليم",$E$5:$E$1504,"&lt;="&amp;$E806)=0),"لا يوجد تسليم قبل الحركة دي",""))))))</f>
        <v/>
      </c>
    </row>
    <row r="807" customFormat="false" ht="15" hidden="false" customHeight="false" outlineLevel="0" collapsed="false">
      <c r="A807" s="20"/>
      <c r="B807" s="35" t="str">
        <f aca="false">IF($A807="","",IFERROR(INDEX(مخرج_البند,MATCH($A807,قائمة_المخرجات,0)),""))</f>
        <v/>
      </c>
      <c r="C807" s="30" t="str">
        <f aca="false">IF($A807="","",IFERROR(INDEX(مخرج_الوصف,MATCH($A807,قائمة_المخرجات,0)),""))</f>
        <v/>
      </c>
      <c r="D807" s="20"/>
      <c r="E807" s="31"/>
      <c r="F807" s="22"/>
      <c r="G807" s="36" t="str">
        <f aca="false">IF(OR($A807="",$D807&lt;&gt;"تسليم",NOT(ISNUMBER($E807))),"",COUNTIFS($A$5:$A$1504,$A807,$D$5:$D$1504,"تسليم",$E$5:$E$1504,"&lt;"&amp;$E807)+1)</f>
        <v/>
      </c>
      <c r="H807" s="33" t="str">
        <f aca="false">IF($G807="","",_xlfn.MINIFS($E$5:$E$1504,$A$5:$A$1504,$A807,$D$5:$D$1504,"&lt;&gt;تسليم",$E$5:$E$1504,"&gt;="&amp;$E807))</f>
        <v/>
      </c>
      <c r="I807" s="33" t="str">
        <f aca="false">IF($G807="","",_xlfn.MINIFS($E$5:$E$1504,$A$5:$A$1504,$A807,$D$5:$D$1504,"تسليم",$E$5:$E$1504,"&gt;"&amp;$E807))</f>
        <v/>
      </c>
      <c r="J807" s="33" t="str">
        <f aca="false">IF($G807="","",IF(H807&gt;0,IF(I807&gt;0,MIN(H807,I807),H807),IF(I807&gt;0,I807,تاريخ_الاحتساب)))</f>
        <v/>
      </c>
      <c r="K807" s="34" t="str">
        <f aca="false">IF($G807="","",IF(AND(H807=0,I807=0),"جارية","مغلقة"))</f>
        <v/>
      </c>
      <c r="L807" s="26" t="str">
        <f aca="false">IF($G807="","",MAX(0,NETWORKDAYS.INTL($E807,J807,رمز_العطلة,أيام_الأجازات)-1))</f>
        <v/>
      </c>
      <c r="M807" s="26" t="str">
        <f aca="false">IF($G807="","",MAX(0,L807-مهلة_المراجعة))</f>
        <v/>
      </c>
      <c r="N807" s="30" t="str">
        <f aca="false">IF($A807="",IF(OR($D807&lt;&gt;"",$E807&lt;&gt;""),"رقم المخرج ناقص",""),IF(ISNA(MATCH($A807,قائمة_المخرجات,0)),"رقم مخرج غير موجود",IF($D807="","نوع الحركة ناقص",IF(NOT(ISNUMBER($E807)),"التاريخ ناقص",IF($E807&gt;تاريخ_الاحتساب,"تاريخ بعد تاريخ الاحتساب",IF(AND($D807&lt;&gt;"تسليم",COUNTIFS($A$5:$A$1504,$A807,$D$5:$D$1504,"تسليم",$E$5:$E$1504,"&lt;="&amp;$E807)=0),"لا يوجد تسليم قبل الحركة دي",""))))))</f>
        <v/>
      </c>
    </row>
    <row r="808" customFormat="false" ht="15" hidden="false" customHeight="false" outlineLevel="0" collapsed="false">
      <c r="A808" s="20"/>
      <c r="B808" s="35" t="str">
        <f aca="false">IF($A808="","",IFERROR(INDEX(مخرج_البند,MATCH($A808,قائمة_المخرجات,0)),""))</f>
        <v/>
      </c>
      <c r="C808" s="30" t="str">
        <f aca="false">IF($A808="","",IFERROR(INDEX(مخرج_الوصف,MATCH($A808,قائمة_المخرجات,0)),""))</f>
        <v/>
      </c>
      <c r="D808" s="20"/>
      <c r="E808" s="31"/>
      <c r="F808" s="22"/>
      <c r="G808" s="36" t="str">
        <f aca="false">IF(OR($A808="",$D808&lt;&gt;"تسليم",NOT(ISNUMBER($E808))),"",COUNTIFS($A$5:$A$1504,$A808,$D$5:$D$1504,"تسليم",$E$5:$E$1504,"&lt;"&amp;$E808)+1)</f>
        <v/>
      </c>
      <c r="H808" s="33" t="str">
        <f aca="false">IF($G808="","",_xlfn.MINIFS($E$5:$E$1504,$A$5:$A$1504,$A808,$D$5:$D$1504,"&lt;&gt;تسليم",$E$5:$E$1504,"&gt;="&amp;$E808))</f>
        <v/>
      </c>
      <c r="I808" s="33" t="str">
        <f aca="false">IF($G808="","",_xlfn.MINIFS($E$5:$E$1504,$A$5:$A$1504,$A808,$D$5:$D$1504,"تسليم",$E$5:$E$1504,"&gt;"&amp;$E808))</f>
        <v/>
      </c>
      <c r="J808" s="33" t="str">
        <f aca="false">IF($G808="","",IF(H808&gt;0,IF(I808&gt;0,MIN(H808,I808),H808),IF(I808&gt;0,I808,تاريخ_الاحتساب)))</f>
        <v/>
      </c>
      <c r="K808" s="34" t="str">
        <f aca="false">IF($G808="","",IF(AND(H808=0,I808=0),"جارية","مغلقة"))</f>
        <v/>
      </c>
      <c r="L808" s="26" t="str">
        <f aca="false">IF($G808="","",MAX(0,NETWORKDAYS.INTL($E808,J808,رمز_العطلة,أيام_الأجازات)-1))</f>
        <v/>
      </c>
      <c r="M808" s="26" t="str">
        <f aca="false">IF($G808="","",MAX(0,L808-مهلة_المراجعة))</f>
        <v/>
      </c>
      <c r="N808" s="30" t="str">
        <f aca="false">IF($A808="",IF(OR($D808&lt;&gt;"",$E808&lt;&gt;""),"رقم المخرج ناقص",""),IF(ISNA(MATCH($A808,قائمة_المخرجات,0)),"رقم مخرج غير موجود",IF($D808="","نوع الحركة ناقص",IF(NOT(ISNUMBER($E808)),"التاريخ ناقص",IF($E808&gt;تاريخ_الاحتساب,"تاريخ بعد تاريخ الاحتساب",IF(AND($D808&lt;&gt;"تسليم",COUNTIFS($A$5:$A$1504,$A808,$D$5:$D$1504,"تسليم",$E$5:$E$1504,"&lt;="&amp;$E808)=0),"لا يوجد تسليم قبل الحركة دي",""))))))</f>
        <v/>
      </c>
    </row>
    <row r="809" customFormat="false" ht="15" hidden="false" customHeight="false" outlineLevel="0" collapsed="false">
      <c r="A809" s="20"/>
      <c r="B809" s="35" t="str">
        <f aca="false">IF($A809="","",IFERROR(INDEX(مخرج_البند,MATCH($A809,قائمة_المخرجات,0)),""))</f>
        <v/>
      </c>
      <c r="C809" s="30" t="str">
        <f aca="false">IF($A809="","",IFERROR(INDEX(مخرج_الوصف,MATCH($A809,قائمة_المخرجات,0)),""))</f>
        <v/>
      </c>
      <c r="D809" s="20"/>
      <c r="E809" s="31"/>
      <c r="F809" s="22"/>
      <c r="G809" s="36" t="str">
        <f aca="false">IF(OR($A809="",$D809&lt;&gt;"تسليم",NOT(ISNUMBER($E809))),"",COUNTIFS($A$5:$A$1504,$A809,$D$5:$D$1504,"تسليم",$E$5:$E$1504,"&lt;"&amp;$E809)+1)</f>
        <v/>
      </c>
      <c r="H809" s="33" t="str">
        <f aca="false">IF($G809="","",_xlfn.MINIFS($E$5:$E$1504,$A$5:$A$1504,$A809,$D$5:$D$1504,"&lt;&gt;تسليم",$E$5:$E$1504,"&gt;="&amp;$E809))</f>
        <v/>
      </c>
      <c r="I809" s="33" t="str">
        <f aca="false">IF($G809="","",_xlfn.MINIFS($E$5:$E$1504,$A$5:$A$1504,$A809,$D$5:$D$1504,"تسليم",$E$5:$E$1504,"&gt;"&amp;$E809))</f>
        <v/>
      </c>
      <c r="J809" s="33" t="str">
        <f aca="false">IF($G809="","",IF(H809&gt;0,IF(I809&gt;0,MIN(H809,I809),H809),IF(I809&gt;0,I809,تاريخ_الاحتساب)))</f>
        <v/>
      </c>
      <c r="K809" s="34" t="str">
        <f aca="false">IF($G809="","",IF(AND(H809=0,I809=0),"جارية","مغلقة"))</f>
        <v/>
      </c>
      <c r="L809" s="26" t="str">
        <f aca="false">IF($G809="","",MAX(0,NETWORKDAYS.INTL($E809,J809,رمز_العطلة,أيام_الأجازات)-1))</f>
        <v/>
      </c>
      <c r="M809" s="26" t="str">
        <f aca="false">IF($G809="","",MAX(0,L809-مهلة_المراجعة))</f>
        <v/>
      </c>
      <c r="N809" s="30" t="str">
        <f aca="false">IF($A809="",IF(OR($D809&lt;&gt;"",$E809&lt;&gt;""),"رقم المخرج ناقص",""),IF(ISNA(MATCH($A809,قائمة_المخرجات,0)),"رقم مخرج غير موجود",IF($D809="","نوع الحركة ناقص",IF(NOT(ISNUMBER($E809)),"التاريخ ناقص",IF($E809&gt;تاريخ_الاحتساب,"تاريخ بعد تاريخ الاحتساب",IF(AND($D809&lt;&gt;"تسليم",COUNTIFS($A$5:$A$1504,$A809,$D$5:$D$1504,"تسليم",$E$5:$E$1504,"&lt;="&amp;$E809)=0),"لا يوجد تسليم قبل الحركة دي",""))))))</f>
        <v/>
      </c>
    </row>
    <row r="810" customFormat="false" ht="15" hidden="false" customHeight="false" outlineLevel="0" collapsed="false">
      <c r="A810" s="20"/>
      <c r="B810" s="35" t="str">
        <f aca="false">IF($A810="","",IFERROR(INDEX(مخرج_البند,MATCH($A810,قائمة_المخرجات,0)),""))</f>
        <v/>
      </c>
      <c r="C810" s="30" t="str">
        <f aca="false">IF($A810="","",IFERROR(INDEX(مخرج_الوصف,MATCH($A810,قائمة_المخرجات,0)),""))</f>
        <v/>
      </c>
      <c r="D810" s="20"/>
      <c r="E810" s="31"/>
      <c r="F810" s="22"/>
      <c r="G810" s="36" t="str">
        <f aca="false">IF(OR($A810="",$D810&lt;&gt;"تسليم",NOT(ISNUMBER($E810))),"",COUNTIFS($A$5:$A$1504,$A810,$D$5:$D$1504,"تسليم",$E$5:$E$1504,"&lt;"&amp;$E810)+1)</f>
        <v/>
      </c>
      <c r="H810" s="33" t="str">
        <f aca="false">IF($G810="","",_xlfn.MINIFS($E$5:$E$1504,$A$5:$A$1504,$A810,$D$5:$D$1504,"&lt;&gt;تسليم",$E$5:$E$1504,"&gt;="&amp;$E810))</f>
        <v/>
      </c>
      <c r="I810" s="33" t="str">
        <f aca="false">IF($G810="","",_xlfn.MINIFS($E$5:$E$1504,$A$5:$A$1504,$A810,$D$5:$D$1504,"تسليم",$E$5:$E$1504,"&gt;"&amp;$E810))</f>
        <v/>
      </c>
      <c r="J810" s="33" t="str">
        <f aca="false">IF($G810="","",IF(H810&gt;0,IF(I810&gt;0,MIN(H810,I810),H810),IF(I810&gt;0,I810,تاريخ_الاحتساب)))</f>
        <v/>
      </c>
      <c r="K810" s="34" t="str">
        <f aca="false">IF($G810="","",IF(AND(H810=0,I810=0),"جارية","مغلقة"))</f>
        <v/>
      </c>
      <c r="L810" s="26" t="str">
        <f aca="false">IF($G810="","",MAX(0,NETWORKDAYS.INTL($E810,J810,رمز_العطلة,أيام_الأجازات)-1))</f>
        <v/>
      </c>
      <c r="M810" s="26" t="str">
        <f aca="false">IF($G810="","",MAX(0,L810-مهلة_المراجعة))</f>
        <v/>
      </c>
      <c r="N810" s="30" t="str">
        <f aca="false">IF($A810="",IF(OR($D810&lt;&gt;"",$E810&lt;&gt;""),"رقم المخرج ناقص",""),IF(ISNA(MATCH($A810,قائمة_المخرجات,0)),"رقم مخرج غير موجود",IF($D810="","نوع الحركة ناقص",IF(NOT(ISNUMBER($E810)),"التاريخ ناقص",IF($E810&gt;تاريخ_الاحتساب,"تاريخ بعد تاريخ الاحتساب",IF(AND($D810&lt;&gt;"تسليم",COUNTIFS($A$5:$A$1504,$A810,$D$5:$D$1504,"تسليم",$E$5:$E$1504,"&lt;="&amp;$E810)=0),"لا يوجد تسليم قبل الحركة دي",""))))))</f>
        <v/>
      </c>
    </row>
    <row r="811" customFormat="false" ht="15" hidden="false" customHeight="false" outlineLevel="0" collapsed="false">
      <c r="A811" s="20"/>
      <c r="B811" s="35" t="str">
        <f aca="false">IF($A811="","",IFERROR(INDEX(مخرج_البند,MATCH($A811,قائمة_المخرجات,0)),""))</f>
        <v/>
      </c>
      <c r="C811" s="30" t="str">
        <f aca="false">IF($A811="","",IFERROR(INDEX(مخرج_الوصف,MATCH($A811,قائمة_المخرجات,0)),""))</f>
        <v/>
      </c>
      <c r="D811" s="20"/>
      <c r="E811" s="31"/>
      <c r="F811" s="22"/>
      <c r="G811" s="36" t="str">
        <f aca="false">IF(OR($A811="",$D811&lt;&gt;"تسليم",NOT(ISNUMBER($E811))),"",COUNTIFS($A$5:$A$1504,$A811,$D$5:$D$1504,"تسليم",$E$5:$E$1504,"&lt;"&amp;$E811)+1)</f>
        <v/>
      </c>
      <c r="H811" s="33" t="str">
        <f aca="false">IF($G811="","",_xlfn.MINIFS($E$5:$E$1504,$A$5:$A$1504,$A811,$D$5:$D$1504,"&lt;&gt;تسليم",$E$5:$E$1504,"&gt;="&amp;$E811))</f>
        <v/>
      </c>
      <c r="I811" s="33" t="str">
        <f aca="false">IF($G811="","",_xlfn.MINIFS($E$5:$E$1504,$A$5:$A$1504,$A811,$D$5:$D$1504,"تسليم",$E$5:$E$1504,"&gt;"&amp;$E811))</f>
        <v/>
      </c>
      <c r="J811" s="33" t="str">
        <f aca="false">IF($G811="","",IF(H811&gt;0,IF(I811&gt;0,MIN(H811,I811),H811),IF(I811&gt;0,I811,تاريخ_الاحتساب)))</f>
        <v/>
      </c>
      <c r="K811" s="34" t="str">
        <f aca="false">IF($G811="","",IF(AND(H811=0,I811=0),"جارية","مغلقة"))</f>
        <v/>
      </c>
      <c r="L811" s="26" t="str">
        <f aca="false">IF($G811="","",MAX(0,NETWORKDAYS.INTL($E811,J811,رمز_العطلة,أيام_الأجازات)-1))</f>
        <v/>
      </c>
      <c r="M811" s="26" t="str">
        <f aca="false">IF($G811="","",MAX(0,L811-مهلة_المراجعة))</f>
        <v/>
      </c>
      <c r="N811" s="30" t="str">
        <f aca="false">IF($A811="",IF(OR($D811&lt;&gt;"",$E811&lt;&gt;""),"رقم المخرج ناقص",""),IF(ISNA(MATCH($A811,قائمة_المخرجات,0)),"رقم مخرج غير موجود",IF($D811="","نوع الحركة ناقص",IF(NOT(ISNUMBER($E811)),"التاريخ ناقص",IF($E811&gt;تاريخ_الاحتساب,"تاريخ بعد تاريخ الاحتساب",IF(AND($D811&lt;&gt;"تسليم",COUNTIFS($A$5:$A$1504,$A811,$D$5:$D$1504,"تسليم",$E$5:$E$1504,"&lt;="&amp;$E811)=0),"لا يوجد تسليم قبل الحركة دي",""))))))</f>
        <v/>
      </c>
    </row>
    <row r="812" customFormat="false" ht="15" hidden="false" customHeight="false" outlineLevel="0" collapsed="false">
      <c r="A812" s="20"/>
      <c r="B812" s="35" t="str">
        <f aca="false">IF($A812="","",IFERROR(INDEX(مخرج_البند,MATCH($A812,قائمة_المخرجات,0)),""))</f>
        <v/>
      </c>
      <c r="C812" s="30" t="str">
        <f aca="false">IF($A812="","",IFERROR(INDEX(مخرج_الوصف,MATCH($A812,قائمة_المخرجات,0)),""))</f>
        <v/>
      </c>
      <c r="D812" s="20"/>
      <c r="E812" s="31"/>
      <c r="F812" s="22"/>
      <c r="G812" s="36" t="str">
        <f aca="false">IF(OR($A812="",$D812&lt;&gt;"تسليم",NOT(ISNUMBER($E812))),"",COUNTIFS($A$5:$A$1504,$A812,$D$5:$D$1504,"تسليم",$E$5:$E$1504,"&lt;"&amp;$E812)+1)</f>
        <v/>
      </c>
      <c r="H812" s="33" t="str">
        <f aca="false">IF($G812="","",_xlfn.MINIFS($E$5:$E$1504,$A$5:$A$1504,$A812,$D$5:$D$1504,"&lt;&gt;تسليم",$E$5:$E$1504,"&gt;="&amp;$E812))</f>
        <v/>
      </c>
      <c r="I812" s="33" t="str">
        <f aca="false">IF($G812="","",_xlfn.MINIFS($E$5:$E$1504,$A$5:$A$1504,$A812,$D$5:$D$1504,"تسليم",$E$5:$E$1504,"&gt;"&amp;$E812))</f>
        <v/>
      </c>
      <c r="J812" s="33" t="str">
        <f aca="false">IF($G812="","",IF(H812&gt;0,IF(I812&gt;0,MIN(H812,I812),H812),IF(I812&gt;0,I812,تاريخ_الاحتساب)))</f>
        <v/>
      </c>
      <c r="K812" s="34" t="str">
        <f aca="false">IF($G812="","",IF(AND(H812=0,I812=0),"جارية","مغلقة"))</f>
        <v/>
      </c>
      <c r="L812" s="26" t="str">
        <f aca="false">IF($G812="","",MAX(0,NETWORKDAYS.INTL($E812,J812,رمز_العطلة,أيام_الأجازات)-1))</f>
        <v/>
      </c>
      <c r="M812" s="26" t="str">
        <f aca="false">IF($G812="","",MAX(0,L812-مهلة_المراجعة))</f>
        <v/>
      </c>
      <c r="N812" s="30" t="str">
        <f aca="false">IF($A812="",IF(OR($D812&lt;&gt;"",$E812&lt;&gt;""),"رقم المخرج ناقص",""),IF(ISNA(MATCH($A812,قائمة_المخرجات,0)),"رقم مخرج غير موجود",IF($D812="","نوع الحركة ناقص",IF(NOT(ISNUMBER($E812)),"التاريخ ناقص",IF($E812&gt;تاريخ_الاحتساب,"تاريخ بعد تاريخ الاحتساب",IF(AND($D812&lt;&gt;"تسليم",COUNTIFS($A$5:$A$1504,$A812,$D$5:$D$1504,"تسليم",$E$5:$E$1504,"&lt;="&amp;$E812)=0),"لا يوجد تسليم قبل الحركة دي",""))))))</f>
        <v/>
      </c>
    </row>
    <row r="813" customFormat="false" ht="15" hidden="false" customHeight="false" outlineLevel="0" collapsed="false">
      <c r="A813" s="20"/>
      <c r="B813" s="35" t="str">
        <f aca="false">IF($A813="","",IFERROR(INDEX(مخرج_البند,MATCH($A813,قائمة_المخرجات,0)),""))</f>
        <v/>
      </c>
      <c r="C813" s="30" t="str">
        <f aca="false">IF($A813="","",IFERROR(INDEX(مخرج_الوصف,MATCH($A813,قائمة_المخرجات,0)),""))</f>
        <v/>
      </c>
      <c r="D813" s="20"/>
      <c r="E813" s="31"/>
      <c r="F813" s="22"/>
      <c r="G813" s="36" t="str">
        <f aca="false">IF(OR($A813="",$D813&lt;&gt;"تسليم",NOT(ISNUMBER($E813))),"",COUNTIFS($A$5:$A$1504,$A813,$D$5:$D$1504,"تسليم",$E$5:$E$1504,"&lt;"&amp;$E813)+1)</f>
        <v/>
      </c>
      <c r="H813" s="33" t="str">
        <f aca="false">IF($G813="","",_xlfn.MINIFS($E$5:$E$1504,$A$5:$A$1504,$A813,$D$5:$D$1504,"&lt;&gt;تسليم",$E$5:$E$1504,"&gt;="&amp;$E813))</f>
        <v/>
      </c>
      <c r="I813" s="33" t="str">
        <f aca="false">IF($G813="","",_xlfn.MINIFS($E$5:$E$1504,$A$5:$A$1504,$A813,$D$5:$D$1504,"تسليم",$E$5:$E$1504,"&gt;"&amp;$E813))</f>
        <v/>
      </c>
      <c r="J813" s="33" t="str">
        <f aca="false">IF($G813="","",IF(H813&gt;0,IF(I813&gt;0,MIN(H813,I813),H813),IF(I813&gt;0,I813,تاريخ_الاحتساب)))</f>
        <v/>
      </c>
      <c r="K813" s="34" t="str">
        <f aca="false">IF($G813="","",IF(AND(H813=0,I813=0),"جارية","مغلقة"))</f>
        <v/>
      </c>
      <c r="L813" s="26" t="str">
        <f aca="false">IF($G813="","",MAX(0,NETWORKDAYS.INTL($E813,J813,رمز_العطلة,أيام_الأجازات)-1))</f>
        <v/>
      </c>
      <c r="M813" s="26" t="str">
        <f aca="false">IF($G813="","",MAX(0,L813-مهلة_المراجعة))</f>
        <v/>
      </c>
      <c r="N813" s="30" t="str">
        <f aca="false">IF($A813="",IF(OR($D813&lt;&gt;"",$E813&lt;&gt;""),"رقم المخرج ناقص",""),IF(ISNA(MATCH($A813,قائمة_المخرجات,0)),"رقم مخرج غير موجود",IF($D813="","نوع الحركة ناقص",IF(NOT(ISNUMBER($E813)),"التاريخ ناقص",IF($E813&gt;تاريخ_الاحتساب,"تاريخ بعد تاريخ الاحتساب",IF(AND($D813&lt;&gt;"تسليم",COUNTIFS($A$5:$A$1504,$A813,$D$5:$D$1504,"تسليم",$E$5:$E$1504,"&lt;="&amp;$E813)=0),"لا يوجد تسليم قبل الحركة دي",""))))))</f>
        <v/>
      </c>
    </row>
    <row r="814" customFormat="false" ht="15" hidden="false" customHeight="false" outlineLevel="0" collapsed="false">
      <c r="A814" s="20"/>
      <c r="B814" s="35" t="str">
        <f aca="false">IF($A814="","",IFERROR(INDEX(مخرج_البند,MATCH($A814,قائمة_المخرجات,0)),""))</f>
        <v/>
      </c>
      <c r="C814" s="30" t="str">
        <f aca="false">IF($A814="","",IFERROR(INDEX(مخرج_الوصف,MATCH($A814,قائمة_المخرجات,0)),""))</f>
        <v/>
      </c>
      <c r="D814" s="20"/>
      <c r="E814" s="31"/>
      <c r="F814" s="22"/>
      <c r="G814" s="36" t="str">
        <f aca="false">IF(OR($A814="",$D814&lt;&gt;"تسليم",NOT(ISNUMBER($E814))),"",COUNTIFS($A$5:$A$1504,$A814,$D$5:$D$1504,"تسليم",$E$5:$E$1504,"&lt;"&amp;$E814)+1)</f>
        <v/>
      </c>
      <c r="H814" s="33" t="str">
        <f aca="false">IF($G814="","",_xlfn.MINIFS($E$5:$E$1504,$A$5:$A$1504,$A814,$D$5:$D$1504,"&lt;&gt;تسليم",$E$5:$E$1504,"&gt;="&amp;$E814))</f>
        <v/>
      </c>
      <c r="I814" s="33" t="str">
        <f aca="false">IF($G814="","",_xlfn.MINIFS($E$5:$E$1504,$A$5:$A$1504,$A814,$D$5:$D$1504,"تسليم",$E$5:$E$1504,"&gt;"&amp;$E814))</f>
        <v/>
      </c>
      <c r="J814" s="33" t="str">
        <f aca="false">IF($G814="","",IF(H814&gt;0,IF(I814&gt;0,MIN(H814,I814),H814),IF(I814&gt;0,I814,تاريخ_الاحتساب)))</f>
        <v/>
      </c>
      <c r="K814" s="34" t="str">
        <f aca="false">IF($G814="","",IF(AND(H814=0,I814=0),"جارية","مغلقة"))</f>
        <v/>
      </c>
      <c r="L814" s="26" t="str">
        <f aca="false">IF($G814="","",MAX(0,NETWORKDAYS.INTL($E814,J814,رمز_العطلة,أيام_الأجازات)-1))</f>
        <v/>
      </c>
      <c r="M814" s="26" t="str">
        <f aca="false">IF($G814="","",MAX(0,L814-مهلة_المراجعة))</f>
        <v/>
      </c>
      <c r="N814" s="30" t="str">
        <f aca="false">IF($A814="",IF(OR($D814&lt;&gt;"",$E814&lt;&gt;""),"رقم المخرج ناقص",""),IF(ISNA(MATCH($A814,قائمة_المخرجات,0)),"رقم مخرج غير موجود",IF($D814="","نوع الحركة ناقص",IF(NOT(ISNUMBER($E814)),"التاريخ ناقص",IF($E814&gt;تاريخ_الاحتساب,"تاريخ بعد تاريخ الاحتساب",IF(AND($D814&lt;&gt;"تسليم",COUNTIFS($A$5:$A$1504,$A814,$D$5:$D$1504,"تسليم",$E$5:$E$1504,"&lt;="&amp;$E814)=0),"لا يوجد تسليم قبل الحركة دي",""))))))</f>
        <v/>
      </c>
    </row>
    <row r="815" customFormat="false" ht="15" hidden="false" customHeight="false" outlineLevel="0" collapsed="false">
      <c r="A815" s="20"/>
      <c r="B815" s="35" t="str">
        <f aca="false">IF($A815="","",IFERROR(INDEX(مخرج_البند,MATCH($A815,قائمة_المخرجات,0)),""))</f>
        <v/>
      </c>
      <c r="C815" s="30" t="str">
        <f aca="false">IF($A815="","",IFERROR(INDEX(مخرج_الوصف,MATCH($A815,قائمة_المخرجات,0)),""))</f>
        <v/>
      </c>
      <c r="D815" s="20"/>
      <c r="E815" s="31"/>
      <c r="F815" s="22"/>
      <c r="G815" s="36" t="str">
        <f aca="false">IF(OR($A815="",$D815&lt;&gt;"تسليم",NOT(ISNUMBER($E815))),"",COUNTIFS($A$5:$A$1504,$A815,$D$5:$D$1504,"تسليم",$E$5:$E$1504,"&lt;"&amp;$E815)+1)</f>
        <v/>
      </c>
      <c r="H815" s="33" t="str">
        <f aca="false">IF($G815="","",_xlfn.MINIFS($E$5:$E$1504,$A$5:$A$1504,$A815,$D$5:$D$1504,"&lt;&gt;تسليم",$E$5:$E$1504,"&gt;="&amp;$E815))</f>
        <v/>
      </c>
      <c r="I815" s="33" t="str">
        <f aca="false">IF($G815="","",_xlfn.MINIFS($E$5:$E$1504,$A$5:$A$1504,$A815,$D$5:$D$1504,"تسليم",$E$5:$E$1504,"&gt;"&amp;$E815))</f>
        <v/>
      </c>
      <c r="J815" s="33" t="str">
        <f aca="false">IF($G815="","",IF(H815&gt;0,IF(I815&gt;0,MIN(H815,I815),H815),IF(I815&gt;0,I815,تاريخ_الاحتساب)))</f>
        <v/>
      </c>
      <c r="K815" s="34" t="str">
        <f aca="false">IF($G815="","",IF(AND(H815=0,I815=0),"جارية","مغلقة"))</f>
        <v/>
      </c>
      <c r="L815" s="26" t="str">
        <f aca="false">IF($G815="","",MAX(0,NETWORKDAYS.INTL($E815,J815,رمز_العطلة,أيام_الأجازات)-1))</f>
        <v/>
      </c>
      <c r="M815" s="26" t="str">
        <f aca="false">IF($G815="","",MAX(0,L815-مهلة_المراجعة))</f>
        <v/>
      </c>
      <c r="N815" s="30" t="str">
        <f aca="false">IF($A815="",IF(OR($D815&lt;&gt;"",$E815&lt;&gt;""),"رقم المخرج ناقص",""),IF(ISNA(MATCH($A815,قائمة_المخرجات,0)),"رقم مخرج غير موجود",IF($D815="","نوع الحركة ناقص",IF(NOT(ISNUMBER($E815)),"التاريخ ناقص",IF($E815&gt;تاريخ_الاحتساب,"تاريخ بعد تاريخ الاحتساب",IF(AND($D815&lt;&gt;"تسليم",COUNTIFS($A$5:$A$1504,$A815,$D$5:$D$1504,"تسليم",$E$5:$E$1504,"&lt;="&amp;$E815)=0),"لا يوجد تسليم قبل الحركة دي",""))))))</f>
        <v/>
      </c>
    </row>
    <row r="816" customFormat="false" ht="15" hidden="false" customHeight="false" outlineLevel="0" collapsed="false">
      <c r="A816" s="20"/>
      <c r="B816" s="35" t="str">
        <f aca="false">IF($A816="","",IFERROR(INDEX(مخرج_البند,MATCH($A816,قائمة_المخرجات,0)),""))</f>
        <v/>
      </c>
      <c r="C816" s="30" t="str">
        <f aca="false">IF($A816="","",IFERROR(INDEX(مخرج_الوصف,MATCH($A816,قائمة_المخرجات,0)),""))</f>
        <v/>
      </c>
      <c r="D816" s="20"/>
      <c r="E816" s="31"/>
      <c r="F816" s="22"/>
      <c r="G816" s="36" t="str">
        <f aca="false">IF(OR($A816="",$D816&lt;&gt;"تسليم",NOT(ISNUMBER($E816))),"",COUNTIFS($A$5:$A$1504,$A816,$D$5:$D$1504,"تسليم",$E$5:$E$1504,"&lt;"&amp;$E816)+1)</f>
        <v/>
      </c>
      <c r="H816" s="33" t="str">
        <f aca="false">IF($G816="","",_xlfn.MINIFS($E$5:$E$1504,$A$5:$A$1504,$A816,$D$5:$D$1504,"&lt;&gt;تسليم",$E$5:$E$1504,"&gt;="&amp;$E816))</f>
        <v/>
      </c>
      <c r="I816" s="33" t="str">
        <f aca="false">IF($G816="","",_xlfn.MINIFS($E$5:$E$1504,$A$5:$A$1504,$A816,$D$5:$D$1504,"تسليم",$E$5:$E$1504,"&gt;"&amp;$E816))</f>
        <v/>
      </c>
      <c r="J816" s="33" t="str">
        <f aca="false">IF($G816="","",IF(H816&gt;0,IF(I816&gt;0,MIN(H816,I816),H816),IF(I816&gt;0,I816,تاريخ_الاحتساب)))</f>
        <v/>
      </c>
      <c r="K816" s="34" t="str">
        <f aca="false">IF($G816="","",IF(AND(H816=0,I816=0),"جارية","مغلقة"))</f>
        <v/>
      </c>
      <c r="L816" s="26" t="str">
        <f aca="false">IF($G816="","",MAX(0,NETWORKDAYS.INTL($E816,J816,رمز_العطلة,أيام_الأجازات)-1))</f>
        <v/>
      </c>
      <c r="M816" s="26" t="str">
        <f aca="false">IF($G816="","",MAX(0,L816-مهلة_المراجعة))</f>
        <v/>
      </c>
      <c r="N816" s="30" t="str">
        <f aca="false">IF($A816="",IF(OR($D816&lt;&gt;"",$E816&lt;&gt;""),"رقم المخرج ناقص",""),IF(ISNA(MATCH($A816,قائمة_المخرجات,0)),"رقم مخرج غير موجود",IF($D816="","نوع الحركة ناقص",IF(NOT(ISNUMBER($E816)),"التاريخ ناقص",IF($E816&gt;تاريخ_الاحتساب,"تاريخ بعد تاريخ الاحتساب",IF(AND($D816&lt;&gt;"تسليم",COUNTIFS($A$5:$A$1504,$A816,$D$5:$D$1504,"تسليم",$E$5:$E$1504,"&lt;="&amp;$E816)=0),"لا يوجد تسليم قبل الحركة دي",""))))))</f>
        <v/>
      </c>
    </row>
    <row r="817" customFormat="false" ht="15" hidden="false" customHeight="false" outlineLevel="0" collapsed="false">
      <c r="A817" s="20"/>
      <c r="B817" s="35" t="str">
        <f aca="false">IF($A817="","",IFERROR(INDEX(مخرج_البند,MATCH($A817,قائمة_المخرجات,0)),""))</f>
        <v/>
      </c>
      <c r="C817" s="30" t="str">
        <f aca="false">IF($A817="","",IFERROR(INDEX(مخرج_الوصف,MATCH($A817,قائمة_المخرجات,0)),""))</f>
        <v/>
      </c>
      <c r="D817" s="20"/>
      <c r="E817" s="31"/>
      <c r="F817" s="22"/>
      <c r="G817" s="36" t="str">
        <f aca="false">IF(OR($A817="",$D817&lt;&gt;"تسليم",NOT(ISNUMBER($E817))),"",COUNTIFS($A$5:$A$1504,$A817,$D$5:$D$1504,"تسليم",$E$5:$E$1504,"&lt;"&amp;$E817)+1)</f>
        <v/>
      </c>
      <c r="H817" s="33" t="str">
        <f aca="false">IF($G817="","",_xlfn.MINIFS($E$5:$E$1504,$A$5:$A$1504,$A817,$D$5:$D$1504,"&lt;&gt;تسليم",$E$5:$E$1504,"&gt;="&amp;$E817))</f>
        <v/>
      </c>
      <c r="I817" s="33" t="str">
        <f aca="false">IF($G817="","",_xlfn.MINIFS($E$5:$E$1504,$A$5:$A$1504,$A817,$D$5:$D$1504,"تسليم",$E$5:$E$1504,"&gt;"&amp;$E817))</f>
        <v/>
      </c>
      <c r="J817" s="33" t="str">
        <f aca="false">IF($G817="","",IF(H817&gt;0,IF(I817&gt;0,MIN(H817,I817),H817),IF(I817&gt;0,I817,تاريخ_الاحتساب)))</f>
        <v/>
      </c>
      <c r="K817" s="34" t="str">
        <f aca="false">IF($G817="","",IF(AND(H817=0,I817=0),"جارية","مغلقة"))</f>
        <v/>
      </c>
      <c r="L817" s="26" t="str">
        <f aca="false">IF($G817="","",MAX(0,NETWORKDAYS.INTL($E817,J817,رمز_العطلة,أيام_الأجازات)-1))</f>
        <v/>
      </c>
      <c r="M817" s="26" t="str">
        <f aca="false">IF($G817="","",MAX(0,L817-مهلة_المراجعة))</f>
        <v/>
      </c>
      <c r="N817" s="30" t="str">
        <f aca="false">IF($A817="",IF(OR($D817&lt;&gt;"",$E817&lt;&gt;""),"رقم المخرج ناقص",""),IF(ISNA(MATCH($A817,قائمة_المخرجات,0)),"رقم مخرج غير موجود",IF($D817="","نوع الحركة ناقص",IF(NOT(ISNUMBER($E817)),"التاريخ ناقص",IF($E817&gt;تاريخ_الاحتساب,"تاريخ بعد تاريخ الاحتساب",IF(AND($D817&lt;&gt;"تسليم",COUNTIFS($A$5:$A$1504,$A817,$D$5:$D$1504,"تسليم",$E$5:$E$1504,"&lt;="&amp;$E817)=0),"لا يوجد تسليم قبل الحركة دي",""))))))</f>
        <v/>
      </c>
    </row>
    <row r="818" customFormat="false" ht="15" hidden="false" customHeight="false" outlineLevel="0" collapsed="false">
      <c r="A818" s="20"/>
      <c r="B818" s="35" t="str">
        <f aca="false">IF($A818="","",IFERROR(INDEX(مخرج_البند,MATCH($A818,قائمة_المخرجات,0)),""))</f>
        <v/>
      </c>
      <c r="C818" s="30" t="str">
        <f aca="false">IF($A818="","",IFERROR(INDEX(مخرج_الوصف,MATCH($A818,قائمة_المخرجات,0)),""))</f>
        <v/>
      </c>
      <c r="D818" s="20"/>
      <c r="E818" s="31"/>
      <c r="F818" s="22"/>
      <c r="G818" s="36" t="str">
        <f aca="false">IF(OR($A818="",$D818&lt;&gt;"تسليم",NOT(ISNUMBER($E818))),"",COUNTIFS($A$5:$A$1504,$A818,$D$5:$D$1504,"تسليم",$E$5:$E$1504,"&lt;"&amp;$E818)+1)</f>
        <v/>
      </c>
      <c r="H818" s="33" t="str">
        <f aca="false">IF($G818="","",_xlfn.MINIFS($E$5:$E$1504,$A$5:$A$1504,$A818,$D$5:$D$1504,"&lt;&gt;تسليم",$E$5:$E$1504,"&gt;="&amp;$E818))</f>
        <v/>
      </c>
      <c r="I818" s="33" t="str">
        <f aca="false">IF($G818="","",_xlfn.MINIFS($E$5:$E$1504,$A$5:$A$1504,$A818,$D$5:$D$1504,"تسليم",$E$5:$E$1504,"&gt;"&amp;$E818))</f>
        <v/>
      </c>
      <c r="J818" s="33" t="str">
        <f aca="false">IF($G818="","",IF(H818&gt;0,IF(I818&gt;0,MIN(H818,I818),H818),IF(I818&gt;0,I818,تاريخ_الاحتساب)))</f>
        <v/>
      </c>
      <c r="K818" s="34" t="str">
        <f aca="false">IF($G818="","",IF(AND(H818=0,I818=0),"جارية","مغلقة"))</f>
        <v/>
      </c>
      <c r="L818" s="26" t="str">
        <f aca="false">IF($G818="","",MAX(0,NETWORKDAYS.INTL($E818,J818,رمز_العطلة,أيام_الأجازات)-1))</f>
        <v/>
      </c>
      <c r="M818" s="26" t="str">
        <f aca="false">IF($G818="","",MAX(0,L818-مهلة_المراجعة))</f>
        <v/>
      </c>
      <c r="N818" s="30" t="str">
        <f aca="false">IF($A818="",IF(OR($D818&lt;&gt;"",$E818&lt;&gt;""),"رقم المخرج ناقص",""),IF(ISNA(MATCH($A818,قائمة_المخرجات,0)),"رقم مخرج غير موجود",IF($D818="","نوع الحركة ناقص",IF(NOT(ISNUMBER($E818)),"التاريخ ناقص",IF($E818&gt;تاريخ_الاحتساب,"تاريخ بعد تاريخ الاحتساب",IF(AND($D818&lt;&gt;"تسليم",COUNTIFS($A$5:$A$1504,$A818,$D$5:$D$1504,"تسليم",$E$5:$E$1504,"&lt;="&amp;$E818)=0),"لا يوجد تسليم قبل الحركة دي",""))))))</f>
        <v/>
      </c>
    </row>
    <row r="819" customFormat="false" ht="15" hidden="false" customHeight="false" outlineLevel="0" collapsed="false">
      <c r="A819" s="20"/>
      <c r="B819" s="35" t="str">
        <f aca="false">IF($A819="","",IFERROR(INDEX(مخرج_البند,MATCH($A819,قائمة_المخرجات,0)),""))</f>
        <v/>
      </c>
      <c r="C819" s="30" t="str">
        <f aca="false">IF($A819="","",IFERROR(INDEX(مخرج_الوصف,MATCH($A819,قائمة_المخرجات,0)),""))</f>
        <v/>
      </c>
      <c r="D819" s="20"/>
      <c r="E819" s="31"/>
      <c r="F819" s="22"/>
      <c r="G819" s="36" t="str">
        <f aca="false">IF(OR($A819="",$D819&lt;&gt;"تسليم",NOT(ISNUMBER($E819))),"",COUNTIFS($A$5:$A$1504,$A819,$D$5:$D$1504,"تسليم",$E$5:$E$1504,"&lt;"&amp;$E819)+1)</f>
        <v/>
      </c>
      <c r="H819" s="33" t="str">
        <f aca="false">IF($G819="","",_xlfn.MINIFS($E$5:$E$1504,$A$5:$A$1504,$A819,$D$5:$D$1504,"&lt;&gt;تسليم",$E$5:$E$1504,"&gt;="&amp;$E819))</f>
        <v/>
      </c>
      <c r="I819" s="33" t="str">
        <f aca="false">IF($G819="","",_xlfn.MINIFS($E$5:$E$1504,$A$5:$A$1504,$A819,$D$5:$D$1504,"تسليم",$E$5:$E$1504,"&gt;"&amp;$E819))</f>
        <v/>
      </c>
      <c r="J819" s="33" t="str">
        <f aca="false">IF($G819="","",IF(H819&gt;0,IF(I819&gt;0,MIN(H819,I819),H819),IF(I819&gt;0,I819,تاريخ_الاحتساب)))</f>
        <v/>
      </c>
      <c r="K819" s="34" t="str">
        <f aca="false">IF($G819="","",IF(AND(H819=0,I819=0),"جارية","مغلقة"))</f>
        <v/>
      </c>
      <c r="L819" s="26" t="str">
        <f aca="false">IF($G819="","",MAX(0,NETWORKDAYS.INTL($E819,J819,رمز_العطلة,أيام_الأجازات)-1))</f>
        <v/>
      </c>
      <c r="M819" s="26" t="str">
        <f aca="false">IF($G819="","",MAX(0,L819-مهلة_المراجعة))</f>
        <v/>
      </c>
      <c r="N819" s="30" t="str">
        <f aca="false">IF($A819="",IF(OR($D819&lt;&gt;"",$E819&lt;&gt;""),"رقم المخرج ناقص",""),IF(ISNA(MATCH($A819,قائمة_المخرجات,0)),"رقم مخرج غير موجود",IF($D819="","نوع الحركة ناقص",IF(NOT(ISNUMBER($E819)),"التاريخ ناقص",IF($E819&gt;تاريخ_الاحتساب,"تاريخ بعد تاريخ الاحتساب",IF(AND($D819&lt;&gt;"تسليم",COUNTIFS($A$5:$A$1504,$A819,$D$5:$D$1504,"تسليم",$E$5:$E$1504,"&lt;="&amp;$E819)=0),"لا يوجد تسليم قبل الحركة دي",""))))))</f>
        <v/>
      </c>
    </row>
    <row r="820" customFormat="false" ht="15" hidden="false" customHeight="false" outlineLevel="0" collapsed="false">
      <c r="A820" s="20"/>
      <c r="B820" s="35" t="str">
        <f aca="false">IF($A820="","",IFERROR(INDEX(مخرج_البند,MATCH($A820,قائمة_المخرجات,0)),""))</f>
        <v/>
      </c>
      <c r="C820" s="30" t="str">
        <f aca="false">IF($A820="","",IFERROR(INDEX(مخرج_الوصف,MATCH($A820,قائمة_المخرجات,0)),""))</f>
        <v/>
      </c>
      <c r="D820" s="20"/>
      <c r="E820" s="31"/>
      <c r="F820" s="22"/>
      <c r="G820" s="36" t="str">
        <f aca="false">IF(OR($A820="",$D820&lt;&gt;"تسليم",NOT(ISNUMBER($E820))),"",COUNTIFS($A$5:$A$1504,$A820,$D$5:$D$1504,"تسليم",$E$5:$E$1504,"&lt;"&amp;$E820)+1)</f>
        <v/>
      </c>
      <c r="H820" s="33" t="str">
        <f aca="false">IF($G820="","",_xlfn.MINIFS($E$5:$E$1504,$A$5:$A$1504,$A820,$D$5:$D$1504,"&lt;&gt;تسليم",$E$5:$E$1504,"&gt;="&amp;$E820))</f>
        <v/>
      </c>
      <c r="I820" s="33" t="str">
        <f aca="false">IF($G820="","",_xlfn.MINIFS($E$5:$E$1504,$A$5:$A$1504,$A820,$D$5:$D$1504,"تسليم",$E$5:$E$1504,"&gt;"&amp;$E820))</f>
        <v/>
      </c>
      <c r="J820" s="33" t="str">
        <f aca="false">IF($G820="","",IF(H820&gt;0,IF(I820&gt;0,MIN(H820,I820),H820),IF(I820&gt;0,I820,تاريخ_الاحتساب)))</f>
        <v/>
      </c>
      <c r="K820" s="34" t="str">
        <f aca="false">IF($G820="","",IF(AND(H820=0,I820=0),"جارية","مغلقة"))</f>
        <v/>
      </c>
      <c r="L820" s="26" t="str">
        <f aca="false">IF($G820="","",MAX(0,NETWORKDAYS.INTL($E820,J820,رمز_العطلة,أيام_الأجازات)-1))</f>
        <v/>
      </c>
      <c r="M820" s="26" t="str">
        <f aca="false">IF($G820="","",MAX(0,L820-مهلة_المراجعة))</f>
        <v/>
      </c>
      <c r="N820" s="30" t="str">
        <f aca="false">IF($A820="",IF(OR($D820&lt;&gt;"",$E820&lt;&gt;""),"رقم المخرج ناقص",""),IF(ISNA(MATCH($A820,قائمة_المخرجات,0)),"رقم مخرج غير موجود",IF($D820="","نوع الحركة ناقص",IF(NOT(ISNUMBER($E820)),"التاريخ ناقص",IF($E820&gt;تاريخ_الاحتساب,"تاريخ بعد تاريخ الاحتساب",IF(AND($D820&lt;&gt;"تسليم",COUNTIFS($A$5:$A$1504,$A820,$D$5:$D$1504,"تسليم",$E$5:$E$1504,"&lt;="&amp;$E820)=0),"لا يوجد تسليم قبل الحركة دي",""))))))</f>
        <v/>
      </c>
    </row>
    <row r="821" customFormat="false" ht="15" hidden="false" customHeight="false" outlineLevel="0" collapsed="false">
      <c r="A821" s="20"/>
      <c r="B821" s="35" t="str">
        <f aca="false">IF($A821="","",IFERROR(INDEX(مخرج_البند,MATCH($A821,قائمة_المخرجات,0)),""))</f>
        <v/>
      </c>
      <c r="C821" s="30" t="str">
        <f aca="false">IF($A821="","",IFERROR(INDEX(مخرج_الوصف,MATCH($A821,قائمة_المخرجات,0)),""))</f>
        <v/>
      </c>
      <c r="D821" s="20"/>
      <c r="E821" s="31"/>
      <c r="F821" s="22"/>
      <c r="G821" s="36" t="str">
        <f aca="false">IF(OR($A821="",$D821&lt;&gt;"تسليم",NOT(ISNUMBER($E821))),"",COUNTIFS($A$5:$A$1504,$A821,$D$5:$D$1504,"تسليم",$E$5:$E$1504,"&lt;"&amp;$E821)+1)</f>
        <v/>
      </c>
      <c r="H821" s="33" t="str">
        <f aca="false">IF($G821="","",_xlfn.MINIFS($E$5:$E$1504,$A$5:$A$1504,$A821,$D$5:$D$1504,"&lt;&gt;تسليم",$E$5:$E$1504,"&gt;="&amp;$E821))</f>
        <v/>
      </c>
      <c r="I821" s="33" t="str">
        <f aca="false">IF($G821="","",_xlfn.MINIFS($E$5:$E$1504,$A$5:$A$1504,$A821,$D$5:$D$1504,"تسليم",$E$5:$E$1504,"&gt;"&amp;$E821))</f>
        <v/>
      </c>
      <c r="J821" s="33" t="str">
        <f aca="false">IF($G821="","",IF(H821&gt;0,IF(I821&gt;0,MIN(H821,I821),H821),IF(I821&gt;0,I821,تاريخ_الاحتساب)))</f>
        <v/>
      </c>
      <c r="K821" s="34" t="str">
        <f aca="false">IF($G821="","",IF(AND(H821=0,I821=0),"جارية","مغلقة"))</f>
        <v/>
      </c>
      <c r="L821" s="26" t="str">
        <f aca="false">IF($G821="","",MAX(0,NETWORKDAYS.INTL($E821,J821,رمز_العطلة,أيام_الأجازات)-1))</f>
        <v/>
      </c>
      <c r="M821" s="26" t="str">
        <f aca="false">IF($G821="","",MAX(0,L821-مهلة_المراجعة))</f>
        <v/>
      </c>
      <c r="N821" s="30" t="str">
        <f aca="false">IF($A821="",IF(OR($D821&lt;&gt;"",$E821&lt;&gt;""),"رقم المخرج ناقص",""),IF(ISNA(MATCH($A821,قائمة_المخرجات,0)),"رقم مخرج غير موجود",IF($D821="","نوع الحركة ناقص",IF(NOT(ISNUMBER($E821)),"التاريخ ناقص",IF($E821&gt;تاريخ_الاحتساب,"تاريخ بعد تاريخ الاحتساب",IF(AND($D821&lt;&gt;"تسليم",COUNTIFS($A$5:$A$1504,$A821,$D$5:$D$1504,"تسليم",$E$5:$E$1504,"&lt;="&amp;$E821)=0),"لا يوجد تسليم قبل الحركة دي",""))))))</f>
        <v/>
      </c>
    </row>
    <row r="822" customFormat="false" ht="15" hidden="false" customHeight="false" outlineLevel="0" collapsed="false">
      <c r="A822" s="20"/>
      <c r="B822" s="35" t="str">
        <f aca="false">IF($A822="","",IFERROR(INDEX(مخرج_البند,MATCH($A822,قائمة_المخرجات,0)),""))</f>
        <v/>
      </c>
      <c r="C822" s="30" t="str">
        <f aca="false">IF($A822="","",IFERROR(INDEX(مخرج_الوصف,MATCH($A822,قائمة_المخرجات,0)),""))</f>
        <v/>
      </c>
      <c r="D822" s="20"/>
      <c r="E822" s="31"/>
      <c r="F822" s="22"/>
      <c r="G822" s="36" t="str">
        <f aca="false">IF(OR($A822="",$D822&lt;&gt;"تسليم",NOT(ISNUMBER($E822))),"",COUNTIFS($A$5:$A$1504,$A822,$D$5:$D$1504,"تسليم",$E$5:$E$1504,"&lt;"&amp;$E822)+1)</f>
        <v/>
      </c>
      <c r="H822" s="33" t="str">
        <f aca="false">IF($G822="","",_xlfn.MINIFS($E$5:$E$1504,$A$5:$A$1504,$A822,$D$5:$D$1504,"&lt;&gt;تسليم",$E$5:$E$1504,"&gt;="&amp;$E822))</f>
        <v/>
      </c>
      <c r="I822" s="33" t="str">
        <f aca="false">IF($G822="","",_xlfn.MINIFS($E$5:$E$1504,$A$5:$A$1504,$A822,$D$5:$D$1504,"تسليم",$E$5:$E$1504,"&gt;"&amp;$E822))</f>
        <v/>
      </c>
      <c r="J822" s="33" t="str">
        <f aca="false">IF($G822="","",IF(H822&gt;0,IF(I822&gt;0,MIN(H822,I822),H822),IF(I822&gt;0,I822,تاريخ_الاحتساب)))</f>
        <v/>
      </c>
      <c r="K822" s="34" t="str">
        <f aca="false">IF($G822="","",IF(AND(H822=0,I822=0),"جارية","مغلقة"))</f>
        <v/>
      </c>
      <c r="L822" s="26" t="str">
        <f aca="false">IF($G822="","",MAX(0,NETWORKDAYS.INTL($E822,J822,رمز_العطلة,أيام_الأجازات)-1))</f>
        <v/>
      </c>
      <c r="M822" s="26" t="str">
        <f aca="false">IF($G822="","",MAX(0,L822-مهلة_المراجعة))</f>
        <v/>
      </c>
      <c r="N822" s="30" t="str">
        <f aca="false">IF($A822="",IF(OR($D822&lt;&gt;"",$E822&lt;&gt;""),"رقم المخرج ناقص",""),IF(ISNA(MATCH($A822,قائمة_المخرجات,0)),"رقم مخرج غير موجود",IF($D822="","نوع الحركة ناقص",IF(NOT(ISNUMBER($E822)),"التاريخ ناقص",IF($E822&gt;تاريخ_الاحتساب,"تاريخ بعد تاريخ الاحتساب",IF(AND($D822&lt;&gt;"تسليم",COUNTIFS($A$5:$A$1504,$A822,$D$5:$D$1504,"تسليم",$E$5:$E$1504,"&lt;="&amp;$E822)=0),"لا يوجد تسليم قبل الحركة دي",""))))))</f>
        <v/>
      </c>
    </row>
    <row r="823" customFormat="false" ht="15" hidden="false" customHeight="false" outlineLevel="0" collapsed="false">
      <c r="A823" s="20"/>
      <c r="B823" s="35" t="str">
        <f aca="false">IF($A823="","",IFERROR(INDEX(مخرج_البند,MATCH($A823,قائمة_المخرجات,0)),""))</f>
        <v/>
      </c>
      <c r="C823" s="30" t="str">
        <f aca="false">IF($A823="","",IFERROR(INDEX(مخرج_الوصف,MATCH($A823,قائمة_المخرجات,0)),""))</f>
        <v/>
      </c>
      <c r="D823" s="20"/>
      <c r="E823" s="31"/>
      <c r="F823" s="22"/>
      <c r="G823" s="36" t="str">
        <f aca="false">IF(OR($A823="",$D823&lt;&gt;"تسليم",NOT(ISNUMBER($E823))),"",COUNTIFS($A$5:$A$1504,$A823,$D$5:$D$1504,"تسليم",$E$5:$E$1504,"&lt;"&amp;$E823)+1)</f>
        <v/>
      </c>
      <c r="H823" s="33" t="str">
        <f aca="false">IF($G823="","",_xlfn.MINIFS($E$5:$E$1504,$A$5:$A$1504,$A823,$D$5:$D$1504,"&lt;&gt;تسليم",$E$5:$E$1504,"&gt;="&amp;$E823))</f>
        <v/>
      </c>
      <c r="I823" s="33" t="str">
        <f aca="false">IF($G823="","",_xlfn.MINIFS($E$5:$E$1504,$A$5:$A$1504,$A823,$D$5:$D$1504,"تسليم",$E$5:$E$1504,"&gt;"&amp;$E823))</f>
        <v/>
      </c>
      <c r="J823" s="33" t="str">
        <f aca="false">IF($G823="","",IF(H823&gt;0,IF(I823&gt;0,MIN(H823,I823),H823),IF(I823&gt;0,I823,تاريخ_الاحتساب)))</f>
        <v/>
      </c>
      <c r="K823" s="34" t="str">
        <f aca="false">IF($G823="","",IF(AND(H823=0,I823=0),"جارية","مغلقة"))</f>
        <v/>
      </c>
      <c r="L823" s="26" t="str">
        <f aca="false">IF($G823="","",MAX(0,NETWORKDAYS.INTL($E823,J823,رمز_العطلة,أيام_الأجازات)-1))</f>
        <v/>
      </c>
      <c r="M823" s="26" t="str">
        <f aca="false">IF($G823="","",MAX(0,L823-مهلة_المراجعة))</f>
        <v/>
      </c>
      <c r="N823" s="30" t="str">
        <f aca="false">IF($A823="",IF(OR($D823&lt;&gt;"",$E823&lt;&gt;""),"رقم المخرج ناقص",""),IF(ISNA(MATCH($A823,قائمة_المخرجات,0)),"رقم مخرج غير موجود",IF($D823="","نوع الحركة ناقص",IF(NOT(ISNUMBER($E823)),"التاريخ ناقص",IF($E823&gt;تاريخ_الاحتساب,"تاريخ بعد تاريخ الاحتساب",IF(AND($D823&lt;&gt;"تسليم",COUNTIFS($A$5:$A$1504,$A823,$D$5:$D$1504,"تسليم",$E$5:$E$1504,"&lt;="&amp;$E823)=0),"لا يوجد تسليم قبل الحركة دي",""))))))</f>
        <v/>
      </c>
    </row>
    <row r="824" customFormat="false" ht="15" hidden="false" customHeight="false" outlineLevel="0" collapsed="false">
      <c r="A824" s="20"/>
      <c r="B824" s="35" t="str">
        <f aca="false">IF($A824="","",IFERROR(INDEX(مخرج_البند,MATCH($A824,قائمة_المخرجات,0)),""))</f>
        <v/>
      </c>
      <c r="C824" s="30" t="str">
        <f aca="false">IF($A824="","",IFERROR(INDEX(مخرج_الوصف,MATCH($A824,قائمة_المخرجات,0)),""))</f>
        <v/>
      </c>
      <c r="D824" s="20"/>
      <c r="E824" s="31"/>
      <c r="F824" s="22"/>
      <c r="G824" s="36" t="str">
        <f aca="false">IF(OR($A824="",$D824&lt;&gt;"تسليم",NOT(ISNUMBER($E824))),"",COUNTIFS($A$5:$A$1504,$A824,$D$5:$D$1504,"تسليم",$E$5:$E$1504,"&lt;"&amp;$E824)+1)</f>
        <v/>
      </c>
      <c r="H824" s="33" t="str">
        <f aca="false">IF($G824="","",_xlfn.MINIFS($E$5:$E$1504,$A$5:$A$1504,$A824,$D$5:$D$1504,"&lt;&gt;تسليم",$E$5:$E$1504,"&gt;="&amp;$E824))</f>
        <v/>
      </c>
      <c r="I824" s="33" t="str">
        <f aca="false">IF($G824="","",_xlfn.MINIFS($E$5:$E$1504,$A$5:$A$1504,$A824,$D$5:$D$1504,"تسليم",$E$5:$E$1504,"&gt;"&amp;$E824))</f>
        <v/>
      </c>
      <c r="J824" s="33" t="str">
        <f aca="false">IF($G824="","",IF(H824&gt;0,IF(I824&gt;0,MIN(H824,I824),H824),IF(I824&gt;0,I824,تاريخ_الاحتساب)))</f>
        <v/>
      </c>
      <c r="K824" s="34" t="str">
        <f aca="false">IF($G824="","",IF(AND(H824=0,I824=0),"جارية","مغلقة"))</f>
        <v/>
      </c>
      <c r="L824" s="26" t="str">
        <f aca="false">IF($G824="","",MAX(0,NETWORKDAYS.INTL($E824,J824,رمز_العطلة,أيام_الأجازات)-1))</f>
        <v/>
      </c>
      <c r="M824" s="26" t="str">
        <f aca="false">IF($G824="","",MAX(0,L824-مهلة_المراجعة))</f>
        <v/>
      </c>
      <c r="N824" s="30" t="str">
        <f aca="false">IF($A824="",IF(OR($D824&lt;&gt;"",$E824&lt;&gt;""),"رقم المخرج ناقص",""),IF(ISNA(MATCH($A824,قائمة_المخرجات,0)),"رقم مخرج غير موجود",IF($D824="","نوع الحركة ناقص",IF(NOT(ISNUMBER($E824)),"التاريخ ناقص",IF($E824&gt;تاريخ_الاحتساب,"تاريخ بعد تاريخ الاحتساب",IF(AND($D824&lt;&gt;"تسليم",COUNTIFS($A$5:$A$1504,$A824,$D$5:$D$1504,"تسليم",$E$5:$E$1504,"&lt;="&amp;$E824)=0),"لا يوجد تسليم قبل الحركة دي",""))))))</f>
        <v/>
      </c>
    </row>
    <row r="825" customFormat="false" ht="15" hidden="false" customHeight="false" outlineLevel="0" collapsed="false">
      <c r="A825" s="20"/>
      <c r="B825" s="35" t="str">
        <f aca="false">IF($A825="","",IFERROR(INDEX(مخرج_البند,MATCH($A825,قائمة_المخرجات,0)),""))</f>
        <v/>
      </c>
      <c r="C825" s="30" t="str">
        <f aca="false">IF($A825="","",IFERROR(INDEX(مخرج_الوصف,MATCH($A825,قائمة_المخرجات,0)),""))</f>
        <v/>
      </c>
      <c r="D825" s="20"/>
      <c r="E825" s="31"/>
      <c r="F825" s="22"/>
      <c r="G825" s="36" t="str">
        <f aca="false">IF(OR($A825="",$D825&lt;&gt;"تسليم",NOT(ISNUMBER($E825))),"",COUNTIFS($A$5:$A$1504,$A825,$D$5:$D$1504,"تسليم",$E$5:$E$1504,"&lt;"&amp;$E825)+1)</f>
        <v/>
      </c>
      <c r="H825" s="33" t="str">
        <f aca="false">IF($G825="","",_xlfn.MINIFS($E$5:$E$1504,$A$5:$A$1504,$A825,$D$5:$D$1504,"&lt;&gt;تسليم",$E$5:$E$1504,"&gt;="&amp;$E825))</f>
        <v/>
      </c>
      <c r="I825" s="33" t="str">
        <f aca="false">IF($G825="","",_xlfn.MINIFS($E$5:$E$1504,$A$5:$A$1504,$A825,$D$5:$D$1504,"تسليم",$E$5:$E$1504,"&gt;"&amp;$E825))</f>
        <v/>
      </c>
      <c r="J825" s="33" t="str">
        <f aca="false">IF($G825="","",IF(H825&gt;0,IF(I825&gt;0,MIN(H825,I825),H825),IF(I825&gt;0,I825,تاريخ_الاحتساب)))</f>
        <v/>
      </c>
      <c r="K825" s="34" t="str">
        <f aca="false">IF($G825="","",IF(AND(H825=0,I825=0),"جارية","مغلقة"))</f>
        <v/>
      </c>
      <c r="L825" s="26" t="str">
        <f aca="false">IF($G825="","",MAX(0,NETWORKDAYS.INTL($E825,J825,رمز_العطلة,أيام_الأجازات)-1))</f>
        <v/>
      </c>
      <c r="M825" s="26" t="str">
        <f aca="false">IF($G825="","",MAX(0,L825-مهلة_المراجعة))</f>
        <v/>
      </c>
      <c r="N825" s="30" t="str">
        <f aca="false">IF($A825="",IF(OR($D825&lt;&gt;"",$E825&lt;&gt;""),"رقم المخرج ناقص",""),IF(ISNA(MATCH($A825,قائمة_المخرجات,0)),"رقم مخرج غير موجود",IF($D825="","نوع الحركة ناقص",IF(NOT(ISNUMBER($E825)),"التاريخ ناقص",IF($E825&gt;تاريخ_الاحتساب,"تاريخ بعد تاريخ الاحتساب",IF(AND($D825&lt;&gt;"تسليم",COUNTIFS($A$5:$A$1504,$A825,$D$5:$D$1504,"تسليم",$E$5:$E$1504,"&lt;="&amp;$E825)=0),"لا يوجد تسليم قبل الحركة دي",""))))))</f>
        <v/>
      </c>
    </row>
    <row r="826" customFormat="false" ht="15" hidden="false" customHeight="false" outlineLevel="0" collapsed="false">
      <c r="A826" s="20"/>
      <c r="B826" s="35" t="str">
        <f aca="false">IF($A826="","",IFERROR(INDEX(مخرج_البند,MATCH($A826,قائمة_المخرجات,0)),""))</f>
        <v/>
      </c>
      <c r="C826" s="30" t="str">
        <f aca="false">IF($A826="","",IFERROR(INDEX(مخرج_الوصف,MATCH($A826,قائمة_المخرجات,0)),""))</f>
        <v/>
      </c>
      <c r="D826" s="20"/>
      <c r="E826" s="31"/>
      <c r="F826" s="22"/>
      <c r="G826" s="36" t="str">
        <f aca="false">IF(OR($A826="",$D826&lt;&gt;"تسليم",NOT(ISNUMBER($E826))),"",COUNTIFS($A$5:$A$1504,$A826,$D$5:$D$1504,"تسليم",$E$5:$E$1504,"&lt;"&amp;$E826)+1)</f>
        <v/>
      </c>
      <c r="H826" s="33" t="str">
        <f aca="false">IF($G826="","",_xlfn.MINIFS($E$5:$E$1504,$A$5:$A$1504,$A826,$D$5:$D$1504,"&lt;&gt;تسليم",$E$5:$E$1504,"&gt;="&amp;$E826))</f>
        <v/>
      </c>
      <c r="I826" s="33" t="str">
        <f aca="false">IF($G826="","",_xlfn.MINIFS($E$5:$E$1504,$A$5:$A$1504,$A826,$D$5:$D$1504,"تسليم",$E$5:$E$1504,"&gt;"&amp;$E826))</f>
        <v/>
      </c>
      <c r="J826" s="33" t="str">
        <f aca="false">IF($G826="","",IF(H826&gt;0,IF(I826&gt;0,MIN(H826,I826),H826),IF(I826&gt;0,I826,تاريخ_الاحتساب)))</f>
        <v/>
      </c>
      <c r="K826" s="34" t="str">
        <f aca="false">IF($G826="","",IF(AND(H826=0,I826=0),"جارية","مغلقة"))</f>
        <v/>
      </c>
      <c r="L826" s="26" t="str">
        <f aca="false">IF($G826="","",MAX(0,NETWORKDAYS.INTL($E826,J826,رمز_العطلة,أيام_الأجازات)-1))</f>
        <v/>
      </c>
      <c r="M826" s="26" t="str">
        <f aca="false">IF($G826="","",MAX(0,L826-مهلة_المراجعة))</f>
        <v/>
      </c>
      <c r="N826" s="30" t="str">
        <f aca="false">IF($A826="",IF(OR($D826&lt;&gt;"",$E826&lt;&gt;""),"رقم المخرج ناقص",""),IF(ISNA(MATCH($A826,قائمة_المخرجات,0)),"رقم مخرج غير موجود",IF($D826="","نوع الحركة ناقص",IF(NOT(ISNUMBER($E826)),"التاريخ ناقص",IF($E826&gt;تاريخ_الاحتساب,"تاريخ بعد تاريخ الاحتساب",IF(AND($D826&lt;&gt;"تسليم",COUNTIFS($A$5:$A$1504,$A826,$D$5:$D$1504,"تسليم",$E$5:$E$1504,"&lt;="&amp;$E826)=0),"لا يوجد تسليم قبل الحركة دي",""))))))</f>
        <v/>
      </c>
    </row>
    <row r="827" customFormat="false" ht="15" hidden="false" customHeight="false" outlineLevel="0" collapsed="false">
      <c r="A827" s="20"/>
      <c r="B827" s="35" t="str">
        <f aca="false">IF($A827="","",IFERROR(INDEX(مخرج_البند,MATCH($A827,قائمة_المخرجات,0)),""))</f>
        <v/>
      </c>
      <c r="C827" s="30" t="str">
        <f aca="false">IF($A827="","",IFERROR(INDEX(مخرج_الوصف,MATCH($A827,قائمة_المخرجات,0)),""))</f>
        <v/>
      </c>
      <c r="D827" s="20"/>
      <c r="E827" s="31"/>
      <c r="F827" s="22"/>
      <c r="G827" s="36" t="str">
        <f aca="false">IF(OR($A827="",$D827&lt;&gt;"تسليم",NOT(ISNUMBER($E827))),"",COUNTIFS($A$5:$A$1504,$A827,$D$5:$D$1504,"تسليم",$E$5:$E$1504,"&lt;"&amp;$E827)+1)</f>
        <v/>
      </c>
      <c r="H827" s="33" t="str">
        <f aca="false">IF($G827="","",_xlfn.MINIFS($E$5:$E$1504,$A$5:$A$1504,$A827,$D$5:$D$1504,"&lt;&gt;تسليم",$E$5:$E$1504,"&gt;="&amp;$E827))</f>
        <v/>
      </c>
      <c r="I827" s="33" t="str">
        <f aca="false">IF($G827="","",_xlfn.MINIFS($E$5:$E$1504,$A$5:$A$1504,$A827,$D$5:$D$1504,"تسليم",$E$5:$E$1504,"&gt;"&amp;$E827))</f>
        <v/>
      </c>
      <c r="J827" s="33" t="str">
        <f aca="false">IF($G827="","",IF(H827&gt;0,IF(I827&gt;0,MIN(H827,I827),H827),IF(I827&gt;0,I827,تاريخ_الاحتساب)))</f>
        <v/>
      </c>
      <c r="K827" s="34" t="str">
        <f aca="false">IF($G827="","",IF(AND(H827=0,I827=0),"جارية","مغلقة"))</f>
        <v/>
      </c>
      <c r="L827" s="26" t="str">
        <f aca="false">IF($G827="","",MAX(0,NETWORKDAYS.INTL($E827,J827,رمز_العطلة,أيام_الأجازات)-1))</f>
        <v/>
      </c>
      <c r="M827" s="26" t="str">
        <f aca="false">IF($G827="","",MAX(0,L827-مهلة_المراجعة))</f>
        <v/>
      </c>
      <c r="N827" s="30" t="str">
        <f aca="false">IF($A827="",IF(OR($D827&lt;&gt;"",$E827&lt;&gt;""),"رقم المخرج ناقص",""),IF(ISNA(MATCH($A827,قائمة_المخرجات,0)),"رقم مخرج غير موجود",IF($D827="","نوع الحركة ناقص",IF(NOT(ISNUMBER($E827)),"التاريخ ناقص",IF($E827&gt;تاريخ_الاحتساب,"تاريخ بعد تاريخ الاحتساب",IF(AND($D827&lt;&gt;"تسليم",COUNTIFS($A$5:$A$1504,$A827,$D$5:$D$1504,"تسليم",$E$5:$E$1504,"&lt;="&amp;$E827)=0),"لا يوجد تسليم قبل الحركة دي",""))))))</f>
        <v/>
      </c>
    </row>
    <row r="828" customFormat="false" ht="15" hidden="false" customHeight="false" outlineLevel="0" collapsed="false">
      <c r="A828" s="20"/>
      <c r="B828" s="35" t="str">
        <f aca="false">IF($A828="","",IFERROR(INDEX(مخرج_البند,MATCH($A828,قائمة_المخرجات,0)),""))</f>
        <v/>
      </c>
      <c r="C828" s="30" t="str">
        <f aca="false">IF($A828="","",IFERROR(INDEX(مخرج_الوصف,MATCH($A828,قائمة_المخرجات,0)),""))</f>
        <v/>
      </c>
      <c r="D828" s="20"/>
      <c r="E828" s="31"/>
      <c r="F828" s="22"/>
      <c r="G828" s="36" t="str">
        <f aca="false">IF(OR($A828="",$D828&lt;&gt;"تسليم",NOT(ISNUMBER($E828))),"",COUNTIFS($A$5:$A$1504,$A828,$D$5:$D$1504,"تسليم",$E$5:$E$1504,"&lt;"&amp;$E828)+1)</f>
        <v/>
      </c>
      <c r="H828" s="33" t="str">
        <f aca="false">IF($G828="","",_xlfn.MINIFS($E$5:$E$1504,$A$5:$A$1504,$A828,$D$5:$D$1504,"&lt;&gt;تسليم",$E$5:$E$1504,"&gt;="&amp;$E828))</f>
        <v/>
      </c>
      <c r="I828" s="33" t="str">
        <f aca="false">IF($G828="","",_xlfn.MINIFS($E$5:$E$1504,$A$5:$A$1504,$A828,$D$5:$D$1504,"تسليم",$E$5:$E$1504,"&gt;"&amp;$E828))</f>
        <v/>
      </c>
      <c r="J828" s="33" t="str">
        <f aca="false">IF($G828="","",IF(H828&gt;0,IF(I828&gt;0,MIN(H828,I828),H828),IF(I828&gt;0,I828,تاريخ_الاحتساب)))</f>
        <v/>
      </c>
      <c r="K828" s="34" t="str">
        <f aca="false">IF($G828="","",IF(AND(H828=0,I828=0),"جارية","مغلقة"))</f>
        <v/>
      </c>
      <c r="L828" s="26" t="str">
        <f aca="false">IF($G828="","",MAX(0,NETWORKDAYS.INTL($E828,J828,رمز_العطلة,أيام_الأجازات)-1))</f>
        <v/>
      </c>
      <c r="M828" s="26" t="str">
        <f aca="false">IF($G828="","",MAX(0,L828-مهلة_المراجعة))</f>
        <v/>
      </c>
      <c r="N828" s="30" t="str">
        <f aca="false">IF($A828="",IF(OR($D828&lt;&gt;"",$E828&lt;&gt;""),"رقم المخرج ناقص",""),IF(ISNA(MATCH($A828,قائمة_المخرجات,0)),"رقم مخرج غير موجود",IF($D828="","نوع الحركة ناقص",IF(NOT(ISNUMBER($E828)),"التاريخ ناقص",IF($E828&gt;تاريخ_الاحتساب,"تاريخ بعد تاريخ الاحتساب",IF(AND($D828&lt;&gt;"تسليم",COUNTIFS($A$5:$A$1504,$A828,$D$5:$D$1504,"تسليم",$E$5:$E$1504,"&lt;="&amp;$E828)=0),"لا يوجد تسليم قبل الحركة دي",""))))))</f>
        <v/>
      </c>
    </row>
    <row r="829" customFormat="false" ht="15" hidden="false" customHeight="false" outlineLevel="0" collapsed="false">
      <c r="A829" s="20"/>
      <c r="B829" s="35" t="str">
        <f aca="false">IF($A829="","",IFERROR(INDEX(مخرج_البند,MATCH($A829,قائمة_المخرجات,0)),""))</f>
        <v/>
      </c>
      <c r="C829" s="30" t="str">
        <f aca="false">IF($A829="","",IFERROR(INDEX(مخرج_الوصف,MATCH($A829,قائمة_المخرجات,0)),""))</f>
        <v/>
      </c>
      <c r="D829" s="20"/>
      <c r="E829" s="31"/>
      <c r="F829" s="22"/>
      <c r="G829" s="36" t="str">
        <f aca="false">IF(OR($A829="",$D829&lt;&gt;"تسليم",NOT(ISNUMBER($E829))),"",COUNTIFS($A$5:$A$1504,$A829,$D$5:$D$1504,"تسليم",$E$5:$E$1504,"&lt;"&amp;$E829)+1)</f>
        <v/>
      </c>
      <c r="H829" s="33" t="str">
        <f aca="false">IF($G829="","",_xlfn.MINIFS($E$5:$E$1504,$A$5:$A$1504,$A829,$D$5:$D$1504,"&lt;&gt;تسليم",$E$5:$E$1504,"&gt;="&amp;$E829))</f>
        <v/>
      </c>
      <c r="I829" s="33" t="str">
        <f aca="false">IF($G829="","",_xlfn.MINIFS($E$5:$E$1504,$A$5:$A$1504,$A829,$D$5:$D$1504,"تسليم",$E$5:$E$1504,"&gt;"&amp;$E829))</f>
        <v/>
      </c>
      <c r="J829" s="33" t="str">
        <f aca="false">IF($G829="","",IF(H829&gt;0,IF(I829&gt;0,MIN(H829,I829),H829),IF(I829&gt;0,I829,تاريخ_الاحتساب)))</f>
        <v/>
      </c>
      <c r="K829" s="34" t="str">
        <f aca="false">IF($G829="","",IF(AND(H829=0,I829=0),"جارية","مغلقة"))</f>
        <v/>
      </c>
      <c r="L829" s="26" t="str">
        <f aca="false">IF($G829="","",MAX(0,NETWORKDAYS.INTL($E829,J829,رمز_العطلة,أيام_الأجازات)-1))</f>
        <v/>
      </c>
      <c r="M829" s="26" t="str">
        <f aca="false">IF($G829="","",MAX(0,L829-مهلة_المراجعة))</f>
        <v/>
      </c>
      <c r="N829" s="30" t="str">
        <f aca="false">IF($A829="",IF(OR($D829&lt;&gt;"",$E829&lt;&gt;""),"رقم المخرج ناقص",""),IF(ISNA(MATCH($A829,قائمة_المخرجات,0)),"رقم مخرج غير موجود",IF($D829="","نوع الحركة ناقص",IF(NOT(ISNUMBER($E829)),"التاريخ ناقص",IF($E829&gt;تاريخ_الاحتساب,"تاريخ بعد تاريخ الاحتساب",IF(AND($D829&lt;&gt;"تسليم",COUNTIFS($A$5:$A$1504,$A829,$D$5:$D$1504,"تسليم",$E$5:$E$1504,"&lt;="&amp;$E829)=0),"لا يوجد تسليم قبل الحركة دي",""))))))</f>
        <v/>
      </c>
    </row>
    <row r="830" customFormat="false" ht="15" hidden="false" customHeight="false" outlineLevel="0" collapsed="false">
      <c r="A830" s="20"/>
      <c r="B830" s="35" t="str">
        <f aca="false">IF($A830="","",IFERROR(INDEX(مخرج_البند,MATCH($A830,قائمة_المخرجات,0)),""))</f>
        <v/>
      </c>
      <c r="C830" s="30" t="str">
        <f aca="false">IF($A830="","",IFERROR(INDEX(مخرج_الوصف,MATCH($A830,قائمة_المخرجات,0)),""))</f>
        <v/>
      </c>
      <c r="D830" s="20"/>
      <c r="E830" s="31"/>
      <c r="F830" s="22"/>
      <c r="G830" s="36" t="str">
        <f aca="false">IF(OR($A830="",$D830&lt;&gt;"تسليم",NOT(ISNUMBER($E830))),"",COUNTIFS($A$5:$A$1504,$A830,$D$5:$D$1504,"تسليم",$E$5:$E$1504,"&lt;"&amp;$E830)+1)</f>
        <v/>
      </c>
      <c r="H830" s="33" t="str">
        <f aca="false">IF($G830="","",_xlfn.MINIFS($E$5:$E$1504,$A$5:$A$1504,$A830,$D$5:$D$1504,"&lt;&gt;تسليم",$E$5:$E$1504,"&gt;="&amp;$E830))</f>
        <v/>
      </c>
      <c r="I830" s="33" t="str">
        <f aca="false">IF($G830="","",_xlfn.MINIFS($E$5:$E$1504,$A$5:$A$1504,$A830,$D$5:$D$1504,"تسليم",$E$5:$E$1504,"&gt;"&amp;$E830))</f>
        <v/>
      </c>
      <c r="J830" s="33" t="str">
        <f aca="false">IF($G830="","",IF(H830&gt;0,IF(I830&gt;0,MIN(H830,I830),H830),IF(I830&gt;0,I830,تاريخ_الاحتساب)))</f>
        <v/>
      </c>
      <c r="K830" s="34" t="str">
        <f aca="false">IF($G830="","",IF(AND(H830=0,I830=0),"جارية","مغلقة"))</f>
        <v/>
      </c>
      <c r="L830" s="26" t="str">
        <f aca="false">IF($G830="","",MAX(0,NETWORKDAYS.INTL($E830,J830,رمز_العطلة,أيام_الأجازات)-1))</f>
        <v/>
      </c>
      <c r="M830" s="26" t="str">
        <f aca="false">IF($G830="","",MAX(0,L830-مهلة_المراجعة))</f>
        <v/>
      </c>
      <c r="N830" s="30" t="str">
        <f aca="false">IF($A830="",IF(OR($D830&lt;&gt;"",$E830&lt;&gt;""),"رقم المخرج ناقص",""),IF(ISNA(MATCH($A830,قائمة_المخرجات,0)),"رقم مخرج غير موجود",IF($D830="","نوع الحركة ناقص",IF(NOT(ISNUMBER($E830)),"التاريخ ناقص",IF($E830&gt;تاريخ_الاحتساب,"تاريخ بعد تاريخ الاحتساب",IF(AND($D830&lt;&gt;"تسليم",COUNTIFS($A$5:$A$1504,$A830,$D$5:$D$1504,"تسليم",$E$5:$E$1504,"&lt;="&amp;$E830)=0),"لا يوجد تسليم قبل الحركة دي",""))))))</f>
        <v/>
      </c>
    </row>
    <row r="831" customFormat="false" ht="15" hidden="false" customHeight="false" outlineLevel="0" collapsed="false">
      <c r="A831" s="20"/>
      <c r="B831" s="35" t="str">
        <f aca="false">IF($A831="","",IFERROR(INDEX(مخرج_البند,MATCH($A831,قائمة_المخرجات,0)),""))</f>
        <v/>
      </c>
      <c r="C831" s="30" t="str">
        <f aca="false">IF($A831="","",IFERROR(INDEX(مخرج_الوصف,MATCH($A831,قائمة_المخرجات,0)),""))</f>
        <v/>
      </c>
      <c r="D831" s="20"/>
      <c r="E831" s="31"/>
      <c r="F831" s="22"/>
      <c r="G831" s="36" t="str">
        <f aca="false">IF(OR($A831="",$D831&lt;&gt;"تسليم",NOT(ISNUMBER($E831))),"",COUNTIFS($A$5:$A$1504,$A831,$D$5:$D$1504,"تسليم",$E$5:$E$1504,"&lt;"&amp;$E831)+1)</f>
        <v/>
      </c>
      <c r="H831" s="33" t="str">
        <f aca="false">IF($G831="","",_xlfn.MINIFS($E$5:$E$1504,$A$5:$A$1504,$A831,$D$5:$D$1504,"&lt;&gt;تسليم",$E$5:$E$1504,"&gt;="&amp;$E831))</f>
        <v/>
      </c>
      <c r="I831" s="33" t="str">
        <f aca="false">IF($G831="","",_xlfn.MINIFS($E$5:$E$1504,$A$5:$A$1504,$A831,$D$5:$D$1504,"تسليم",$E$5:$E$1504,"&gt;"&amp;$E831))</f>
        <v/>
      </c>
      <c r="J831" s="33" t="str">
        <f aca="false">IF($G831="","",IF(H831&gt;0,IF(I831&gt;0,MIN(H831,I831),H831),IF(I831&gt;0,I831,تاريخ_الاحتساب)))</f>
        <v/>
      </c>
      <c r="K831" s="34" t="str">
        <f aca="false">IF($G831="","",IF(AND(H831=0,I831=0),"جارية","مغلقة"))</f>
        <v/>
      </c>
      <c r="L831" s="26" t="str">
        <f aca="false">IF($G831="","",MAX(0,NETWORKDAYS.INTL($E831,J831,رمز_العطلة,أيام_الأجازات)-1))</f>
        <v/>
      </c>
      <c r="M831" s="26" t="str">
        <f aca="false">IF($G831="","",MAX(0,L831-مهلة_المراجعة))</f>
        <v/>
      </c>
      <c r="N831" s="30" t="str">
        <f aca="false">IF($A831="",IF(OR($D831&lt;&gt;"",$E831&lt;&gt;""),"رقم المخرج ناقص",""),IF(ISNA(MATCH($A831,قائمة_المخرجات,0)),"رقم مخرج غير موجود",IF($D831="","نوع الحركة ناقص",IF(NOT(ISNUMBER($E831)),"التاريخ ناقص",IF($E831&gt;تاريخ_الاحتساب,"تاريخ بعد تاريخ الاحتساب",IF(AND($D831&lt;&gt;"تسليم",COUNTIFS($A$5:$A$1504,$A831,$D$5:$D$1504,"تسليم",$E$5:$E$1504,"&lt;="&amp;$E831)=0),"لا يوجد تسليم قبل الحركة دي",""))))))</f>
        <v/>
      </c>
    </row>
    <row r="832" customFormat="false" ht="15" hidden="false" customHeight="false" outlineLevel="0" collapsed="false">
      <c r="A832" s="20"/>
      <c r="B832" s="35" t="str">
        <f aca="false">IF($A832="","",IFERROR(INDEX(مخرج_البند,MATCH($A832,قائمة_المخرجات,0)),""))</f>
        <v/>
      </c>
      <c r="C832" s="30" t="str">
        <f aca="false">IF($A832="","",IFERROR(INDEX(مخرج_الوصف,MATCH($A832,قائمة_المخرجات,0)),""))</f>
        <v/>
      </c>
      <c r="D832" s="20"/>
      <c r="E832" s="31"/>
      <c r="F832" s="22"/>
      <c r="G832" s="36" t="str">
        <f aca="false">IF(OR($A832="",$D832&lt;&gt;"تسليم",NOT(ISNUMBER($E832))),"",COUNTIFS($A$5:$A$1504,$A832,$D$5:$D$1504,"تسليم",$E$5:$E$1504,"&lt;"&amp;$E832)+1)</f>
        <v/>
      </c>
      <c r="H832" s="33" t="str">
        <f aca="false">IF($G832="","",_xlfn.MINIFS($E$5:$E$1504,$A$5:$A$1504,$A832,$D$5:$D$1504,"&lt;&gt;تسليم",$E$5:$E$1504,"&gt;="&amp;$E832))</f>
        <v/>
      </c>
      <c r="I832" s="33" t="str">
        <f aca="false">IF($G832="","",_xlfn.MINIFS($E$5:$E$1504,$A$5:$A$1504,$A832,$D$5:$D$1504,"تسليم",$E$5:$E$1504,"&gt;"&amp;$E832))</f>
        <v/>
      </c>
      <c r="J832" s="33" t="str">
        <f aca="false">IF($G832="","",IF(H832&gt;0,IF(I832&gt;0,MIN(H832,I832),H832),IF(I832&gt;0,I832,تاريخ_الاحتساب)))</f>
        <v/>
      </c>
      <c r="K832" s="34" t="str">
        <f aca="false">IF($G832="","",IF(AND(H832=0,I832=0),"جارية","مغلقة"))</f>
        <v/>
      </c>
      <c r="L832" s="26" t="str">
        <f aca="false">IF($G832="","",MAX(0,NETWORKDAYS.INTL($E832,J832,رمز_العطلة,أيام_الأجازات)-1))</f>
        <v/>
      </c>
      <c r="M832" s="26" t="str">
        <f aca="false">IF($G832="","",MAX(0,L832-مهلة_المراجعة))</f>
        <v/>
      </c>
      <c r="N832" s="30" t="str">
        <f aca="false">IF($A832="",IF(OR($D832&lt;&gt;"",$E832&lt;&gt;""),"رقم المخرج ناقص",""),IF(ISNA(MATCH($A832,قائمة_المخرجات,0)),"رقم مخرج غير موجود",IF($D832="","نوع الحركة ناقص",IF(NOT(ISNUMBER($E832)),"التاريخ ناقص",IF($E832&gt;تاريخ_الاحتساب,"تاريخ بعد تاريخ الاحتساب",IF(AND($D832&lt;&gt;"تسليم",COUNTIFS($A$5:$A$1504,$A832,$D$5:$D$1504,"تسليم",$E$5:$E$1504,"&lt;="&amp;$E832)=0),"لا يوجد تسليم قبل الحركة دي",""))))))</f>
        <v/>
      </c>
    </row>
    <row r="833" customFormat="false" ht="15" hidden="false" customHeight="false" outlineLevel="0" collapsed="false">
      <c r="A833" s="20"/>
      <c r="B833" s="35" t="str">
        <f aca="false">IF($A833="","",IFERROR(INDEX(مخرج_البند,MATCH($A833,قائمة_المخرجات,0)),""))</f>
        <v/>
      </c>
      <c r="C833" s="30" t="str">
        <f aca="false">IF($A833="","",IFERROR(INDEX(مخرج_الوصف,MATCH($A833,قائمة_المخرجات,0)),""))</f>
        <v/>
      </c>
      <c r="D833" s="20"/>
      <c r="E833" s="31"/>
      <c r="F833" s="22"/>
      <c r="G833" s="36" t="str">
        <f aca="false">IF(OR($A833="",$D833&lt;&gt;"تسليم",NOT(ISNUMBER($E833))),"",COUNTIFS($A$5:$A$1504,$A833,$D$5:$D$1504,"تسليم",$E$5:$E$1504,"&lt;"&amp;$E833)+1)</f>
        <v/>
      </c>
      <c r="H833" s="33" t="str">
        <f aca="false">IF($G833="","",_xlfn.MINIFS($E$5:$E$1504,$A$5:$A$1504,$A833,$D$5:$D$1504,"&lt;&gt;تسليم",$E$5:$E$1504,"&gt;="&amp;$E833))</f>
        <v/>
      </c>
      <c r="I833" s="33" t="str">
        <f aca="false">IF($G833="","",_xlfn.MINIFS($E$5:$E$1504,$A$5:$A$1504,$A833,$D$5:$D$1504,"تسليم",$E$5:$E$1504,"&gt;"&amp;$E833))</f>
        <v/>
      </c>
      <c r="J833" s="33" t="str">
        <f aca="false">IF($G833="","",IF(H833&gt;0,IF(I833&gt;0,MIN(H833,I833),H833),IF(I833&gt;0,I833,تاريخ_الاحتساب)))</f>
        <v/>
      </c>
      <c r="K833" s="34" t="str">
        <f aca="false">IF($G833="","",IF(AND(H833=0,I833=0),"جارية","مغلقة"))</f>
        <v/>
      </c>
      <c r="L833" s="26" t="str">
        <f aca="false">IF($G833="","",MAX(0,NETWORKDAYS.INTL($E833,J833,رمز_العطلة,أيام_الأجازات)-1))</f>
        <v/>
      </c>
      <c r="M833" s="26" t="str">
        <f aca="false">IF($G833="","",MAX(0,L833-مهلة_المراجعة))</f>
        <v/>
      </c>
      <c r="N833" s="30" t="str">
        <f aca="false">IF($A833="",IF(OR($D833&lt;&gt;"",$E833&lt;&gt;""),"رقم المخرج ناقص",""),IF(ISNA(MATCH($A833,قائمة_المخرجات,0)),"رقم مخرج غير موجود",IF($D833="","نوع الحركة ناقص",IF(NOT(ISNUMBER($E833)),"التاريخ ناقص",IF($E833&gt;تاريخ_الاحتساب,"تاريخ بعد تاريخ الاحتساب",IF(AND($D833&lt;&gt;"تسليم",COUNTIFS($A$5:$A$1504,$A833,$D$5:$D$1504,"تسليم",$E$5:$E$1504,"&lt;="&amp;$E833)=0),"لا يوجد تسليم قبل الحركة دي",""))))))</f>
        <v/>
      </c>
    </row>
    <row r="834" customFormat="false" ht="15" hidden="false" customHeight="false" outlineLevel="0" collapsed="false">
      <c r="A834" s="20"/>
      <c r="B834" s="35" t="str">
        <f aca="false">IF($A834="","",IFERROR(INDEX(مخرج_البند,MATCH($A834,قائمة_المخرجات,0)),""))</f>
        <v/>
      </c>
      <c r="C834" s="30" t="str">
        <f aca="false">IF($A834="","",IFERROR(INDEX(مخرج_الوصف,MATCH($A834,قائمة_المخرجات,0)),""))</f>
        <v/>
      </c>
      <c r="D834" s="20"/>
      <c r="E834" s="31"/>
      <c r="F834" s="22"/>
      <c r="G834" s="36" t="str">
        <f aca="false">IF(OR($A834="",$D834&lt;&gt;"تسليم",NOT(ISNUMBER($E834))),"",COUNTIFS($A$5:$A$1504,$A834,$D$5:$D$1504,"تسليم",$E$5:$E$1504,"&lt;"&amp;$E834)+1)</f>
        <v/>
      </c>
      <c r="H834" s="33" t="str">
        <f aca="false">IF($G834="","",_xlfn.MINIFS($E$5:$E$1504,$A$5:$A$1504,$A834,$D$5:$D$1504,"&lt;&gt;تسليم",$E$5:$E$1504,"&gt;="&amp;$E834))</f>
        <v/>
      </c>
      <c r="I834" s="33" t="str">
        <f aca="false">IF($G834="","",_xlfn.MINIFS($E$5:$E$1504,$A$5:$A$1504,$A834,$D$5:$D$1504,"تسليم",$E$5:$E$1504,"&gt;"&amp;$E834))</f>
        <v/>
      </c>
      <c r="J834" s="33" t="str">
        <f aca="false">IF($G834="","",IF(H834&gt;0,IF(I834&gt;0,MIN(H834,I834),H834),IF(I834&gt;0,I834,تاريخ_الاحتساب)))</f>
        <v/>
      </c>
      <c r="K834" s="34" t="str">
        <f aca="false">IF($G834="","",IF(AND(H834=0,I834=0),"جارية","مغلقة"))</f>
        <v/>
      </c>
      <c r="L834" s="26" t="str">
        <f aca="false">IF($G834="","",MAX(0,NETWORKDAYS.INTL($E834,J834,رمز_العطلة,أيام_الأجازات)-1))</f>
        <v/>
      </c>
      <c r="M834" s="26" t="str">
        <f aca="false">IF($G834="","",MAX(0,L834-مهلة_المراجعة))</f>
        <v/>
      </c>
      <c r="N834" s="30" t="str">
        <f aca="false">IF($A834="",IF(OR($D834&lt;&gt;"",$E834&lt;&gt;""),"رقم المخرج ناقص",""),IF(ISNA(MATCH($A834,قائمة_المخرجات,0)),"رقم مخرج غير موجود",IF($D834="","نوع الحركة ناقص",IF(NOT(ISNUMBER($E834)),"التاريخ ناقص",IF($E834&gt;تاريخ_الاحتساب,"تاريخ بعد تاريخ الاحتساب",IF(AND($D834&lt;&gt;"تسليم",COUNTIFS($A$5:$A$1504,$A834,$D$5:$D$1504,"تسليم",$E$5:$E$1504,"&lt;="&amp;$E834)=0),"لا يوجد تسليم قبل الحركة دي",""))))))</f>
        <v/>
      </c>
    </row>
    <row r="835" customFormat="false" ht="15" hidden="false" customHeight="false" outlineLevel="0" collapsed="false">
      <c r="A835" s="20"/>
      <c r="B835" s="35" t="str">
        <f aca="false">IF($A835="","",IFERROR(INDEX(مخرج_البند,MATCH($A835,قائمة_المخرجات,0)),""))</f>
        <v/>
      </c>
      <c r="C835" s="30" t="str">
        <f aca="false">IF($A835="","",IFERROR(INDEX(مخرج_الوصف,MATCH($A835,قائمة_المخرجات,0)),""))</f>
        <v/>
      </c>
      <c r="D835" s="20"/>
      <c r="E835" s="31"/>
      <c r="F835" s="22"/>
      <c r="G835" s="36" t="str">
        <f aca="false">IF(OR($A835="",$D835&lt;&gt;"تسليم",NOT(ISNUMBER($E835))),"",COUNTIFS($A$5:$A$1504,$A835,$D$5:$D$1504,"تسليم",$E$5:$E$1504,"&lt;"&amp;$E835)+1)</f>
        <v/>
      </c>
      <c r="H835" s="33" t="str">
        <f aca="false">IF($G835="","",_xlfn.MINIFS($E$5:$E$1504,$A$5:$A$1504,$A835,$D$5:$D$1504,"&lt;&gt;تسليم",$E$5:$E$1504,"&gt;="&amp;$E835))</f>
        <v/>
      </c>
      <c r="I835" s="33" t="str">
        <f aca="false">IF($G835="","",_xlfn.MINIFS($E$5:$E$1504,$A$5:$A$1504,$A835,$D$5:$D$1504,"تسليم",$E$5:$E$1504,"&gt;"&amp;$E835))</f>
        <v/>
      </c>
      <c r="J835" s="33" t="str">
        <f aca="false">IF($G835="","",IF(H835&gt;0,IF(I835&gt;0,MIN(H835,I835),H835),IF(I835&gt;0,I835,تاريخ_الاحتساب)))</f>
        <v/>
      </c>
      <c r="K835" s="34" t="str">
        <f aca="false">IF($G835="","",IF(AND(H835=0,I835=0),"جارية","مغلقة"))</f>
        <v/>
      </c>
      <c r="L835" s="26" t="str">
        <f aca="false">IF($G835="","",MAX(0,NETWORKDAYS.INTL($E835,J835,رمز_العطلة,أيام_الأجازات)-1))</f>
        <v/>
      </c>
      <c r="M835" s="26" t="str">
        <f aca="false">IF($G835="","",MAX(0,L835-مهلة_المراجعة))</f>
        <v/>
      </c>
      <c r="N835" s="30" t="str">
        <f aca="false">IF($A835="",IF(OR($D835&lt;&gt;"",$E835&lt;&gt;""),"رقم المخرج ناقص",""),IF(ISNA(MATCH($A835,قائمة_المخرجات,0)),"رقم مخرج غير موجود",IF($D835="","نوع الحركة ناقص",IF(NOT(ISNUMBER($E835)),"التاريخ ناقص",IF($E835&gt;تاريخ_الاحتساب,"تاريخ بعد تاريخ الاحتساب",IF(AND($D835&lt;&gt;"تسليم",COUNTIFS($A$5:$A$1504,$A835,$D$5:$D$1504,"تسليم",$E$5:$E$1504,"&lt;="&amp;$E835)=0),"لا يوجد تسليم قبل الحركة دي",""))))))</f>
        <v/>
      </c>
    </row>
    <row r="836" customFormat="false" ht="15" hidden="false" customHeight="false" outlineLevel="0" collapsed="false">
      <c r="A836" s="20"/>
      <c r="B836" s="35" t="str">
        <f aca="false">IF($A836="","",IFERROR(INDEX(مخرج_البند,MATCH($A836,قائمة_المخرجات,0)),""))</f>
        <v/>
      </c>
      <c r="C836" s="30" t="str">
        <f aca="false">IF($A836="","",IFERROR(INDEX(مخرج_الوصف,MATCH($A836,قائمة_المخرجات,0)),""))</f>
        <v/>
      </c>
      <c r="D836" s="20"/>
      <c r="E836" s="31"/>
      <c r="F836" s="22"/>
      <c r="G836" s="36" t="str">
        <f aca="false">IF(OR($A836="",$D836&lt;&gt;"تسليم",NOT(ISNUMBER($E836))),"",COUNTIFS($A$5:$A$1504,$A836,$D$5:$D$1504,"تسليم",$E$5:$E$1504,"&lt;"&amp;$E836)+1)</f>
        <v/>
      </c>
      <c r="H836" s="33" t="str">
        <f aca="false">IF($G836="","",_xlfn.MINIFS($E$5:$E$1504,$A$5:$A$1504,$A836,$D$5:$D$1504,"&lt;&gt;تسليم",$E$5:$E$1504,"&gt;="&amp;$E836))</f>
        <v/>
      </c>
      <c r="I836" s="33" t="str">
        <f aca="false">IF($G836="","",_xlfn.MINIFS($E$5:$E$1504,$A$5:$A$1504,$A836,$D$5:$D$1504,"تسليم",$E$5:$E$1504,"&gt;"&amp;$E836))</f>
        <v/>
      </c>
      <c r="J836" s="33" t="str">
        <f aca="false">IF($G836="","",IF(H836&gt;0,IF(I836&gt;0,MIN(H836,I836),H836),IF(I836&gt;0,I836,تاريخ_الاحتساب)))</f>
        <v/>
      </c>
      <c r="K836" s="34" t="str">
        <f aca="false">IF($G836="","",IF(AND(H836=0,I836=0),"جارية","مغلقة"))</f>
        <v/>
      </c>
      <c r="L836" s="26" t="str">
        <f aca="false">IF($G836="","",MAX(0,NETWORKDAYS.INTL($E836,J836,رمز_العطلة,أيام_الأجازات)-1))</f>
        <v/>
      </c>
      <c r="M836" s="26" t="str">
        <f aca="false">IF($G836="","",MAX(0,L836-مهلة_المراجعة))</f>
        <v/>
      </c>
      <c r="N836" s="30" t="str">
        <f aca="false">IF($A836="",IF(OR($D836&lt;&gt;"",$E836&lt;&gt;""),"رقم المخرج ناقص",""),IF(ISNA(MATCH($A836,قائمة_المخرجات,0)),"رقم مخرج غير موجود",IF($D836="","نوع الحركة ناقص",IF(NOT(ISNUMBER($E836)),"التاريخ ناقص",IF($E836&gt;تاريخ_الاحتساب,"تاريخ بعد تاريخ الاحتساب",IF(AND($D836&lt;&gt;"تسليم",COUNTIFS($A$5:$A$1504,$A836,$D$5:$D$1504,"تسليم",$E$5:$E$1504,"&lt;="&amp;$E836)=0),"لا يوجد تسليم قبل الحركة دي",""))))))</f>
        <v/>
      </c>
    </row>
    <row r="837" customFormat="false" ht="15" hidden="false" customHeight="false" outlineLevel="0" collapsed="false">
      <c r="A837" s="20"/>
      <c r="B837" s="35" t="str">
        <f aca="false">IF($A837="","",IFERROR(INDEX(مخرج_البند,MATCH($A837,قائمة_المخرجات,0)),""))</f>
        <v/>
      </c>
      <c r="C837" s="30" t="str">
        <f aca="false">IF($A837="","",IFERROR(INDEX(مخرج_الوصف,MATCH($A837,قائمة_المخرجات,0)),""))</f>
        <v/>
      </c>
      <c r="D837" s="20"/>
      <c r="E837" s="31"/>
      <c r="F837" s="22"/>
      <c r="G837" s="36" t="str">
        <f aca="false">IF(OR($A837="",$D837&lt;&gt;"تسليم",NOT(ISNUMBER($E837))),"",COUNTIFS($A$5:$A$1504,$A837,$D$5:$D$1504,"تسليم",$E$5:$E$1504,"&lt;"&amp;$E837)+1)</f>
        <v/>
      </c>
      <c r="H837" s="33" t="str">
        <f aca="false">IF($G837="","",_xlfn.MINIFS($E$5:$E$1504,$A$5:$A$1504,$A837,$D$5:$D$1504,"&lt;&gt;تسليم",$E$5:$E$1504,"&gt;="&amp;$E837))</f>
        <v/>
      </c>
      <c r="I837" s="33" t="str">
        <f aca="false">IF($G837="","",_xlfn.MINIFS($E$5:$E$1504,$A$5:$A$1504,$A837,$D$5:$D$1504,"تسليم",$E$5:$E$1504,"&gt;"&amp;$E837))</f>
        <v/>
      </c>
      <c r="J837" s="33" t="str">
        <f aca="false">IF($G837="","",IF(H837&gt;0,IF(I837&gt;0,MIN(H837,I837),H837),IF(I837&gt;0,I837,تاريخ_الاحتساب)))</f>
        <v/>
      </c>
      <c r="K837" s="34" t="str">
        <f aca="false">IF($G837="","",IF(AND(H837=0,I837=0),"جارية","مغلقة"))</f>
        <v/>
      </c>
      <c r="L837" s="26" t="str">
        <f aca="false">IF($G837="","",MAX(0,NETWORKDAYS.INTL($E837,J837,رمز_العطلة,أيام_الأجازات)-1))</f>
        <v/>
      </c>
      <c r="M837" s="26" t="str">
        <f aca="false">IF($G837="","",MAX(0,L837-مهلة_المراجعة))</f>
        <v/>
      </c>
      <c r="N837" s="30" t="str">
        <f aca="false">IF($A837="",IF(OR($D837&lt;&gt;"",$E837&lt;&gt;""),"رقم المخرج ناقص",""),IF(ISNA(MATCH($A837,قائمة_المخرجات,0)),"رقم مخرج غير موجود",IF($D837="","نوع الحركة ناقص",IF(NOT(ISNUMBER($E837)),"التاريخ ناقص",IF($E837&gt;تاريخ_الاحتساب,"تاريخ بعد تاريخ الاحتساب",IF(AND($D837&lt;&gt;"تسليم",COUNTIFS($A$5:$A$1504,$A837,$D$5:$D$1504,"تسليم",$E$5:$E$1504,"&lt;="&amp;$E837)=0),"لا يوجد تسليم قبل الحركة دي",""))))))</f>
        <v/>
      </c>
    </row>
    <row r="838" customFormat="false" ht="15" hidden="false" customHeight="false" outlineLevel="0" collapsed="false">
      <c r="A838" s="20"/>
      <c r="B838" s="35" t="str">
        <f aca="false">IF($A838="","",IFERROR(INDEX(مخرج_البند,MATCH($A838,قائمة_المخرجات,0)),""))</f>
        <v/>
      </c>
      <c r="C838" s="30" t="str">
        <f aca="false">IF($A838="","",IFERROR(INDEX(مخرج_الوصف,MATCH($A838,قائمة_المخرجات,0)),""))</f>
        <v/>
      </c>
      <c r="D838" s="20"/>
      <c r="E838" s="31"/>
      <c r="F838" s="22"/>
      <c r="G838" s="36" t="str">
        <f aca="false">IF(OR($A838="",$D838&lt;&gt;"تسليم",NOT(ISNUMBER($E838))),"",COUNTIFS($A$5:$A$1504,$A838,$D$5:$D$1504,"تسليم",$E$5:$E$1504,"&lt;"&amp;$E838)+1)</f>
        <v/>
      </c>
      <c r="H838" s="33" t="str">
        <f aca="false">IF($G838="","",_xlfn.MINIFS($E$5:$E$1504,$A$5:$A$1504,$A838,$D$5:$D$1504,"&lt;&gt;تسليم",$E$5:$E$1504,"&gt;="&amp;$E838))</f>
        <v/>
      </c>
      <c r="I838" s="33" t="str">
        <f aca="false">IF($G838="","",_xlfn.MINIFS($E$5:$E$1504,$A$5:$A$1504,$A838,$D$5:$D$1504,"تسليم",$E$5:$E$1504,"&gt;"&amp;$E838))</f>
        <v/>
      </c>
      <c r="J838" s="33" t="str">
        <f aca="false">IF($G838="","",IF(H838&gt;0,IF(I838&gt;0,MIN(H838,I838),H838),IF(I838&gt;0,I838,تاريخ_الاحتساب)))</f>
        <v/>
      </c>
      <c r="K838" s="34" t="str">
        <f aca="false">IF($G838="","",IF(AND(H838=0,I838=0),"جارية","مغلقة"))</f>
        <v/>
      </c>
      <c r="L838" s="26" t="str">
        <f aca="false">IF($G838="","",MAX(0,NETWORKDAYS.INTL($E838,J838,رمز_العطلة,أيام_الأجازات)-1))</f>
        <v/>
      </c>
      <c r="M838" s="26" t="str">
        <f aca="false">IF($G838="","",MAX(0,L838-مهلة_المراجعة))</f>
        <v/>
      </c>
      <c r="N838" s="30" t="str">
        <f aca="false">IF($A838="",IF(OR($D838&lt;&gt;"",$E838&lt;&gt;""),"رقم المخرج ناقص",""),IF(ISNA(MATCH($A838,قائمة_المخرجات,0)),"رقم مخرج غير موجود",IF($D838="","نوع الحركة ناقص",IF(NOT(ISNUMBER($E838)),"التاريخ ناقص",IF($E838&gt;تاريخ_الاحتساب,"تاريخ بعد تاريخ الاحتساب",IF(AND($D838&lt;&gt;"تسليم",COUNTIFS($A$5:$A$1504,$A838,$D$5:$D$1504,"تسليم",$E$5:$E$1504,"&lt;="&amp;$E838)=0),"لا يوجد تسليم قبل الحركة دي",""))))))</f>
        <v/>
      </c>
    </row>
    <row r="839" customFormat="false" ht="15" hidden="false" customHeight="false" outlineLevel="0" collapsed="false">
      <c r="A839" s="20"/>
      <c r="B839" s="35" t="str">
        <f aca="false">IF($A839="","",IFERROR(INDEX(مخرج_البند,MATCH($A839,قائمة_المخرجات,0)),""))</f>
        <v/>
      </c>
      <c r="C839" s="30" t="str">
        <f aca="false">IF($A839="","",IFERROR(INDEX(مخرج_الوصف,MATCH($A839,قائمة_المخرجات,0)),""))</f>
        <v/>
      </c>
      <c r="D839" s="20"/>
      <c r="E839" s="31"/>
      <c r="F839" s="22"/>
      <c r="G839" s="36" t="str">
        <f aca="false">IF(OR($A839="",$D839&lt;&gt;"تسليم",NOT(ISNUMBER($E839))),"",COUNTIFS($A$5:$A$1504,$A839,$D$5:$D$1504,"تسليم",$E$5:$E$1504,"&lt;"&amp;$E839)+1)</f>
        <v/>
      </c>
      <c r="H839" s="33" t="str">
        <f aca="false">IF($G839="","",_xlfn.MINIFS($E$5:$E$1504,$A$5:$A$1504,$A839,$D$5:$D$1504,"&lt;&gt;تسليم",$E$5:$E$1504,"&gt;="&amp;$E839))</f>
        <v/>
      </c>
      <c r="I839" s="33" t="str">
        <f aca="false">IF($G839="","",_xlfn.MINIFS($E$5:$E$1504,$A$5:$A$1504,$A839,$D$5:$D$1504,"تسليم",$E$5:$E$1504,"&gt;"&amp;$E839))</f>
        <v/>
      </c>
      <c r="J839" s="33" t="str">
        <f aca="false">IF($G839="","",IF(H839&gt;0,IF(I839&gt;0,MIN(H839,I839),H839),IF(I839&gt;0,I839,تاريخ_الاحتساب)))</f>
        <v/>
      </c>
      <c r="K839" s="34" t="str">
        <f aca="false">IF($G839="","",IF(AND(H839=0,I839=0),"جارية","مغلقة"))</f>
        <v/>
      </c>
      <c r="L839" s="26" t="str">
        <f aca="false">IF($G839="","",MAX(0,NETWORKDAYS.INTL($E839,J839,رمز_العطلة,أيام_الأجازات)-1))</f>
        <v/>
      </c>
      <c r="M839" s="26" t="str">
        <f aca="false">IF($G839="","",MAX(0,L839-مهلة_المراجعة))</f>
        <v/>
      </c>
      <c r="N839" s="30" t="str">
        <f aca="false">IF($A839="",IF(OR($D839&lt;&gt;"",$E839&lt;&gt;""),"رقم المخرج ناقص",""),IF(ISNA(MATCH($A839,قائمة_المخرجات,0)),"رقم مخرج غير موجود",IF($D839="","نوع الحركة ناقص",IF(NOT(ISNUMBER($E839)),"التاريخ ناقص",IF($E839&gt;تاريخ_الاحتساب,"تاريخ بعد تاريخ الاحتساب",IF(AND($D839&lt;&gt;"تسليم",COUNTIFS($A$5:$A$1504,$A839,$D$5:$D$1504,"تسليم",$E$5:$E$1504,"&lt;="&amp;$E839)=0),"لا يوجد تسليم قبل الحركة دي",""))))))</f>
        <v/>
      </c>
    </row>
    <row r="840" customFormat="false" ht="15" hidden="false" customHeight="false" outlineLevel="0" collapsed="false">
      <c r="A840" s="20"/>
      <c r="B840" s="35" t="str">
        <f aca="false">IF($A840="","",IFERROR(INDEX(مخرج_البند,MATCH($A840,قائمة_المخرجات,0)),""))</f>
        <v/>
      </c>
      <c r="C840" s="30" t="str">
        <f aca="false">IF($A840="","",IFERROR(INDEX(مخرج_الوصف,MATCH($A840,قائمة_المخرجات,0)),""))</f>
        <v/>
      </c>
      <c r="D840" s="20"/>
      <c r="E840" s="31"/>
      <c r="F840" s="22"/>
      <c r="G840" s="36" t="str">
        <f aca="false">IF(OR($A840="",$D840&lt;&gt;"تسليم",NOT(ISNUMBER($E840))),"",COUNTIFS($A$5:$A$1504,$A840,$D$5:$D$1504,"تسليم",$E$5:$E$1504,"&lt;"&amp;$E840)+1)</f>
        <v/>
      </c>
      <c r="H840" s="33" t="str">
        <f aca="false">IF($G840="","",_xlfn.MINIFS($E$5:$E$1504,$A$5:$A$1504,$A840,$D$5:$D$1504,"&lt;&gt;تسليم",$E$5:$E$1504,"&gt;="&amp;$E840))</f>
        <v/>
      </c>
      <c r="I840" s="33" t="str">
        <f aca="false">IF($G840="","",_xlfn.MINIFS($E$5:$E$1504,$A$5:$A$1504,$A840,$D$5:$D$1504,"تسليم",$E$5:$E$1504,"&gt;"&amp;$E840))</f>
        <v/>
      </c>
      <c r="J840" s="33" t="str">
        <f aca="false">IF($G840="","",IF(H840&gt;0,IF(I840&gt;0,MIN(H840,I840),H840),IF(I840&gt;0,I840,تاريخ_الاحتساب)))</f>
        <v/>
      </c>
      <c r="K840" s="34" t="str">
        <f aca="false">IF($G840="","",IF(AND(H840=0,I840=0),"جارية","مغلقة"))</f>
        <v/>
      </c>
      <c r="L840" s="26" t="str">
        <f aca="false">IF($G840="","",MAX(0,NETWORKDAYS.INTL($E840,J840,رمز_العطلة,أيام_الأجازات)-1))</f>
        <v/>
      </c>
      <c r="M840" s="26" t="str">
        <f aca="false">IF($G840="","",MAX(0,L840-مهلة_المراجعة))</f>
        <v/>
      </c>
      <c r="N840" s="30" t="str">
        <f aca="false">IF($A840="",IF(OR($D840&lt;&gt;"",$E840&lt;&gt;""),"رقم المخرج ناقص",""),IF(ISNA(MATCH($A840,قائمة_المخرجات,0)),"رقم مخرج غير موجود",IF($D840="","نوع الحركة ناقص",IF(NOT(ISNUMBER($E840)),"التاريخ ناقص",IF($E840&gt;تاريخ_الاحتساب,"تاريخ بعد تاريخ الاحتساب",IF(AND($D840&lt;&gt;"تسليم",COUNTIFS($A$5:$A$1504,$A840,$D$5:$D$1504,"تسليم",$E$5:$E$1504,"&lt;="&amp;$E840)=0),"لا يوجد تسليم قبل الحركة دي",""))))))</f>
        <v/>
      </c>
    </row>
    <row r="841" customFormat="false" ht="15" hidden="false" customHeight="false" outlineLevel="0" collapsed="false">
      <c r="A841" s="20"/>
      <c r="B841" s="35" t="str">
        <f aca="false">IF($A841="","",IFERROR(INDEX(مخرج_البند,MATCH($A841,قائمة_المخرجات,0)),""))</f>
        <v/>
      </c>
      <c r="C841" s="30" t="str">
        <f aca="false">IF($A841="","",IFERROR(INDEX(مخرج_الوصف,MATCH($A841,قائمة_المخرجات,0)),""))</f>
        <v/>
      </c>
      <c r="D841" s="20"/>
      <c r="E841" s="31"/>
      <c r="F841" s="22"/>
      <c r="G841" s="36" t="str">
        <f aca="false">IF(OR($A841="",$D841&lt;&gt;"تسليم",NOT(ISNUMBER($E841))),"",COUNTIFS($A$5:$A$1504,$A841,$D$5:$D$1504,"تسليم",$E$5:$E$1504,"&lt;"&amp;$E841)+1)</f>
        <v/>
      </c>
      <c r="H841" s="33" t="str">
        <f aca="false">IF($G841="","",_xlfn.MINIFS($E$5:$E$1504,$A$5:$A$1504,$A841,$D$5:$D$1504,"&lt;&gt;تسليم",$E$5:$E$1504,"&gt;="&amp;$E841))</f>
        <v/>
      </c>
      <c r="I841" s="33" t="str">
        <f aca="false">IF($G841="","",_xlfn.MINIFS($E$5:$E$1504,$A$5:$A$1504,$A841,$D$5:$D$1504,"تسليم",$E$5:$E$1504,"&gt;"&amp;$E841))</f>
        <v/>
      </c>
      <c r="J841" s="33" t="str">
        <f aca="false">IF($G841="","",IF(H841&gt;0,IF(I841&gt;0,MIN(H841,I841),H841),IF(I841&gt;0,I841,تاريخ_الاحتساب)))</f>
        <v/>
      </c>
      <c r="K841" s="34" t="str">
        <f aca="false">IF($G841="","",IF(AND(H841=0,I841=0),"جارية","مغلقة"))</f>
        <v/>
      </c>
      <c r="L841" s="26" t="str">
        <f aca="false">IF($G841="","",MAX(0,NETWORKDAYS.INTL($E841,J841,رمز_العطلة,أيام_الأجازات)-1))</f>
        <v/>
      </c>
      <c r="M841" s="26" t="str">
        <f aca="false">IF($G841="","",MAX(0,L841-مهلة_المراجعة))</f>
        <v/>
      </c>
      <c r="N841" s="30" t="str">
        <f aca="false">IF($A841="",IF(OR($D841&lt;&gt;"",$E841&lt;&gt;""),"رقم المخرج ناقص",""),IF(ISNA(MATCH($A841,قائمة_المخرجات,0)),"رقم مخرج غير موجود",IF($D841="","نوع الحركة ناقص",IF(NOT(ISNUMBER($E841)),"التاريخ ناقص",IF($E841&gt;تاريخ_الاحتساب,"تاريخ بعد تاريخ الاحتساب",IF(AND($D841&lt;&gt;"تسليم",COUNTIFS($A$5:$A$1504,$A841,$D$5:$D$1504,"تسليم",$E$5:$E$1504,"&lt;="&amp;$E841)=0),"لا يوجد تسليم قبل الحركة دي",""))))))</f>
        <v/>
      </c>
    </row>
    <row r="842" customFormat="false" ht="15" hidden="false" customHeight="false" outlineLevel="0" collapsed="false">
      <c r="A842" s="20"/>
      <c r="B842" s="35" t="str">
        <f aca="false">IF($A842="","",IFERROR(INDEX(مخرج_البند,MATCH($A842,قائمة_المخرجات,0)),""))</f>
        <v/>
      </c>
      <c r="C842" s="30" t="str">
        <f aca="false">IF($A842="","",IFERROR(INDEX(مخرج_الوصف,MATCH($A842,قائمة_المخرجات,0)),""))</f>
        <v/>
      </c>
      <c r="D842" s="20"/>
      <c r="E842" s="31"/>
      <c r="F842" s="22"/>
      <c r="G842" s="36" t="str">
        <f aca="false">IF(OR($A842="",$D842&lt;&gt;"تسليم",NOT(ISNUMBER($E842))),"",COUNTIFS($A$5:$A$1504,$A842,$D$5:$D$1504,"تسليم",$E$5:$E$1504,"&lt;"&amp;$E842)+1)</f>
        <v/>
      </c>
      <c r="H842" s="33" t="str">
        <f aca="false">IF($G842="","",_xlfn.MINIFS($E$5:$E$1504,$A$5:$A$1504,$A842,$D$5:$D$1504,"&lt;&gt;تسليم",$E$5:$E$1504,"&gt;="&amp;$E842))</f>
        <v/>
      </c>
      <c r="I842" s="33" t="str">
        <f aca="false">IF($G842="","",_xlfn.MINIFS($E$5:$E$1504,$A$5:$A$1504,$A842,$D$5:$D$1504,"تسليم",$E$5:$E$1504,"&gt;"&amp;$E842))</f>
        <v/>
      </c>
      <c r="J842" s="33" t="str">
        <f aca="false">IF($G842="","",IF(H842&gt;0,IF(I842&gt;0,MIN(H842,I842),H842),IF(I842&gt;0,I842,تاريخ_الاحتساب)))</f>
        <v/>
      </c>
      <c r="K842" s="34" t="str">
        <f aca="false">IF($G842="","",IF(AND(H842=0,I842=0),"جارية","مغلقة"))</f>
        <v/>
      </c>
      <c r="L842" s="26" t="str">
        <f aca="false">IF($G842="","",MAX(0,NETWORKDAYS.INTL($E842,J842,رمز_العطلة,أيام_الأجازات)-1))</f>
        <v/>
      </c>
      <c r="M842" s="26" t="str">
        <f aca="false">IF($G842="","",MAX(0,L842-مهلة_المراجعة))</f>
        <v/>
      </c>
      <c r="N842" s="30" t="str">
        <f aca="false">IF($A842="",IF(OR($D842&lt;&gt;"",$E842&lt;&gt;""),"رقم المخرج ناقص",""),IF(ISNA(MATCH($A842,قائمة_المخرجات,0)),"رقم مخرج غير موجود",IF($D842="","نوع الحركة ناقص",IF(NOT(ISNUMBER($E842)),"التاريخ ناقص",IF($E842&gt;تاريخ_الاحتساب,"تاريخ بعد تاريخ الاحتساب",IF(AND($D842&lt;&gt;"تسليم",COUNTIFS($A$5:$A$1504,$A842,$D$5:$D$1504,"تسليم",$E$5:$E$1504,"&lt;="&amp;$E842)=0),"لا يوجد تسليم قبل الحركة دي",""))))))</f>
        <v/>
      </c>
    </row>
    <row r="843" customFormat="false" ht="15" hidden="false" customHeight="false" outlineLevel="0" collapsed="false">
      <c r="A843" s="20"/>
      <c r="B843" s="35" t="str">
        <f aca="false">IF($A843="","",IFERROR(INDEX(مخرج_البند,MATCH($A843,قائمة_المخرجات,0)),""))</f>
        <v/>
      </c>
      <c r="C843" s="30" t="str">
        <f aca="false">IF($A843="","",IFERROR(INDEX(مخرج_الوصف,MATCH($A843,قائمة_المخرجات,0)),""))</f>
        <v/>
      </c>
      <c r="D843" s="20"/>
      <c r="E843" s="31"/>
      <c r="F843" s="22"/>
      <c r="G843" s="36" t="str">
        <f aca="false">IF(OR($A843="",$D843&lt;&gt;"تسليم",NOT(ISNUMBER($E843))),"",COUNTIFS($A$5:$A$1504,$A843,$D$5:$D$1504,"تسليم",$E$5:$E$1504,"&lt;"&amp;$E843)+1)</f>
        <v/>
      </c>
      <c r="H843" s="33" t="str">
        <f aca="false">IF($G843="","",_xlfn.MINIFS($E$5:$E$1504,$A$5:$A$1504,$A843,$D$5:$D$1504,"&lt;&gt;تسليم",$E$5:$E$1504,"&gt;="&amp;$E843))</f>
        <v/>
      </c>
      <c r="I843" s="33" t="str">
        <f aca="false">IF($G843="","",_xlfn.MINIFS($E$5:$E$1504,$A$5:$A$1504,$A843,$D$5:$D$1504,"تسليم",$E$5:$E$1504,"&gt;"&amp;$E843))</f>
        <v/>
      </c>
      <c r="J843" s="33" t="str">
        <f aca="false">IF($G843="","",IF(H843&gt;0,IF(I843&gt;0,MIN(H843,I843),H843),IF(I843&gt;0,I843,تاريخ_الاحتساب)))</f>
        <v/>
      </c>
      <c r="K843" s="34" t="str">
        <f aca="false">IF($G843="","",IF(AND(H843=0,I843=0),"جارية","مغلقة"))</f>
        <v/>
      </c>
      <c r="L843" s="26" t="str">
        <f aca="false">IF($G843="","",MAX(0,NETWORKDAYS.INTL($E843,J843,رمز_العطلة,أيام_الأجازات)-1))</f>
        <v/>
      </c>
      <c r="M843" s="26" t="str">
        <f aca="false">IF($G843="","",MAX(0,L843-مهلة_المراجعة))</f>
        <v/>
      </c>
      <c r="N843" s="30" t="str">
        <f aca="false">IF($A843="",IF(OR($D843&lt;&gt;"",$E843&lt;&gt;""),"رقم المخرج ناقص",""),IF(ISNA(MATCH($A843,قائمة_المخرجات,0)),"رقم مخرج غير موجود",IF($D843="","نوع الحركة ناقص",IF(NOT(ISNUMBER($E843)),"التاريخ ناقص",IF($E843&gt;تاريخ_الاحتساب,"تاريخ بعد تاريخ الاحتساب",IF(AND($D843&lt;&gt;"تسليم",COUNTIFS($A$5:$A$1504,$A843,$D$5:$D$1504,"تسليم",$E$5:$E$1504,"&lt;="&amp;$E843)=0),"لا يوجد تسليم قبل الحركة دي",""))))))</f>
        <v/>
      </c>
    </row>
    <row r="844" customFormat="false" ht="15" hidden="false" customHeight="false" outlineLevel="0" collapsed="false">
      <c r="A844" s="20"/>
      <c r="B844" s="35" t="str">
        <f aca="false">IF($A844="","",IFERROR(INDEX(مخرج_البند,MATCH($A844,قائمة_المخرجات,0)),""))</f>
        <v/>
      </c>
      <c r="C844" s="30" t="str">
        <f aca="false">IF($A844="","",IFERROR(INDEX(مخرج_الوصف,MATCH($A844,قائمة_المخرجات,0)),""))</f>
        <v/>
      </c>
      <c r="D844" s="20"/>
      <c r="E844" s="31"/>
      <c r="F844" s="22"/>
      <c r="G844" s="36" t="str">
        <f aca="false">IF(OR($A844="",$D844&lt;&gt;"تسليم",NOT(ISNUMBER($E844))),"",COUNTIFS($A$5:$A$1504,$A844,$D$5:$D$1504,"تسليم",$E$5:$E$1504,"&lt;"&amp;$E844)+1)</f>
        <v/>
      </c>
      <c r="H844" s="33" t="str">
        <f aca="false">IF($G844="","",_xlfn.MINIFS($E$5:$E$1504,$A$5:$A$1504,$A844,$D$5:$D$1504,"&lt;&gt;تسليم",$E$5:$E$1504,"&gt;="&amp;$E844))</f>
        <v/>
      </c>
      <c r="I844" s="33" t="str">
        <f aca="false">IF($G844="","",_xlfn.MINIFS($E$5:$E$1504,$A$5:$A$1504,$A844,$D$5:$D$1504,"تسليم",$E$5:$E$1504,"&gt;"&amp;$E844))</f>
        <v/>
      </c>
      <c r="J844" s="33" t="str">
        <f aca="false">IF($G844="","",IF(H844&gt;0,IF(I844&gt;0,MIN(H844,I844),H844),IF(I844&gt;0,I844,تاريخ_الاحتساب)))</f>
        <v/>
      </c>
      <c r="K844" s="34" t="str">
        <f aca="false">IF($G844="","",IF(AND(H844=0,I844=0),"جارية","مغلقة"))</f>
        <v/>
      </c>
      <c r="L844" s="26" t="str">
        <f aca="false">IF($G844="","",MAX(0,NETWORKDAYS.INTL($E844,J844,رمز_العطلة,أيام_الأجازات)-1))</f>
        <v/>
      </c>
      <c r="M844" s="26" t="str">
        <f aca="false">IF($G844="","",MAX(0,L844-مهلة_المراجعة))</f>
        <v/>
      </c>
      <c r="N844" s="30" t="str">
        <f aca="false">IF($A844="",IF(OR($D844&lt;&gt;"",$E844&lt;&gt;""),"رقم المخرج ناقص",""),IF(ISNA(MATCH($A844,قائمة_المخرجات,0)),"رقم مخرج غير موجود",IF($D844="","نوع الحركة ناقص",IF(NOT(ISNUMBER($E844)),"التاريخ ناقص",IF($E844&gt;تاريخ_الاحتساب,"تاريخ بعد تاريخ الاحتساب",IF(AND($D844&lt;&gt;"تسليم",COUNTIFS($A$5:$A$1504,$A844,$D$5:$D$1504,"تسليم",$E$5:$E$1504,"&lt;="&amp;$E844)=0),"لا يوجد تسليم قبل الحركة دي",""))))))</f>
        <v/>
      </c>
    </row>
    <row r="845" customFormat="false" ht="15" hidden="false" customHeight="false" outlineLevel="0" collapsed="false">
      <c r="A845" s="20"/>
      <c r="B845" s="35" t="str">
        <f aca="false">IF($A845="","",IFERROR(INDEX(مخرج_البند,MATCH($A845,قائمة_المخرجات,0)),""))</f>
        <v/>
      </c>
      <c r="C845" s="30" t="str">
        <f aca="false">IF($A845="","",IFERROR(INDEX(مخرج_الوصف,MATCH($A845,قائمة_المخرجات,0)),""))</f>
        <v/>
      </c>
      <c r="D845" s="20"/>
      <c r="E845" s="31"/>
      <c r="F845" s="22"/>
      <c r="G845" s="36" t="str">
        <f aca="false">IF(OR($A845="",$D845&lt;&gt;"تسليم",NOT(ISNUMBER($E845))),"",COUNTIFS($A$5:$A$1504,$A845,$D$5:$D$1504,"تسليم",$E$5:$E$1504,"&lt;"&amp;$E845)+1)</f>
        <v/>
      </c>
      <c r="H845" s="33" t="str">
        <f aca="false">IF($G845="","",_xlfn.MINIFS($E$5:$E$1504,$A$5:$A$1504,$A845,$D$5:$D$1504,"&lt;&gt;تسليم",$E$5:$E$1504,"&gt;="&amp;$E845))</f>
        <v/>
      </c>
      <c r="I845" s="33" t="str">
        <f aca="false">IF($G845="","",_xlfn.MINIFS($E$5:$E$1504,$A$5:$A$1504,$A845,$D$5:$D$1504,"تسليم",$E$5:$E$1504,"&gt;"&amp;$E845))</f>
        <v/>
      </c>
      <c r="J845" s="33" t="str">
        <f aca="false">IF($G845="","",IF(H845&gt;0,IF(I845&gt;0,MIN(H845,I845),H845),IF(I845&gt;0,I845,تاريخ_الاحتساب)))</f>
        <v/>
      </c>
      <c r="K845" s="34" t="str">
        <f aca="false">IF($G845="","",IF(AND(H845=0,I845=0),"جارية","مغلقة"))</f>
        <v/>
      </c>
      <c r="L845" s="26" t="str">
        <f aca="false">IF($G845="","",MAX(0,NETWORKDAYS.INTL($E845,J845,رمز_العطلة,أيام_الأجازات)-1))</f>
        <v/>
      </c>
      <c r="M845" s="26" t="str">
        <f aca="false">IF($G845="","",MAX(0,L845-مهلة_المراجعة))</f>
        <v/>
      </c>
      <c r="N845" s="30" t="str">
        <f aca="false">IF($A845="",IF(OR($D845&lt;&gt;"",$E845&lt;&gt;""),"رقم المخرج ناقص",""),IF(ISNA(MATCH($A845,قائمة_المخرجات,0)),"رقم مخرج غير موجود",IF($D845="","نوع الحركة ناقص",IF(NOT(ISNUMBER($E845)),"التاريخ ناقص",IF($E845&gt;تاريخ_الاحتساب,"تاريخ بعد تاريخ الاحتساب",IF(AND($D845&lt;&gt;"تسليم",COUNTIFS($A$5:$A$1504,$A845,$D$5:$D$1504,"تسليم",$E$5:$E$1504,"&lt;="&amp;$E845)=0),"لا يوجد تسليم قبل الحركة دي",""))))))</f>
        <v/>
      </c>
    </row>
    <row r="846" customFormat="false" ht="15" hidden="false" customHeight="false" outlineLevel="0" collapsed="false">
      <c r="A846" s="20"/>
      <c r="B846" s="35" t="str">
        <f aca="false">IF($A846="","",IFERROR(INDEX(مخرج_البند,MATCH($A846,قائمة_المخرجات,0)),""))</f>
        <v/>
      </c>
      <c r="C846" s="30" t="str">
        <f aca="false">IF($A846="","",IFERROR(INDEX(مخرج_الوصف,MATCH($A846,قائمة_المخرجات,0)),""))</f>
        <v/>
      </c>
      <c r="D846" s="20"/>
      <c r="E846" s="31"/>
      <c r="F846" s="22"/>
      <c r="G846" s="36" t="str">
        <f aca="false">IF(OR($A846="",$D846&lt;&gt;"تسليم",NOT(ISNUMBER($E846))),"",COUNTIFS($A$5:$A$1504,$A846,$D$5:$D$1504,"تسليم",$E$5:$E$1504,"&lt;"&amp;$E846)+1)</f>
        <v/>
      </c>
      <c r="H846" s="33" t="str">
        <f aca="false">IF($G846="","",_xlfn.MINIFS($E$5:$E$1504,$A$5:$A$1504,$A846,$D$5:$D$1504,"&lt;&gt;تسليم",$E$5:$E$1504,"&gt;="&amp;$E846))</f>
        <v/>
      </c>
      <c r="I846" s="33" t="str">
        <f aca="false">IF($G846="","",_xlfn.MINIFS($E$5:$E$1504,$A$5:$A$1504,$A846,$D$5:$D$1504,"تسليم",$E$5:$E$1504,"&gt;"&amp;$E846))</f>
        <v/>
      </c>
      <c r="J846" s="33" t="str">
        <f aca="false">IF($G846="","",IF(H846&gt;0,IF(I846&gt;0,MIN(H846,I846),H846),IF(I846&gt;0,I846,تاريخ_الاحتساب)))</f>
        <v/>
      </c>
      <c r="K846" s="34" t="str">
        <f aca="false">IF($G846="","",IF(AND(H846=0,I846=0),"جارية","مغلقة"))</f>
        <v/>
      </c>
      <c r="L846" s="26" t="str">
        <f aca="false">IF($G846="","",MAX(0,NETWORKDAYS.INTL($E846,J846,رمز_العطلة,أيام_الأجازات)-1))</f>
        <v/>
      </c>
      <c r="M846" s="26" t="str">
        <f aca="false">IF($G846="","",MAX(0,L846-مهلة_المراجعة))</f>
        <v/>
      </c>
      <c r="N846" s="30" t="str">
        <f aca="false">IF($A846="",IF(OR($D846&lt;&gt;"",$E846&lt;&gt;""),"رقم المخرج ناقص",""),IF(ISNA(MATCH($A846,قائمة_المخرجات,0)),"رقم مخرج غير موجود",IF($D846="","نوع الحركة ناقص",IF(NOT(ISNUMBER($E846)),"التاريخ ناقص",IF($E846&gt;تاريخ_الاحتساب,"تاريخ بعد تاريخ الاحتساب",IF(AND($D846&lt;&gt;"تسليم",COUNTIFS($A$5:$A$1504,$A846,$D$5:$D$1504,"تسليم",$E$5:$E$1504,"&lt;="&amp;$E846)=0),"لا يوجد تسليم قبل الحركة دي",""))))))</f>
        <v/>
      </c>
    </row>
    <row r="847" customFormat="false" ht="15" hidden="false" customHeight="false" outlineLevel="0" collapsed="false">
      <c r="A847" s="20"/>
      <c r="B847" s="35" t="str">
        <f aca="false">IF($A847="","",IFERROR(INDEX(مخرج_البند,MATCH($A847,قائمة_المخرجات,0)),""))</f>
        <v/>
      </c>
      <c r="C847" s="30" t="str">
        <f aca="false">IF($A847="","",IFERROR(INDEX(مخرج_الوصف,MATCH($A847,قائمة_المخرجات,0)),""))</f>
        <v/>
      </c>
      <c r="D847" s="20"/>
      <c r="E847" s="31"/>
      <c r="F847" s="22"/>
      <c r="G847" s="36" t="str">
        <f aca="false">IF(OR($A847="",$D847&lt;&gt;"تسليم",NOT(ISNUMBER($E847))),"",COUNTIFS($A$5:$A$1504,$A847,$D$5:$D$1504,"تسليم",$E$5:$E$1504,"&lt;"&amp;$E847)+1)</f>
        <v/>
      </c>
      <c r="H847" s="33" t="str">
        <f aca="false">IF($G847="","",_xlfn.MINIFS($E$5:$E$1504,$A$5:$A$1504,$A847,$D$5:$D$1504,"&lt;&gt;تسليم",$E$5:$E$1504,"&gt;="&amp;$E847))</f>
        <v/>
      </c>
      <c r="I847" s="33" t="str">
        <f aca="false">IF($G847="","",_xlfn.MINIFS($E$5:$E$1504,$A$5:$A$1504,$A847,$D$5:$D$1504,"تسليم",$E$5:$E$1504,"&gt;"&amp;$E847))</f>
        <v/>
      </c>
      <c r="J847" s="33" t="str">
        <f aca="false">IF($G847="","",IF(H847&gt;0,IF(I847&gt;0,MIN(H847,I847),H847),IF(I847&gt;0,I847,تاريخ_الاحتساب)))</f>
        <v/>
      </c>
      <c r="K847" s="34" t="str">
        <f aca="false">IF($G847="","",IF(AND(H847=0,I847=0),"جارية","مغلقة"))</f>
        <v/>
      </c>
      <c r="L847" s="26" t="str">
        <f aca="false">IF($G847="","",MAX(0,NETWORKDAYS.INTL($E847,J847,رمز_العطلة,أيام_الأجازات)-1))</f>
        <v/>
      </c>
      <c r="M847" s="26" t="str">
        <f aca="false">IF($G847="","",MAX(0,L847-مهلة_المراجعة))</f>
        <v/>
      </c>
      <c r="N847" s="30" t="str">
        <f aca="false">IF($A847="",IF(OR($D847&lt;&gt;"",$E847&lt;&gt;""),"رقم المخرج ناقص",""),IF(ISNA(MATCH($A847,قائمة_المخرجات,0)),"رقم مخرج غير موجود",IF($D847="","نوع الحركة ناقص",IF(NOT(ISNUMBER($E847)),"التاريخ ناقص",IF($E847&gt;تاريخ_الاحتساب,"تاريخ بعد تاريخ الاحتساب",IF(AND($D847&lt;&gt;"تسليم",COUNTIFS($A$5:$A$1504,$A847,$D$5:$D$1504,"تسليم",$E$5:$E$1504,"&lt;="&amp;$E847)=0),"لا يوجد تسليم قبل الحركة دي",""))))))</f>
        <v/>
      </c>
    </row>
    <row r="848" customFormat="false" ht="15" hidden="false" customHeight="false" outlineLevel="0" collapsed="false">
      <c r="A848" s="20"/>
      <c r="B848" s="35" t="str">
        <f aca="false">IF($A848="","",IFERROR(INDEX(مخرج_البند,MATCH($A848,قائمة_المخرجات,0)),""))</f>
        <v/>
      </c>
      <c r="C848" s="30" t="str">
        <f aca="false">IF($A848="","",IFERROR(INDEX(مخرج_الوصف,MATCH($A848,قائمة_المخرجات,0)),""))</f>
        <v/>
      </c>
      <c r="D848" s="20"/>
      <c r="E848" s="31"/>
      <c r="F848" s="22"/>
      <c r="G848" s="36" t="str">
        <f aca="false">IF(OR($A848="",$D848&lt;&gt;"تسليم",NOT(ISNUMBER($E848))),"",COUNTIFS($A$5:$A$1504,$A848,$D$5:$D$1504,"تسليم",$E$5:$E$1504,"&lt;"&amp;$E848)+1)</f>
        <v/>
      </c>
      <c r="H848" s="33" t="str">
        <f aca="false">IF($G848="","",_xlfn.MINIFS($E$5:$E$1504,$A$5:$A$1504,$A848,$D$5:$D$1504,"&lt;&gt;تسليم",$E$5:$E$1504,"&gt;="&amp;$E848))</f>
        <v/>
      </c>
      <c r="I848" s="33" t="str">
        <f aca="false">IF($G848="","",_xlfn.MINIFS($E$5:$E$1504,$A$5:$A$1504,$A848,$D$5:$D$1504,"تسليم",$E$5:$E$1504,"&gt;"&amp;$E848))</f>
        <v/>
      </c>
      <c r="J848" s="33" t="str">
        <f aca="false">IF($G848="","",IF(H848&gt;0,IF(I848&gt;0,MIN(H848,I848),H848),IF(I848&gt;0,I848,تاريخ_الاحتساب)))</f>
        <v/>
      </c>
      <c r="K848" s="34" t="str">
        <f aca="false">IF($G848="","",IF(AND(H848=0,I848=0),"جارية","مغلقة"))</f>
        <v/>
      </c>
      <c r="L848" s="26" t="str">
        <f aca="false">IF($G848="","",MAX(0,NETWORKDAYS.INTL($E848,J848,رمز_العطلة,أيام_الأجازات)-1))</f>
        <v/>
      </c>
      <c r="M848" s="26" t="str">
        <f aca="false">IF($G848="","",MAX(0,L848-مهلة_المراجعة))</f>
        <v/>
      </c>
      <c r="N848" s="30" t="str">
        <f aca="false">IF($A848="",IF(OR($D848&lt;&gt;"",$E848&lt;&gt;""),"رقم المخرج ناقص",""),IF(ISNA(MATCH($A848,قائمة_المخرجات,0)),"رقم مخرج غير موجود",IF($D848="","نوع الحركة ناقص",IF(NOT(ISNUMBER($E848)),"التاريخ ناقص",IF($E848&gt;تاريخ_الاحتساب,"تاريخ بعد تاريخ الاحتساب",IF(AND($D848&lt;&gt;"تسليم",COUNTIFS($A$5:$A$1504,$A848,$D$5:$D$1504,"تسليم",$E$5:$E$1504,"&lt;="&amp;$E848)=0),"لا يوجد تسليم قبل الحركة دي",""))))))</f>
        <v/>
      </c>
    </row>
    <row r="849" customFormat="false" ht="15" hidden="false" customHeight="false" outlineLevel="0" collapsed="false">
      <c r="A849" s="20"/>
      <c r="B849" s="35" t="str">
        <f aca="false">IF($A849="","",IFERROR(INDEX(مخرج_البند,MATCH($A849,قائمة_المخرجات,0)),""))</f>
        <v/>
      </c>
      <c r="C849" s="30" t="str">
        <f aca="false">IF($A849="","",IFERROR(INDEX(مخرج_الوصف,MATCH($A849,قائمة_المخرجات,0)),""))</f>
        <v/>
      </c>
      <c r="D849" s="20"/>
      <c r="E849" s="31"/>
      <c r="F849" s="22"/>
      <c r="G849" s="36" t="str">
        <f aca="false">IF(OR($A849="",$D849&lt;&gt;"تسليم",NOT(ISNUMBER($E849))),"",COUNTIFS($A$5:$A$1504,$A849,$D$5:$D$1504,"تسليم",$E$5:$E$1504,"&lt;"&amp;$E849)+1)</f>
        <v/>
      </c>
      <c r="H849" s="33" t="str">
        <f aca="false">IF($G849="","",_xlfn.MINIFS($E$5:$E$1504,$A$5:$A$1504,$A849,$D$5:$D$1504,"&lt;&gt;تسليم",$E$5:$E$1504,"&gt;="&amp;$E849))</f>
        <v/>
      </c>
      <c r="I849" s="33" t="str">
        <f aca="false">IF($G849="","",_xlfn.MINIFS($E$5:$E$1504,$A$5:$A$1504,$A849,$D$5:$D$1504,"تسليم",$E$5:$E$1504,"&gt;"&amp;$E849))</f>
        <v/>
      </c>
      <c r="J849" s="33" t="str">
        <f aca="false">IF($G849="","",IF(H849&gt;0,IF(I849&gt;0,MIN(H849,I849),H849),IF(I849&gt;0,I849,تاريخ_الاحتساب)))</f>
        <v/>
      </c>
      <c r="K849" s="34" t="str">
        <f aca="false">IF($G849="","",IF(AND(H849=0,I849=0),"جارية","مغلقة"))</f>
        <v/>
      </c>
      <c r="L849" s="26" t="str">
        <f aca="false">IF($G849="","",MAX(0,NETWORKDAYS.INTL($E849,J849,رمز_العطلة,أيام_الأجازات)-1))</f>
        <v/>
      </c>
      <c r="M849" s="26" t="str">
        <f aca="false">IF($G849="","",MAX(0,L849-مهلة_المراجعة))</f>
        <v/>
      </c>
      <c r="N849" s="30" t="str">
        <f aca="false">IF($A849="",IF(OR($D849&lt;&gt;"",$E849&lt;&gt;""),"رقم المخرج ناقص",""),IF(ISNA(MATCH($A849,قائمة_المخرجات,0)),"رقم مخرج غير موجود",IF($D849="","نوع الحركة ناقص",IF(NOT(ISNUMBER($E849)),"التاريخ ناقص",IF($E849&gt;تاريخ_الاحتساب,"تاريخ بعد تاريخ الاحتساب",IF(AND($D849&lt;&gt;"تسليم",COUNTIFS($A$5:$A$1504,$A849,$D$5:$D$1504,"تسليم",$E$5:$E$1504,"&lt;="&amp;$E849)=0),"لا يوجد تسليم قبل الحركة دي",""))))))</f>
        <v/>
      </c>
    </row>
    <row r="850" customFormat="false" ht="15" hidden="false" customHeight="false" outlineLevel="0" collapsed="false">
      <c r="A850" s="20"/>
      <c r="B850" s="35" t="str">
        <f aca="false">IF($A850="","",IFERROR(INDEX(مخرج_البند,MATCH($A850,قائمة_المخرجات,0)),""))</f>
        <v/>
      </c>
      <c r="C850" s="30" t="str">
        <f aca="false">IF($A850="","",IFERROR(INDEX(مخرج_الوصف,MATCH($A850,قائمة_المخرجات,0)),""))</f>
        <v/>
      </c>
      <c r="D850" s="20"/>
      <c r="E850" s="31"/>
      <c r="F850" s="22"/>
      <c r="G850" s="36" t="str">
        <f aca="false">IF(OR($A850="",$D850&lt;&gt;"تسليم",NOT(ISNUMBER($E850))),"",COUNTIFS($A$5:$A$1504,$A850,$D$5:$D$1504,"تسليم",$E$5:$E$1504,"&lt;"&amp;$E850)+1)</f>
        <v/>
      </c>
      <c r="H850" s="33" t="str">
        <f aca="false">IF($G850="","",_xlfn.MINIFS($E$5:$E$1504,$A$5:$A$1504,$A850,$D$5:$D$1504,"&lt;&gt;تسليم",$E$5:$E$1504,"&gt;="&amp;$E850))</f>
        <v/>
      </c>
      <c r="I850" s="33" t="str">
        <f aca="false">IF($G850="","",_xlfn.MINIFS($E$5:$E$1504,$A$5:$A$1504,$A850,$D$5:$D$1504,"تسليم",$E$5:$E$1504,"&gt;"&amp;$E850))</f>
        <v/>
      </c>
      <c r="J850" s="33" t="str">
        <f aca="false">IF($G850="","",IF(H850&gt;0,IF(I850&gt;0,MIN(H850,I850),H850),IF(I850&gt;0,I850,تاريخ_الاحتساب)))</f>
        <v/>
      </c>
      <c r="K850" s="34" t="str">
        <f aca="false">IF($G850="","",IF(AND(H850=0,I850=0),"جارية","مغلقة"))</f>
        <v/>
      </c>
      <c r="L850" s="26" t="str">
        <f aca="false">IF($G850="","",MAX(0,NETWORKDAYS.INTL($E850,J850,رمز_العطلة,أيام_الأجازات)-1))</f>
        <v/>
      </c>
      <c r="M850" s="26" t="str">
        <f aca="false">IF($G850="","",MAX(0,L850-مهلة_المراجعة))</f>
        <v/>
      </c>
      <c r="N850" s="30" t="str">
        <f aca="false">IF($A850="",IF(OR($D850&lt;&gt;"",$E850&lt;&gt;""),"رقم المخرج ناقص",""),IF(ISNA(MATCH($A850,قائمة_المخرجات,0)),"رقم مخرج غير موجود",IF($D850="","نوع الحركة ناقص",IF(NOT(ISNUMBER($E850)),"التاريخ ناقص",IF($E850&gt;تاريخ_الاحتساب,"تاريخ بعد تاريخ الاحتساب",IF(AND($D850&lt;&gt;"تسليم",COUNTIFS($A$5:$A$1504,$A850,$D$5:$D$1504,"تسليم",$E$5:$E$1504,"&lt;="&amp;$E850)=0),"لا يوجد تسليم قبل الحركة دي",""))))))</f>
        <v/>
      </c>
    </row>
    <row r="851" customFormat="false" ht="15" hidden="false" customHeight="false" outlineLevel="0" collapsed="false">
      <c r="A851" s="20"/>
      <c r="B851" s="35" t="str">
        <f aca="false">IF($A851="","",IFERROR(INDEX(مخرج_البند,MATCH($A851,قائمة_المخرجات,0)),""))</f>
        <v/>
      </c>
      <c r="C851" s="30" t="str">
        <f aca="false">IF($A851="","",IFERROR(INDEX(مخرج_الوصف,MATCH($A851,قائمة_المخرجات,0)),""))</f>
        <v/>
      </c>
      <c r="D851" s="20"/>
      <c r="E851" s="31"/>
      <c r="F851" s="22"/>
      <c r="G851" s="36" t="str">
        <f aca="false">IF(OR($A851="",$D851&lt;&gt;"تسليم",NOT(ISNUMBER($E851))),"",COUNTIFS($A$5:$A$1504,$A851,$D$5:$D$1504,"تسليم",$E$5:$E$1504,"&lt;"&amp;$E851)+1)</f>
        <v/>
      </c>
      <c r="H851" s="33" t="str">
        <f aca="false">IF($G851="","",_xlfn.MINIFS($E$5:$E$1504,$A$5:$A$1504,$A851,$D$5:$D$1504,"&lt;&gt;تسليم",$E$5:$E$1504,"&gt;="&amp;$E851))</f>
        <v/>
      </c>
      <c r="I851" s="33" t="str">
        <f aca="false">IF($G851="","",_xlfn.MINIFS($E$5:$E$1504,$A$5:$A$1504,$A851,$D$5:$D$1504,"تسليم",$E$5:$E$1504,"&gt;"&amp;$E851))</f>
        <v/>
      </c>
      <c r="J851" s="33" t="str">
        <f aca="false">IF($G851="","",IF(H851&gt;0,IF(I851&gt;0,MIN(H851,I851),H851),IF(I851&gt;0,I851,تاريخ_الاحتساب)))</f>
        <v/>
      </c>
      <c r="K851" s="34" t="str">
        <f aca="false">IF($G851="","",IF(AND(H851=0,I851=0),"جارية","مغلقة"))</f>
        <v/>
      </c>
      <c r="L851" s="26" t="str">
        <f aca="false">IF($G851="","",MAX(0,NETWORKDAYS.INTL($E851,J851,رمز_العطلة,أيام_الأجازات)-1))</f>
        <v/>
      </c>
      <c r="M851" s="26" t="str">
        <f aca="false">IF($G851="","",MAX(0,L851-مهلة_المراجعة))</f>
        <v/>
      </c>
      <c r="N851" s="30" t="str">
        <f aca="false">IF($A851="",IF(OR($D851&lt;&gt;"",$E851&lt;&gt;""),"رقم المخرج ناقص",""),IF(ISNA(MATCH($A851,قائمة_المخرجات,0)),"رقم مخرج غير موجود",IF($D851="","نوع الحركة ناقص",IF(NOT(ISNUMBER($E851)),"التاريخ ناقص",IF($E851&gt;تاريخ_الاحتساب,"تاريخ بعد تاريخ الاحتساب",IF(AND($D851&lt;&gt;"تسليم",COUNTIFS($A$5:$A$1504,$A851,$D$5:$D$1504,"تسليم",$E$5:$E$1504,"&lt;="&amp;$E851)=0),"لا يوجد تسليم قبل الحركة دي",""))))))</f>
        <v/>
      </c>
    </row>
    <row r="852" customFormat="false" ht="15" hidden="false" customHeight="false" outlineLevel="0" collapsed="false">
      <c r="A852" s="20"/>
      <c r="B852" s="35" t="str">
        <f aca="false">IF($A852="","",IFERROR(INDEX(مخرج_البند,MATCH($A852,قائمة_المخرجات,0)),""))</f>
        <v/>
      </c>
      <c r="C852" s="30" t="str">
        <f aca="false">IF($A852="","",IFERROR(INDEX(مخرج_الوصف,MATCH($A852,قائمة_المخرجات,0)),""))</f>
        <v/>
      </c>
      <c r="D852" s="20"/>
      <c r="E852" s="31"/>
      <c r="F852" s="22"/>
      <c r="G852" s="36" t="str">
        <f aca="false">IF(OR($A852="",$D852&lt;&gt;"تسليم",NOT(ISNUMBER($E852))),"",COUNTIFS($A$5:$A$1504,$A852,$D$5:$D$1504,"تسليم",$E$5:$E$1504,"&lt;"&amp;$E852)+1)</f>
        <v/>
      </c>
      <c r="H852" s="33" t="str">
        <f aca="false">IF($G852="","",_xlfn.MINIFS($E$5:$E$1504,$A$5:$A$1504,$A852,$D$5:$D$1504,"&lt;&gt;تسليم",$E$5:$E$1504,"&gt;="&amp;$E852))</f>
        <v/>
      </c>
      <c r="I852" s="33" t="str">
        <f aca="false">IF($G852="","",_xlfn.MINIFS($E$5:$E$1504,$A$5:$A$1504,$A852,$D$5:$D$1504,"تسليم",$E$5:$E$1504,"&gt;"&amp;$E852))</f>
        <v/>
      </c>
      <c r="J852" s="33" t="str">
        <f aca="false">IF($G852="","",IF(H852&gt;0,IF(I852&gt;0,MIN(H852,I852),H852),IF(I852&gt;0,I852,تاريخ_الاحتساب)))</f>
        <v/>
      </c>
      <c r="K852" s="34" t="str">
        <f aca="false">IF($G852="","",IF(AND(H852=0,I852=0),"جارية","مغلقة"))</f>
        <v/>
      </c>
      <c r="L852" s="26" t="str">
        <f aca="false">IF($G852="","",MAX(0,NETWORKDAYS.INTL($E852,J852,رمز_العطلة,أيام_الأجازات)-1))</f>
        <v/>
      </c>
      <c r="M852" s="26" t="str">
        <f aca="false">IF($G852="","",MAX(0,L852-مهلة_المراجعة))</f>
        <v/>
      </c>
      <c r="N852" s="30" t="str">
        <f aca="false">IF($A852="",IF(OR($D852&lt;&gt;"",$E852&lt;&gt;""),"رقم المخرج ناقص",""),IF(ISNA(MATCH($A852,قائمة_المخرجات,0)),"رقم مخرج غير موجود",IF($D852="","نوع الحركة ناقص",IF(NOT(ISNUMBER($E852)),"التاريخ ناقص",IF($E852&gt;تاريخ_الاحتساب,"تاريخ بعد تاريخ الاحتساب",IF(AND($D852&lt;&gt;"تسليم",COUNTIFS($A$5:$A$1504,$A852,$D$5:$D$1504,"تسليم",$E$5:$E$1504,"&lt;="&amp;$E852)=0),"لا يوجد تسليم قبل الحركة دي",""))))))</f>
        <v/>
      </c>
    </row>
    <row r="853" customFormat="false" ht="15" hidden="false" customHeight="false" outlineLevel="0" collapsed="false">
      <c r="A853" s="20"/>
      <c r="B853" s="35" t="str">
        <f aca="false">IF($A853="","",IFERROR(INDEX(مخرج_البند,MATCH($A853,قائمة_المخرجات,0)),""))</f>
        <v/>
      </c>
      <c r="C853" s="30" t="str">
        <f aca="false">IF($A853="","",IFERROR(INDEX(مخرج_الوصف,MATCH($A853,قائمة_المخرجات,0)),""))</f>
        <v/>
      </c>
      <c r="D853" s="20"/>
      <c r="E853" s="31"/>
      <c r="F853" s="22"/>
      <c r="G853" s="36" t="str">
        <f aca="false">IF(OR($A853="",$D853&lt;&gt;"تسليم",NOT(ISNUMBER($E853))),"",COUNTIFS($A$5:$A$1504,$A853,$D$5:$D$1504,"تسليم",$E$5:$E$1504,"&lt;"&amp;$E853)+1)</f>
        <v/>
      </c>
      <c r="H853" s="33" t="str">
        <f aca="false">IF($G853="","",_xlfn.MINIFS($E$5:$E$1504,$A$5:$A$1504,$A853,$D$5:$D$1504,"&lt;&gt;تسليم",$E$5:$E$1504,"&gt;="&amp;$E853))</f>
        <v/>
      </c>
      <c r="I853" s="33" t="str">
        <f aca="false">IF($G853="","",_xlfn.MINIFS($E$5:$E$1504,$A$5:$A$1504,$A853,$D$5:$D$1504,"تسليم",$E$5:$E$1504,"&gt;"&amp;$E853))</f>
        <v/>
      </c>
      <c r="J853" s="33" t="str">
        <f aca="false">IF($G853="","",IF(H853&gt;0,IF(I853&gt;0,MIN(H853,I853),H853),IF(I853&gt;0,I853,تاريخ_الاحتساب)))</f>
        <v/>
      </c>
      <c r="K853" s="34" t="str">
        <f aca="false">IF($G853="","",IF(AND(H853=0,I853=0),"جارية","مغلقة"))</f>
        <v/>
      </c>
      <c r="L853" s="26" t="str">
        <f aca="false">IF($G853="","",MAX(0,NETWORKDAYS.INTL($E853,J853,رمز_العطلة,أيام_الأجازات)-1))</f>
        <v/>
      </c>
      <c r="M853" s="26" t="str">
        <f aca="false">IF($G853="","",MAX(0,L853-مهلة_المراجعة))</f>
        <v/>
      </c>
      <c r="N853" s="30" t="str">
        <f aca="false">IF($A853="",IF(OR($D853&lt;&gt;"",$E853&lt;&gt;""),"رقم المخرج ناقص",""),IF(ISNA(MATCH($A853,قائمة_المخرجات,0)),"رقم مخرج غير موجود",IF($D853="","نوع الحركة ناقص",IF(NOT(ISNUMBER($E853)),"التاريخ ناقص",IF($E853&gt;تاريخ_الاحتساب,"تاريخ بعد تاريخ الاحتساب",IF(AND($D853&lt;&gt;"تسليم",COUNTIFS($A$5:$A$1504,$A853,$D$5:$D$1504,"تسليم",$E$5:$E$1504,"&lt;="&amp;$E853)=0),"لا يوجد تسليم قبل الحركة دي",""))))))</f>
        <v/>
      </c>
    </row>
    <row r="854" customFormat="false" ht="15" hidden="false" customHeight="false" outlineLevel="0" collapsed="false">
      <c r="A854" s="20"/>
      <c r="B854" s="35" t="str">
        <f aca="false">IF($A854="","",IFERROR(INDEX(مخرج_البند,MATCH($A854,قائمة_المخرجات,0)),""))</f>
        <v/>
      </c>
      <c r="C854" s="30" t="str">
        <f aca="false">IF($A854="","",IFERROR(INDEX(مخرج_الوصف,MATCH($A854,قائمة_المخرجات,0)),""))</f>
        <v/>
      </c>
      <c r="D854" s="20"/>
      <c r="E854" s="31"/>
      <c r="F854" s="22"/>
      <c r="G854" s="36" t="str">
        <f aca="false">IF(OR($A854="",$D854&lt;&gt;"تسليم",NOT(ISNUMBER($E854))),"",COUNTIFS($A$5:$A$1504,$A854,$D$5:$D$1504,"تسليم",$E$5:$E$1504,"&lt;"&amp;$E854)+1)</f>
        <v/>
      </c>
      <c r="H854" s="33" t="str">
        <f aca="false">IF($G854="","",_xlfn.MINIFS($E$5:$E$1504,$A$5:$A$1504,$A854,$D$5:$D$1504,"&lt;&gt;تسليم",$E$5:$E$1504,"&gt;="&amp;$E854))</f>
        <v/>
      </c>
      <c r="I854" s="33" t="str">
        <f aca="false">IF($G854="","",_xlfn.MINIFS($E$5:$E$1504,$A$5:$A$1504,$A854,$D$5:$D$1504,"تسليم",$E$5:$E$1504,"&gt;"&amp;$E854))</f>
        <v/>
      </c>
      <c r="J854" s="33" t="str">
        <f aca="false">IF($G854="","",IF(H854&gt;0,IF(I854&gt;0,MIN(H854,I854),H854),IF(I854&gt;0,I854,تاريخ_الاحتساب)))</f>
        <v/>
      </c>
      <c r="K854" s="34" t="str">
        <f aca="false">IF($G854="","",IF(AND(H854=0,I854=0),"جارية","مغلقة"))</f>
        <v/>
      </c>
      <c r="L854" s="26" t="str">
        <f aca="false">IF($G854="","",MAX(0,NETWORKDAYS.INTL($E854,J854,رمز_العطلة,أيام_الأجازات)-1))</f>
        <v/>
      </c>
      <c r="M854" s="26" t="str">
        <f aca="false">IF($G854="","",MAX(0,L854-مهلة_المراجعة))</f>
        <v/>
      </c>
      <c r="N854" s="30" t="str">
        <f aca="false">IF($A854="",IF(OR($D854&lt;&gt;"",$E854&lt;&gt;""),"رقم المخرج ناقص",""),IF(ISNA(MATCH($A854,قائمة_المخرجات,0)),"رقم مخرج غير موجود",IF($D854="","نوع الحركة ناقص",IF(NOT(ISNUMBER($E854)),"التاريخ ناقص",IF($E854&gt;تاريخ_الاحتساب,"تاريخ بعد تاريخ الاحتساب",IF(AND($D854&lt;&gt;"تسليم",COUNTIFS($A$5:$A$1504,$A854,$D$5:$D$1504,"تسليم",$E$5:$E$1504,"&lt;="&amp;$E854)=0),"لا يوجد تسليم قبل الحركة دي",""))))))</f>
        <v/>
      </c>
    </row>
    <row r="855" customFormat="false" ht="15" hidden="false" customHeight="false" outlineLevel="0" collapsed="false">
      <c r="A855" s="20"/>
      <c r="B855" s="35" t="str">
        <f aca="false">IF($A855="","",IFERROR(INDEX(مخرج_البند,MATCH($A855,قائمة_المخرجات,0)),""))</f>
        <v/>
      </c>
      <c r="C855" s="30" t="str">
        <f aca="false">IF($A855="","",IFERROR(INDEX(مخرج_الوصف,MATCH($A855,قائمة_المخرجات,0)),""))</f>
        <v/>
      </c>
      <c r="D855" s="20"/>
      <c r="E855" s="31"/>
      <c r="F855" s="22"/>
      <c r="G855" s="36" t="str">
        <f aca="false">IF(OR($A855="",$D855&lt;&gt;"تسليم",NOT(ISNUMBER($E855))),"",COUNTIFS($A$5:$A$1504,$A855,$D$5:$D$1504,"تسليم",$E$5:$E$1504,"&lt;"&amp;$E855)+1)</f>
        <v/>
      </c>
      <c r="H855" s="33" t="str">
        <f aca="false">IF($G855="","",_xlfn.MINIFS($E$5:$E$1504,$A$5:$A$1504,$A855,$D$5:$D$1504,"&lt;&gt;تسليم",$E$5:$E$1504,"&gt;="&amp;$E855))</f>
        <v/>
      </c>
      <c r="I855" s="33" t="str">
        <f aca="false">IF($G855="","",_xlfn.MINIFS($E$5:$E$1504,$A$5:$A$1504,$A855,$D$5:$D$1504,"تسليم",$E$5:$E$1504,"&gt;"&amp;$E855))</f>
        <v/>
      </c>
      <c r="J855" s="33" t="str">
        <f aca="false">IF($G855="","",IF(H855&gt;0,IF(I855&gt;0,MIN(H855,I855),H855),IF(I855&gt;0,I855,تاريخ_الاحتساب)))</f>
        <v/>
      </c>
      <c r="K855" s="34" t="str">
        <f aca="false">IF($G855="","",IF(AND(H855=0,I855=0),"جارية","مغلقة"))</f>
        <v/>
      </c>
      <c r="L855" s="26" t="str">
        <f aca="false">IF($G855="","",MAX(0,NETWORKDAYS.INTL($E855,J855,رمز_العطلة,أيام_الأجازات)-1))</f>
        <v/>
      </c>
      <c r="M855" s="26" t="str">
        <f aca="false">IF($G855="","",MAX(0,L855-مهلة_المراجعة))</f>
        <v/>
      </c>
      <c r="N855" s="30" t="str">
        <f aca="false">IF($A855="",IF(OR($D855&lt;&gt;"",$E855&lt;&gt;""),"رقم المخرج ناقص",""),IF(ISNA(MATCH($A855,قائمة_المخرجات,0)),"رقم مخرج غير موجود",IF($D855="","نوع الحركة ناقص",IF(NOT(ISNUMBER($E855)),"التاريخ ناقص",IF($E855&gt;تاريخ_الاحتساب,"تاريخ بعد تاريخ الاحتساب",IF(AND($D855&lt;&gt;"تسليم",COUNTIFS($A$5:$A$1504,$A855,$D$5:$D$1504,"تسليم",$E$5:$E$1504,"&lt;="&amp;$E855)=0),"لا يوجد تسليم قبل الحركة دي",""))))))</f>
        <v/>
      </c>
    </row>
    <row r="856" customFormat="false" ht="15" hidden="false" customHeight="false" outlineLevel="0" collapsed="false">
      <c r="A856" s="20"/>
      <c r="B856" s="35" t="str">
        <f aca="false">IF($A856="","",IFERROR(INDEX(مخرج_البند,MATCH($A856,قائمة_المخرجات,0)),""))</f>
        <v/>
      </c>
      <c r="C856" s="30" t="str">
        <f aca="false">IF($A856="","",IFERROR(INDEX(مخرج_الوصف,MATCH($A856,قائمة_المخرجات,0)),""))</f>
        <v/>
      </c>
      <c r="D856" s="20"/>
      <c r="E856" s="31"/>
      <c r="F856" s="22"/>
      <c r="G856" s="36" t="str">
        <f aca="false">IF(OR($A856="",$D856&lt;&gt;"تسليم",NOT(ISNUMBER($E856))),"",COUNTIFS($A$5:$A$1504,$A856,$D$5:$D$1504,"تسليم",$E$5:$E$1504,"&lt;"&amp;$E856)+1)</f>
        <v/>
      </c>
      <c r="H856" s="33" t="str">
        <f aca="false">IF($G856="","",_xlfn.MINIFS($E$5:$E$1504,$A$5:$A$1504,$A856,$D$5:$D$1504,"&lt;&gt;تسليم",$E$5:$E$1504,"&gt;="&amp;$E856))</f>
        <v/>
      </c>
      <c r="I856" s="33" t="str">
        <f aca="false">IF($G856="","",_xlfn.MINIFS($E$5:$E$1504,$A$5:$A$1504,$A856,$D$5:$D$1504,"تسليم",$E$5:$E$1504,"&gt;"&amp;$E856))</f>
        <v/>
      </c>
      <c r="J856" s="33" t="str">
        <f aca="false">IF($G856="","",IF(H856&gt;0,IF(I856&gt;0,MIN(H856,I856),H856),IF(I856&gt;0,I856,تاريخ_الاحتساب)))</f>
        <v/>
      </c>
      <c r="K856" s="34" t="str">
        <f aca="false">IF($G856="","",IF(AND(H856=0,I856=0),"جارية","مغلقة"))</f>
        <v/>
      </c>
      <c r="L856" s="26" t="str">
        <f aca="false">IF($G856="","",MAX(0,NETWORKDAYS.INTL($E856,J856,رمز_العطلة,أيام_الأجازات)-1))</f>
        <v/>
      </c>
      <c r="M856" s="26" t="str">
        <f aca="false">IF($G856="","",MAX(0,L856-مهلة_المراجعة))</f>
        <v/>
      </c>
      <c r="N856" s="30" t="str">
        <f aca="false">IF($A856="",IF(OR($D856&lt;&gt;"",$E856&lt;&gt;""),"رقم المخرج ناقص",""),IF(ISNA(MATCH($A856,قائمة_المخرجات,0)),"رقم مخرج غير موجود",IF($D856="","نوع الحركة ناقص",IF(NOT(ISNUMBER($E856)),"التاريخ ناقص",IF($E856&gt;تاريخ_الاحتساب,"تاريخ بعد تاريخ الاحتساب",IF(AND($D856&lt;&gt;"تسليم",COUNTIFS($A$5:$A$1504,$A856,$D$5:$D$1504,"تسليم",$E$5:$E$1504,"&lt;="&amp;$E856)=0),"لا يوجد تسليم قبل الحركة دي",""))))))</f>
        <v/>
      </c>
    </row>
    <row r="857" customFormat="false" ht="15" hidden="false" customHeight="false" outlineLevel="0" collapsed="false">
      <c r="A857" s="20"/>
      <c r="B857" s="35" t="str">
        <f aca="false">IF($A857="","",IFERROR(INDEX(مخرج_البند,MATCH($A857,قائمة_المخرجات,0)),""))</f>
        <v/>
      </c>
      <c r="C857" s="30" t="str">
        <f aca="false">IF($A857="","",IFERROR(INDEX(مخرج_الوصف,MATCH($A857,قائمة_المخرجات,0)),""))</f>
        <v/>
      </c>
      <c r="D857" s="20"/>
      <c r="E857" s="31"/>
      <c r="F857" s="22"/>
      <c r="G857" s="36" t="str">
        <f aca="false">IF(OR($A857="",$D857&lt;&gt;"تسليم",NOT(ISNUMBER($E857))),"",COUNTIFS($A$5:$A$1504,$A857,$D$5:$D$1504,"تسليم",$E$5:$E$1504,"&lt;"&amp;$E857)+1)</f>
        <v/>
      </c>
      <c r="H857" s="33" t="str">
        <f aca="false">IF($G857="","",_xlfn.MINIFS($E$5:$E$1504,$A$5:$A$1504,$A857,$D$5:$D$1504,"&lt;&gt;تسليم",$E$5:$E$1504,"&gt;="&amp;$E857))</f>
        <v/>
      </c>
      <c r="I857" s="33" t="str">
        <f aca="false">IF($G857="","",_xlfn.MINIFS($E$5:$E$1504,$A$5:$A$1504,$A857,$D$5:$D$1504,"تسليم",$E$5:$E$1504,"&gt;"&amp;$E857))</f>
        <v/>
      </c>
      <c r="J857" s="33" t="str">
        <f aca="false">IF($G857="","",IF(H857&gt;0,IF(I857&gt;0,MIN(H857,I857),H857),IF(I857&gt;0,I857,تاريخ_الاحتساب)))</f>
        <v/>
      </c>
      <c r="K857" s="34" t="str">
        <f aca="false">IF($G857="","",IF(AND(H857=0,I857=0),"جارية","مغلقة"))</f>
        <v/>
      </c>
      <c r="L857" s="26" t="str">
        <f aca="false">IF($G857="","",MAX(0,NETWORKDAYS.INTL($E857,J857,رمز_العطلة,أيام_الأجازات)-1))</f>
        <v/>
      </c>
      <c r="M857" s="26" t="str">
        <f aca="false">IF($G857="","",MAX(0,L857-مهلة_المراجعة))</f>
        <v/>
      </c>
      <c r="N857" s="30" t="str">
        <f aca="false">IF($A857="",IF(OR($D857&lt;&gt;"",$E857&lt;&gt;""),"رقم المخرج ناقص",""),IF(ISNA(MATCH($A857,قائمة_المخرجات,0)),"رقم مخرج غير موجود",IF($D857="","نوع الحركة ناقص",IF(NOT(ISNUMBER($E857)),"التاريخ ناقص",IF($E857&gt;تاريخ_الاحتساب,"تاريخ بعد تاريخ الاحتساب",IF(AND($D857&lt;&gt;"تسليم",COUNTIFS($A$5:$A$1504,$A857,$D$5:$D$1504,"تسليم",$E$5:$E$1504,"&lt;="&amp;$E857)=0),"لا يوجد تسليم قبل الحركة دي",""))))))</f>
        <v/>
      </c>
    </row>
    <row r="858" customFormat="false" ht="15" hidden="false" customHeight="false" outlineLevel="0" collapsed="false">
      <c r="A858" s="20"/>
      <c r="B858" s="35" t="str">
        <f aca="false">IF($A858="","",IFERROR(INDEX(مخرج_البند,MATCH($A858,قائمة_المخرجات,0)),""))</f>
        <v/>
      </c>
      <c r="C858" s="30" t="str">
        <f aca="false">IF($A858="","",IFERROR(INDEX(مخرج_الوصف,MATCH($A858,قائمة_المخرجات,0)),""))</f>
        <v/>
      </c>
      <c r="D858" s="20"/>
      <c r="E858" s="31"/>
      <c r="F858" s="22"/>
      <c r="G858" s="36" t="str">
        <f aca="false">IF(OR($A858="",$D858&lt;&gt;"تسليم",NOT(ISNUMBER($E858))),"",COUNTIFS($A$5:$A$1504,$A858,$D$5:$D$1504,"تسليم",$E$5:$E$1504,"&lt;"&amp;$E858)+1)</f>
        <v/>
      </c>
      <c r="H858" s="33" t="str">
        <f aca="false">IF($G858="","",_xlfn.MINIFS($E$5:$E$1504,$A$5:$A$1504,$A858,$D$5:$D$1504,"&lt;&gt;تسليم",$E$5:$E$1504,"&gt;="&amp;$E858))</f>
        <v/>
      </c>
      <c r="I858" s="33" t="str">
        <f aca="false">IF($G858="","",_xlfn.MINIFS($E$5:$E$1504,$A$5:$A$1504,$A858,$D$5:$D$1504,"تسليم",$E$5:$E$1504,"&gt;"&amp;$E858))</f>
        <v/>
      </c>
      <c r="J858" s="33" t="str">
        <f aca="false">IF($G858="","",IF(H858&gt;0,IF(I858&gt;0,MIN(H858,I858),H858),IF(I858&gt;0,I858,تاريخ_الاحتساب)))</f>
        <v/>
      </c>
      <c r="K858" s="34" t="str">
        <f aca="false">IF($G858="","",IF(AND(H858=0,I858=0),"جارية","مغلقة"))</f>
        <v/>
      </c>
      <c r="L858" s="26" t="str">
        <f aca="false">IF($G858="","",MAX(0,NETWORKDAYS.INTL($E858,J858,رمز_العطلة,أيام_الأجازات)-1))</f>
        <v/>
      </c>
      <c r="M858" s="26" t="str">
        <f aca="false">IF($G858="","",MAX(0,L858-مهلة_المراجعة))</f>
        <v/>
      </c>
      <c r="N858" s="30" t="str">
        <f aca="false">IF($A858="",IF(OR($D858&lt;&gt;"",$E858&lt;&gt;""),"رقم المخرج ناقص",""),IF(ISNA(MATCH($A858,قائمة_المخرجات,0)),"رقم مخرج غير موجود",IF($D858="","نوع الحركة ناقص",IF(NOT(ISNUMBER($E858)),"التاريخ ناقص",IF($E858&gt;تاريخ_الاحتساب,"تاريخ بعد تاريخ الاحتساب",IF(AND($D858&lt;&gt;"تسليم",COUNTIFS($A$5:$A$1504,$A858,$D$5:$D$1504,"تسليم",$E$5:$E$1504,"&lt;="&amp;$E858)=0),"لا يوجد تسليم قبل الحركة دي",""))))))</f>
        <v/>
      </c>
    </row>
    <row r="859" customFormat="false" ht="15" hidden="false" customHeight="false" outlineLevel="0" collapsed="false">
      <c r="A859" s="20"/>
      <c r="B859" s="35" t="str">
        <f aca="false">IF($A859="","",IFERROR(INDEX(مخرج_البند,MATCH($A859,قائمة_المخرجات,0)),""))</f>
        <v/>
      </c>
      <c r="C859" s="30" t="str">
        <f aca="false">IF($A859="","",IFERROR(INDEX(مخرج_الوصف,MATCH($A859,قائمة_المخرجات,0)),""))</f>
        <v/>
      </c>
      <c r="D859" s="20"/>
      <c r="E859" s="31"/>
      <c r="F859" s="22"/>
      <c r="G859" s="36" t="str">
        <f aca="false">IF(OR($A859="",$D859&lt;&gt;"تسليم",NOT(ISNUMBER($E859))),"",COUNTIFS($A$5:$A$1504,$A859,$D$5:$D$1504,"تسليم",$E$5:$E$1504,"&lt;"&amp;$E859)+1)</f>
        <v/>
      </c>
      <c r="H859" s="33" t="str">
        <f aca="false">IF($G859="","",_xlfn.MINIFS($E$5:$E$1504,$A$5:$A$1504,$A859,$D$5:$D$1504,"&lt;&gt;تسليم",$E$5:$E$1504,"&gt;="&amp;$E859))</f>
        <v/>
      </c>
      <c r="I859" s="33" t="str">
        <f aca="false">IF($G859="","",_xlfn.MINIFS($E$5:$E$1504,$A$5:$A$1504,$A859,$D$5:$D$1504,"تسليم",$E$5:$E$1504,"&gt;"&amp;$E859))</f>
        <v/>
      </c>
      <c r="J859" s="33" t="str">
        <f aca="false">IF($G859="","",IF(H859&gt;0,IF(I859&gt;0,MIN(H859,I859),H859),IF(I859&gt;0,I859,تاريخ_الاحتساب)))</f>
        <v/>
      </c>
      <c r="K859" s="34" t="str">
        <f aca="false">IF($G859="","",IF(AND(H859=0,I859=0),"جارية","مغلقة"))</f>
        <v/>
      </c>
      <c r="L859" s="26" t="str">
        <f aca="false">IF($G859="","",MAX(0,NETWORKDAYS.INTL($E859,J859,رمز_العطلة,أيام_الأجازات)-1))</f>
        <v/>
      </c>
      <c r="M859" s="26" t="str">
        <f aca="false">IF($G859="","",MAX(0,L859-مهلة_المراجعة))</f>
        <v/>
      </c>
      <c r="N859" s="30" t="str">
        <f aca="false">IF($A859="",IF(OR($D859&lt;&gt;"",$E859&lt;&gt;""),"رقم المخرج ناقص",""),IF(ISNA(MATCH($A859,قائمة_المخرجات,0)),"رقم مخرج غير موجود",IF($D859="","نوع الحركة ناقص",IF(NOT(ISNUMBER($E859)),"التاريخ ناقص",IF($E859&gt;تاريخ_الاحتساب,"تاريخ بعد تاريخ الاحتساب",IF(AND($D859&lt;&gt;"تسليم",COUNTIFS($A$5:$A$1504,$A859,$D$5:$D$1504,"تسليم",$E$5:$E$1504,"&lt;="&amp;$E859)=0),"لا يوجد تسليم قبل الحركة دي",""))))))</f>
        <v/>
      </c>
    </row>
    <row r="860" customFormat="false" ht="15" hidden="false" customHeight="false" outlineLevel="0" collapsed="false">
      <c r="A860" s="20"/>
      <c r="B860" s="35" t="str">
        <f aca="false">IF($A860="","",IFERROR(INDEX(مخرج_البند,MATCH($A860,قائمة_المخرجات,0)),""))</f>
        <v/>
      </c>
      <c r="C860" s="30" t="str">
        <f aca="false">IF($A860="","",IFERROR(INDEX(مخرج_الوصف,MATCH($A860,قائمة_المخرجات,0)),""))</f>
        <v/>
      </c>
      <c r="D860" s="20"/>
      <c r="E860" s="31"/>
      <c r="F860" s="22"/>
      <c r="G860" s="36" t="str">
        <f aca="false">IF(OR($A860="",$D860&lt;&gt;"تسليم",NOT(ISNUMBER($E860))),"",COUNTIFS($A$5:$A$1504,$A860,$D$5:$D$1504,"تسليم",$E$5:$E$1504,"&lt;"&amp;$E860)+1)</f>
        <v/>
      </c>
      <c r="H860" s="33" t="str">
        <f aca="false">IF($G860="","",_xlfn.MINIFS($E$5:$E$1504,$A$5:$A$1504,$A860,$D$5:$D$1504,"&lt;&gt;تسليم",$E$5:$E$1504,"&gt;="&amp;$E860))</f>
        <v/>
      </c>
      <c r="I860" s="33" t="str">
        <f aca="false">IF($G860="","",_xlfn.MINIFS($E$5:$E$1504,$A$5:$A$1504,$A860,$D$5:$D$1504,"تسليم",$E$5:$E$1504,"&gt;"&amp;$E860))</f>
        <v/>
      </c>
      <c r="J860" s="33" t="str">
        <f aca="false">IF($G860="","",IF(H860&gt;0,IF(I860&gt;0,MIN(H860,I860),H860),IF(I860&gt;0,I860,تاريخ_الاحتساب)))</f>
        <v/>
      </c>
      <c r="K860" s="34" t="str">
        <f aca="false">IF($G860="","",IF(AND(H860=0,I860=0),"جارية","مغلقة"))</f>
        <v/>
      </c>
      <c r="L860" s="26" t="str">
        <f aca="false">IF($G860="","",MAX(0,NETWORKDAYS.INTL($E860,J860,رمز_العطلة,أيام_الأجازات)-1))</f>
        <v/>
      </c>
      <c r="M860" s="26" t="str">
        <f aca="false">IF($G860="","",MAX(0,L860-مهلة_المراجعة))</f>
        <v/>
      </c>
      <c r="N860" s="30" t="str">
        <f aca="false">IF($A860="",IF(OR($D860&lt;&gt;"",$E860&lt;&gt;""),"رقم المخرج ناقص",""),IF(ISNA(MATCH($A860,قائمة_المخرجات,0)),"رقم مخرج غير موجود",IF($D860="","نوع الحركة ناقص",IF(NOT(ISNUMBER($E860)),"التاريخ ناقص",IF($E860&gt;تاريخ_الاحتساب,"تاريخ بعد تاريخ الاحتساب",IF(AND($D860&lt;&gt;"تسليم",COUNTIFS($A$5:$A$1504,$A860,$D$5:$D$1504,"تسليم",$E$5:$E$1504,"&lt;="&amp;$E860)=0),"لا يوجد تسليم قبل الحركة دي",""))))))</f>
        <v/>
      </c>
    </row>
    <row r="861" customFormat="false" ht="15" hidden="false" customHeight="false" outlineLevel="0" collapsed="false">
      <c r="A861" s="20"/>
      <c r="B861" s="35" t="str">
        <f aca="false">IF($A861="","",IFERROR(INDEX(مخرج_البند,MATCH($A861,قائمة_المخرجات,0)),""))</f>
        <v/>
      </c>
      <c r="C861" s="30" t="str">
        <f aca="false">IF($A861="","",IFERROR(INDEX(مخرج_الوصف,MATCH($A861,قائمة_المخرجات,0)),""))</f>
        <v/>
      </c>
      <c r="D861" s="20"/>
      <c r="E861" s="31"/>
      <c r="F861" s="22"/>
      <c r="G861" s="36" t="str">
        <f aca="false">IF(OR($A861="",$D861&lt;&gt;"تسليم",NOT(ISNUMBER($E861))),"",COUNTIFS($A$5:$A$1504,$A861,$D$5:$D$1504,"تسليم",$E$5:$E$1504,"&lt;"&amp;$E861)+1)</f>
        <v/>
      </c>
      <c r="H861" s="33" t="str">
        <f aca="false">IF($G861="","",_xlfn.MINIFS($E$5:$E$1504,$A$5:$A$1504,$A861,$D$5:$D$1504,"&lt;&gt;تسليم",$E$5:$E$1504,"&gt;="&amp;$E861))</f>
        <v/>
      </c>
      <c r="I861" s="33" t="str">
        <f aca="false">IF($G861="","",_xlfn.MINIFS($E$5:$E$1504,$A$5:$A$1504,$A861,$D$5:$D$1504,"تسليم",$E$5:$E$1504,"&gt;"&amp;$E861))</f>
        <v/>
      </c>
      <c r="J861" s="33" t="str">
        <f aca="false">IF($G861="","",IF(H861&gt;0,IF(I861&gt;0,MIN(H861,I861),H861),IF(I861&gt;0,I861,تاريخ_الاحتساب)))</f>
        <v/>
      </c>
      <c r="K861" s="34" t="str">
        <f aca="false">IF($G861="","",IF(AND(H861=0,I861=0),"جارية","مغلقة"))</f>
        <v/>
      </c>
      <c r="L861" s="26" t="str">
        <f aca="false">IF($G861="","",MAX(0,NETWORKDAYS.INTL($E861,J861,رمز_العطلة,أيام_الأجازات)-1))</f>
        <v/>
      </c>
      <c r="M861" s="26" t="str">
        <f aca="false">IF($G861="","",MAX(0,L861-مهلة_المراجعة))</f>
        <v/>
      </c>
      <c r="N861" s="30" t="str">
        <f aca="false">IF($A861="",IF(OR($D861&lt;&gt;"",$E861&lt;&gt;""),"رقم المخرج ناقص",""),IF(ISNA(MATCH($A861,قائمة_المخرجات,0)),"رقم مخرج غير موجود",IF($D861="","نوع الحركة ناقص",IF(NOT(ISNUMBER($E861)),"التاريخ ناقص",IF($E861&gt;تاريخ_الاحتساب,"تاريخ بعد تاريخ الاحتساب",IF(AND($D861&lt;&gt;"تسليم",COUNTIFS($A$5:$A$1504,$A861,$D$5:$D$1504,"تسليم",$E$5:$E$1504,"&lt;="&amp;$E861)=0),"لا يوجد تسليم قبل الحركة دي",""))))))</f>
        <v/>
      </c>
    </row>
    <row r="862" customFormat="false" ht="15" hidden="false" customHeight="false" outlineLevel="0" collapsed="false">
      <c r="A862" s="20"/>
      <c r="B862" s="35" t="str">
        <f aca="false">IF($A862="","",IFERROR(INDEX(مخرج_البند,MATCH($A862,قائمة_المخرجات,0)),""))</f>
        <v/>
      </c>
      <c r="C862" s="30" t="str">
        <f aca="false">IF($A862="","",IFERROR(INDEX(مخرج_الوصف,MATCH($A862,قائمة_المخرجات,0)),""))</f>
        <v/>
      </c>
      <c r="D862" s="20"/>
      <c r="E862" s="31"/>
      <c r="F862" s="22"/>
      <c r="G862" s="36" t="str">
        <f aca="false">IF(OR($A862="",$D862&lt;&gt;"تسليم",NOT(ISNUMBER($E862))),"",COUNTIFS($A$5:$A$1504,$A862,$D$5:$D$1504,"تسليم",$E$5:$E$1504,"&lt;"&amp;$E862)+1)</f>
        <v/>
      </c>
      <c r="H862" s="33" t="str">
        <f aca="false">IF($G862="","",_xlfn.MINIFS($E$5:$E$1504,$A$5:$A$1504,$A862,$D$5:$D$1504,"&lt;&gt;تسليم",$E$5:$E$1504,"&gt;="&amp;$E862))</f>
        <v/>
      </c>
      <c r="I862" s="33" t="str">
        <f aca="false">IF($G862="","",_xlfn.MINIFS($E$5:$E$1504,$A$5:$A$1504,$A862,$D$5:$D$1504,"تسليم",$E$5:$E$1504,"&gt;"&amp;$E862))</f>
        <v/>
      </c>
      <c r="J862" s="33" t="str">
        <f aca="false">IF($G862="","",IF(H862&gt;0,IF(I862&gt;0,MIN(H862,I862),H862),IF(I862&gt;0,I862,تاريخ_الاحتساب)))</f>
        <v/>
      </c>
      <c r="K862" s="34" t="str">
        <f aca="false">IF($G862="","",IF(AND(H862=0,I862=0),"جارية","مغلقة"))</f>
        <v/>
      </c>
      <c r="L862" s="26" t="str">
        <f aca="false">IF($G862="","",MAX(0,NETWORKDAYS.INTL($E862,J862,رمز_العطلة,أيام_الأجازات)-1))</f>
        <v/>
      </c>
      <c r="M862" s="26" t="str">
        <f aca="false">IF($G862="","",MAX(0,L862-مهلة_المراجعة))</f>
        <v/>
      </c>
      <c r="N862" s="30" t="str">
        <f aca="false">IF($A862="",IF(OR($D862&lt;&gt;"",$E862&lt;&gt;""),"رقم المخرج ناقص",""),IF(ISNA(MATCH($A862,قائمة_المخرجات,0)),"رقم مخرج غير موجود",IF($D862="","نوع الحركة ناقص",IF(NOT(ISNUMBER($E862)),"التاريخ ناقص",IF($E862&gt;تاريخ_الاحتساب,"تاريخ بعد تاريخ الاحتساب",IF(AND($D862&lt;&gt;"تسليم",COUNTIFS($A$5:$A$1504,$A862,$D$5:$D$1504,"تسليم",$E$5:$E$1504,"&lt;="&amp;$E862)=0),"لا يوجد تسليم قبل الحركة دي",""))))))</f>
        <v/>
      </c>
    </row>
    <row r="863" customFormat="false" ht="15" hidden="false" customHeight="false" outlineLevel="0" collapsed="false">
      <c r="A863" s="20"/>
      <c r="B863" s="35" t="str">
        <f aca="false">IF($A863="","",IFERROR(INDEX(مخرج_البند,MATCH($A863,قائمة_المخرجات,0)),""))</f>
        <v/>
      </c>
      <c r="C863" s="30" t="str">
        <f aca="false">IF($A863="","",IFERROR(INDEX(مخرج_الوصف,MATCH($A863,قائمة_المخرجات,0)),""))</f>
        <v/>
      </c>
      <c r="D863" s="20"/>
      <c r="E863" s="31"/>
      <c r="F863" s="22"/>
      <c r="G863" s="36" t="str">
        <f aca="false">IF(OR($A863="",$D863&lt;&gt;"تسليم",NOT(ISNUMBER($E863))),"",COUNTIFS($A$5:$A$1504,$A863,$D$5:$D$1504,"تسليم",$E$5:$E$1504,"&lt;"&amp;$E863)+1)</f>
        <v/>
      </c>
      <c r="H863" s="33" t="str">
        <f aca="false">IF($G863="","",_xlfn.MINIFS($E$5:$E$1504,$A$5:$A$1504,$A863,$D$5:$D$1504,"&lt;&gt;تسليم",$E$5:$E$1504,"&gt;="&amp;$E863))</f>
        <v/>
      </c>
      <c r="I863" s="33" t="str">
        <f aca="false">IF($G863="","",_xlfn.MINIFS($E$5:$E$1504,$A$5:$A$1504,$A863,$D$5:$D$1504,"تسليم",$E$5:$E$1504,"&gt;"&amp;$E863))</f>
        <v/>
      </c>
      <c r="J863" s="33" t="str">
        <f aca="false">IF($G863="","",IF(H863&gt;0,IF(I863&gt;0,MIN(H863,I863),H863),IF(I863&gt;0,I863,تاريخ_الاحتساب)))</f>
        <v/>
      </c>
      <c r="K863" s="34" t="str">
        <f aca="false">IF($G863="","",IF(AND(H863=0,I863=0),"جارية","مغلقة"))</f>
        <v/>
      </c>
      <c r="L863" s="26" t="str">
        <f aca="false">IF($G863="","",MAX(0,NETWORKDAYS.INTL($E863,J863,رمز_العطلة,أيام_الأجازات)-1))</f>
        <v/>
      </c>
      <c r="M863" s="26" t="str">
        <f aca="false">IF($G863="","",MAX(0,L863-مهلة_المراجعة))</f>
        <v/>
      </c>
      <c r="N863" s="30" t="str">
        <f aca="false">IF($A863="",IF(OR($D863&lt;&gt;"",$E863&lt;&gt;""),"رقم المخرج ناقص",""),IF(ISNA(MATCH($A863,قائمة_المخرجات,0)),"رقم مخرج غير موجود",IF($D863="","نوع الحركة ناقص",IF(NOT(ISNUMBER($E863)),"التاريخ ناقص",IF($E863&gt;تاريخ_الاحتساب,"تاريخ بعد تاريخ الاحتساب",IF(AND($D863&lt;&gt;"تسليم",COUNTIFS($A$5:$A$1504,$A863,$D$5:$D$1504,"تسليم",$E$5:$E$1504,"&lt;="&amp;$E863)=0),"لا يوجد تسليم قبل الحركة دي",""))))))</f>
        <v/>
      </c>
    </row>
    <row r="864" customFormat="false" ht="15" hidden="false" customHeight="false" outlineLevel="0" collapsed="false">
      <c r="A864" s="20"/>
      <c r="B864" s="35" t="str">
        <f aca="false">IF($A864="","",IFERROR(INDEX(مخرج_البند,MATCH($A864,قائمة_المخرجات,0)),""))</f>
        <v/>
      </c>
      <c r="C864" s="30" t="str">
        <f aca="false">IF($A864="","",IFERROR(INDEX(مخرج_الوصف,MATCH($A864,قائمة_المخرجات,0)),""))</f>
        <v/>
      </c>
      <c r="D864" s="20"/>
      <c r="E864" s="31"/>
      <c r="F864" s="22"/>
      <c r="G864" s="36" t="str">
        <f aca="false">IF(OR($A864="",$D864&lt;&gt;"تسليم",NOT(ISNUMBER($E864))),"",COUNTIFS($A$5:$A$1504,$A864,$D$5:$D$1504,"تسليم",$E$5:$E$1504,"&lt;"&amp;$E864)+1)</f>
        <v/>
      </c>
      <c r="H864" s="33" t="str">
        <f aca="false">IF($G864="","",_xlfn.MINIFS($E$5:$E$1504,$A$5:$A$1504,$A864,$D$5:$D$1504,"&lt;&gt;تسليم",$E$5:$E$1504,"&gt;="&amp;$E864))</f>
        <v/>
      </c>
      <c r="I864" s="33" t="str">
        <f aca="false">IF($G864="","",_xlfn.MINIFS($E$5:$E$1504,$A$5:$A$1504,$A864,$D$5:$D$1504,"تسليم",$E$5:$E$1504,"&gt;"&amp;$E864))</f>
        <v/>
      </c>
      <c r="J864" s="33" t="str">
        <f aca="false">IF($G864="","",IF(H864&gt;0,IF(I864&gt;0,MIN(H864,I864),H864),IF(I864&gt;0,I864,تاريخ_الاحتساب)))</f>
        <v/>
      </c>
      <c r="K864" s="34" t="str">
        <f aca="false">IF($G864="","",IF(AND(H864=0,I864=0),"جارية","مغلقة"))</f>
        <v/>
      </c>
      <c r="L864" s="26" t="str">
        <f aca="false">IF($G864="","",MAX(0,NETWORKDAYS.INTL($E864,J864,رمز_العطلة,أيام_الأجازات)-1))</f>
        <v/>
      </c>
      <c r="M864" s="26" t="str">
        <f aca="false">IF($G864="","",MAX(0,L864-مهلة_المراجعة))</f>
        <v/>
      </c>
      <c r="N864" s="30" t="str">
        <f aca="false">IF($A864="",IF(OR($D864&lt;&gt;"",$E864&lt;&gt;""),"رقم المخرج ناقص",""),IF(ISNA(MATCH($A864,قائمة_المخرجات,0)),"رقم مخرج غير موجود",IF($D864="","نوع الحركة ناقص",IF(NOT(ISNUMBER($E864)),"التاريخ ناقص",IF($E864&gt;تاريخ_الاحتساب,"تاريخ بعد تاريخ الاحتساب",IF(AND($D864&lt;&gt;"تسليم",COUNTIFS($A$5:$A$1504,$A864,$D$5:$D$1504,"تسليم",$E$5:$E$1504,"&lt;="&amp;$E864)=0),"لا يوجد تسليم قبل الحركة دي",""))))))</f>
        <v/>
      </c>
    </row>
    <row r="865" customFormat="false" ht="15" hidden="false" customHeight="false" outlineLevel="0" collapsed="false">
      <c r="A865" s="20"/>
      <c r="B865" s="35" t="str">
        <f aca="false">IF($A865="","",IFERROR(INDEX(مخرج_البند,MATCH($A865,قائمة_المخرجات,0)),""))</f>
        <v/>
      </c>
      <c r="C865" s="30" t="str">
        <f aca="false">IF($A865="","",IFERROR(INDEX(مخرج_الوصف,MATCH($A865,قائمة_المخرجات,0)),""))</f>
        <v/>
      </c>
      <c r="D865" s="20"/>
      <c r="E865" s="31"/>
      <c r="F865" s="22"/>
      <c r="G865" s="36" t="str">
        <f aca="false">IF(OR($A865="",$D865&lt;&gt;"تسليم",NOT(ISNUMBER($E865))),"",COUNTIFS($A$5:$A$1504,$A865,$D$5:$D$1504,"تسليم",$E$5:$E$1504,"&lt;"&amp;$E865)+1)</f>
        <v/>
      </c>
      <c r="H865" s="33" t="str">
        <f aca="false">IF($G865="","",_xlfn.MINIFS($E$5:$E$1504,$A$5:$A$1504,$A865,$D$5:$D$1504,"&lt;&gt;تسليم",$E$5:$E$1504,"&gt;="&amp;$E865))</f>
        <v/>
      </c>
      <c r="I865" s="33" t="str">
        <f aca="false">IF($G865="","",_xlfn.MINIFS($E$5:$E$1504,$A$5:$A$1504,$A865,$D$5:$D$1504,"تسليم",$E$5:$E$1504,"&gt;"&amp;$E865))</f>
        <v/>
      </c>
      <c r="J865" s="33" t="str">
        <f aca="false">IF($G865="","",IF(H865&gt;0,IF(I865&gt;0,MIN(H865,I865),H865),IF(I865&gt;0,I865,تاريخ_الاحتساب)))</f>
        <v/>
      </c>
      <c r="K865" s="34" t="str">
        <f aca="false">IF($G865="","",IF(AND(H865=0,I865=0),"جارية","مغلقة"))</f>
        <v/>
      </c>
      <c r="L865" s="26" t="str">
        <f aca="false">IF($G865="","",MAX(0,NETWORKDAYS.INTL($E865,J865,رمز_العطلة,أيام_الأجازات)-1))</f>
        <v/>
      </c>
      <c r="M865" s="26" t="str">
        <f aca="false">IF($G865="","",MAX(0,L865-مهلة_المراجعة))</f>
        <v/>
      </c>
      <c r="N865" s="30" t="str">
        <f aca="false">IF($A865="",IF(OR($D865&lt;&gt;"",$E865&lt;&gt;""),"رقم المخرج ناقص",""),IF(ISNA(MATCH($A865,قائمة_المخرجات,0)),"رقم مخرج غير موجود",IF($D865="","نوع الحركة ناقص",IF(NOT(ISNUMBER($E865)),"التاريخ ناقص",IF($E865&gt;تاريخ_الاحتساب,"تاريخ بعد تاريخ الاحتساب",IF(AND($D865&lt;&gt;"تسليم",COUNTIFS($A$5:$A$1504,$A865,$D$5:$D$1504,"تسليم",$E$5:$E$1504,"&lt;="&amp;$E865)=0),"لا يوجد تسليم قبل الحركة دي",""))))))</f>
        <v/>
      </c>
    </row>
    <row r="866" customFormat="false" ht="15" hidden="false" customHeight="false" outlineLevel="0" collapsed="false">
      <c r="A866" s="20"/>
      <c r="B866" s="35" t="str">
        <f aca="false">IF($A866="","",IFERROR(INDEX(مخرج_البند,MATCH($A866,قائمة_المخرجات,0)),""))</f>
        <v/>
      </c>
      <c r="C866" s="30" t="str">
        <f aca="false">IF($A866="","",IFERROR(INDEX(مخرج_الوصف,MATCH($A866,قائمة_المخرجات,0)),""))</f>
        <v/>
      </c>
      <c r="D866" s="20"/>
      <c r="E866" s="31"/>
      <c r="F866" s="22"/>
      <c r="G866" s="36" t="str">
        <f aca="false">IF(OR($A866="",$D866&lt;&gt;"تسليم",NOT(ISNUMBER($E866))),"",COUNTIFS($A$5:$A$1504,$A866,$D$5:$D$1504,"تسليم",$E$5:$E$1504,"&lt;"&amp;$E866)+1)</f>
        <v/>
      </c>
      <c r="H866" s="33" t="str">
        <f aca="false">IF($G866="","",_xlfn.MINIFS($E$5:$E$1504,$A$5:$A$1504,$A866,$D$5:$D$1504,"&lt;&gt;تسليم",$E$5:$E$1504,"&gt;="&amp;$E866))</f>
        <v/>
      </c>
      <c r="I866" s="33" t="str">
        <f aca="false">IF($G866="","",_xlfn.MINIFS($E$5:$E$1504,$A$5:$A$1504,$A866,$D$5:$D$1504,"تسليم",$E$5:$E$1504,"&gt;"&amp;$E866))</f>
        <v/>
      </c>
      <c r="J866" s="33" t="str">
        <f aca="false">IF($G866="","",IF(H866&gt;0,IF(I866&gt;0,MIN(H866,I866),H866),IF(I866&gt;0,I866,تاريخ_الاحتساب)))</f>
        <v/>
      </c>
      <c r="K866" s="34" t="str">
        <f aca="false">IF($G866="","",IF(AND(H866=0,I866=0),"جارية","مغلقة"))</f>
        <v/>
      </c>
      <c r="L866" s="26" t="str">
        <f aca="false">IF($G866="","",MAX(0,NETWORKDAYS.INTL($E866,J866,رمز_العطلة,أيام_الأجازات)-1))</f>
        <v/>
      </c>
      <c r="M866" s="26" t="str">
        <f aca="false">IF($G866="","",MAX(0,L866-مهلة_المراجعة))</f>
        <v/>
      </c>
      <c r="N866" s="30" t="str">
        <f aca="false">IF($A866="",IF(OR($D866&lt;&gt;"",$E866&lt;&gt;""),"رقم المخرج ناقص",""),IF(ISNA(MATCH($A866,قائمة_المخرجات,0)),"رقم مخرج غير موجود",IF($D866="","نوع الحركة ناقص",IF(NOT(ISNUMBER($E866)),"التاريخ ناقص",IF($E866&gt;تاريخ_الاحتساب,"تاريخ بعد تاريخ الاحتساب",IF(AND($D866&lt;&gt;"تسليم",COUNTIFS($A$5:$A$1504,$A866,$D$5:$D$1504,"تسليم",$E$5:$E$1504,"&lt;="&amp;$E866)=0),"لا يوجد تسليم قبل الحركة دي",""))))))</f>
        <v/>
      </c>
    </row>
    <row r="867" customFormat="false" ht="15" hidden="false" customHeight="false" outlineLevel="0" collapsed="false">
      <c r="A867" s="20"/>
      <c r="B867" s="35" t="str">
        <f aca="false">IF($A867="","",IFERROR(INDEX(مخرج_البند,MATCH($A867,قائمة_المخرجات,0)),""))</f>
        <v/>
      </c>
      <c r="C867" s="30" t="str">
        <f aca="false">IF($A867="","",IFERROR(INDEX(مخرج_الوصف,MATCH($A867,قائمة_المخرجات,0)),""))</f>
        <v/>
      </c>
      <c r="D867" s="20"/>
      <c r="E867" s="31"/>
      <c r="F867" s="22"/>
      <c r="G867" s="36" t="str">
        <f aca="false">IF(OR($A867="",$D867&lt;&gt;"تسليم",NOT(ISNUMBER($E867))),"",COUNTIFS($A$5:$A$1504,$A867,$D$5:$D$1504,"تسليم",$E$5:$E$1504,"&lt;"&amp;$E867)+1)</f>
        <v/>
      </c>
      <c r="H867" s="33" t="str">
        <f aca="false">IF($G867="","",_xlfn.MINIFS($E$5:$E$1504,$A$5:$A$1504,$A867,$D$5:$D$1504,"&lt;&gt;تسليم",$E$5:$E$1504,"&gt;="&amp;$E867))</f>
        <v/>
      </c>
      <c r="I867" s="33" t="str">
        <f aca="false">IF($G867="","",_xlfn.MINIFS($E$5:$E$1504,$A$5:$A$1504,$A867,$D$5:$D$1504,"تسليم",$E$5:$E$1504,"&gt;"&amp;$E867))</f>
        <v/>
      </c>
      <c r="J867" s="33" t="str">
        <f aca="false">IF($G867="","",IF(H867&gt;0,IF(I867&gt;0,MIN(H867,I867),H867),IF(I867&gt;0,I867,تاريخ_الاحتساب)))</f>
        <v/>
      </c>
      <c r="K867" s="34" t="str">
        <f aca="false">IF($G867="","",IF(AND(H867=0,I867=0),"جارية","مغلقة"))</f>
        <v/>
      </c>
      <c r="L867" s="26" t="str">
        <f aca="false">IF($G867="","",MAX(0,NETWORKDAYS.INTL($E867,J867,رمز_العطلة,أيام_الأجازات)-1))</f>
        <v/>
      </c>
      <c r="M867" s="26" t="str">
        <f aca="false">IF($G867="","",MAX(0,L867-مهلة_المراجعة))</f>
        <v/>
      </c>
      <c r="N867" s="30" t="str">
        <f aca="false">IF($A867="",IF(OR($D867&lt;&gt;"",$E867&lt;&gt;""),"رقم المخرج ناقص",""),IF(ISNA(MATCH($A867,قائمة_المخرجات,0)),"رقم مخرج غير موجود",IF($D867="","نوع الحركة ناقص",IF(NOT(ISNUMBER($E867)),"التاريخ ناقص",IF($E867&gt;تاريخ_الاحتساب,"تاريخ بعد تاريخ الاحتساب",IF(AND($D867&lt;&gt;"تسليم",COUNTIFS($A$5:$A$1504,$A867,$D$5:$D$1504,"تسليم",$E$5:$E$1504,"&lt;="&amp;$E867)=0),"لا يوجد تسليم قبل الحركة دي",""))))))</f>
        <v/>
      </c>
    </row>
    <row r="868" customFormat="false" ht="15" hidden="false" customHeight="false" outlineLevel="0" collapsed="false">
      <c r="A868" s="20"/>
      <c r="B868" s="35" t="str">
        <f aca="false">IF($A868="","",IFERROR(INDEX(مخرج_البند,MATCH($A868,قائمة_المخرجات,0)),""))</f>
        <v/>
      </c>
      <c r="C868" s="30" t="str">
        <f aca="false">IF($A868="","",IFERROR(INDEX(مخرج_الوصف,MATCH($A868,قائمة_المخرجات,0)),""))</f>
        <v/>
      </c>
      <c r="D868" s="20"/>
      <c r="E868" s="31"/>
      <c r="F868" s="22"/>
      <c r="G868" s="36" t="str">
        <f aca="false">IF(OR($A868="",$D868&lt;&gt;"تسليم",NOT(ISNUMBER($E868))),"",COUNTIFS($A$5:$A$1504,$A868,$D$5:$D$1504,"تسليم",$E$5:$E$1504,"&lt;"&amp;$E868)+1)</f>
        <v/>
      </c>
      <c r="H868" s="33" t="str">
        <f aca="false">IF($G868="","",_xlfn.MINIFS($E$5:$E$1504,$A$5:$A$1504,$A868,$D$5:$D$1504,"&lt;&gt;تسليم",$E$5:$E$1504,"&gt;="&amp;$E868))</f>
        <v/>
      </c>
      <c r="I868" s="33" t="str">
        <f aca="false">IF($G868="","",_xlfn.MINIFS($E$5:$E$1504,$A$5:$A$1504,$A868,$D$5:$D$1504,"تسليم",$E$5:$E$1504,"&gt;"&amp;$E868))</f>
        <v/>
      </c>
      <c r="J868" s="33" t="str">
        <f aca="false">IF($G868="","",IF(H868&gt;0,IF(I868&gt;0,MIN(H868,I868),H868),IF(I868&gt;0,I868,تاريخ_الاحتساب)))</f>
        <v/>
      </c>
      <c r="K868" s="34" t="str">
        <f aca="false">IF($G868="","",IF(AND(H868=0,I868=0),"جارية","مغلقة"))</f>
        <v/>
      </c>
      <c r="L868" s="26" t="str">
        <f aca="false">IF($G868="","",MAX(0,NETWORKDAYS.INTL($E868,J868,رمز_العطلة,أيام_الأجازات)-1))</f>
        <v/>
      </c>
      <c r="M868" s="26" t="str">
        <f aca="false">IF($G868="","",MAX(0,L868-مهلة_المراجعة))</f>
        <v/>
      </c>
      <c r="N868" s="30" t="str">
        <f aca="false">IF($A868="",IF(OR($D868&lt;&gt;"",$E868&lt;&gt;""),"رقم المخرج ناقص",""),IF(ISNA(MATCH($A868,قائمة_المخرجات,0)),"رقم مخرج غير موجود",IF($D868="","نوع الحركة ناقص",IF(NOT(ISNUMBER($E868)),"التاريخ ناقص",IF($E868&gt;تاريخ_الاحتساب,"تاريخ بعد تاريخ الاحتساب",IF(AND($D868&lt;&gt;"تسليم",COUNTIFS($A$5:$A$1504,$A868,$D$5:$D$1504,"تسليم",$E$5:$E$1504,"&lt;="&amp;$E868)=0),"لا يوجد تسليم قبل الحركة دي",""))))))</f>
        <v/>
      </c>
    </row>
    <row r="869" customFormat="false" ht="15" hidden="false" customHeight="false" outlineLevel="0" collapsed="false">
      <c r="A869" s="20"/>
      <c r="B869" s="35" t="str">
        <f aca="false">IF($A869="","",IFERROR(INDEX(مخرج_البند,MATCH($A869,قائمة_المخرجات,0)),""))</f>
        <v/>
      </c>
      <c r="C869" s="30" t="str">
        <f aca="false">IF($A869="","",IFERROR(INDEX(مخرج_الوصف,MATCH($A869,قائمة_المخرجات,0)),""))</f>
        <v/>
      </c>
      <c r="D869" s="20"/>
      <c r="E869" s="31"/>
      <c r="F869" s="22"/>
      <c r="G869" s="36" t="str">
        <f aca="false">IF(OR($A869="",$D869&lt;&gt;"تسليم",NOT(ISNUMBER($E869))),"",COUNTIFS($A$5:$A$1504,$A869,$D$5:$D$1504,"تسليم",$E$5:$E$1504,"&lt;"&amp;$E869)+1)</f>
        <v/>
      </c>
      <c r="H869" s="33" t="str">
        <f aca="false">IF($G869="","",_xlfn.MINIFS($E$5:$E$1504,$A$5:$A$1504,$A869,$D$5:$D$1504,"&lt;&gt;تسليم",$E$5:$E$1504,"&gt;="&amp;$E869))</f>
        <v/>
      </c>
      <c r="I869" s="33" t="str">
        <f aca="false">IF($G869="","",_xlfn.MINIFS($E$5:$E$1504,$A$5:$A$1504,$A869,$D$5:$D$1504,"تسليم",$E$5:$E$1504,"&gt;"&amp;$E869))</f>
        <v/>
      </c>
      <c r="J869" s="33" t="str">
        <f aca="false">IF($G869="","",IF(H869&gt;0,IF(I869&gt;0,MIN(H869,I869),H869),IF(I869&gt;0,I869,تاريخ_الاحتساب)))</f>
        <v/>
      </c>
      <c r="K869" s="34" t="str">
        <f aca="false">IF($G869="","",IF(AND(H869=0,I869=0),"جارية","مغلقة"))</f>
        <v/>
      </c>
      <c r="L869" s="26" t="str">
        <f aca="false">IF($G869="","",MAX(0,NETWORKDAYS.INTL($E869,J869,رمز_العطلة,أيام_الأجازات)-1))</f>
        <v/>
      </c>
      <c r="M869" s="26" t="str">
        <f aca="false">IF($G869="","",MAX(0,L869-مهلة_المراجعة))</f>
        <v/>
      </c>
      <c r="N869" s="30" t="str">
        <f aca="false">IF($A869="",IF(OR($D869&lt;&gt;"",$E869&lt;&gt;""),"رقم المخرج ناقص",""),IF(ISNA(MATCH($A869,قائمة_المخرجات,0)),"رقم مخرج غير موجود",IF($D869="","نوع الحركة ناقص",IF(NOT(ISNUMBER($E869)),"التاريخ ناقص",IF($E869&gt;تاريخ_الاحتساب,"تاريخ بعد تاريخ الاحتساب",IF(AND($D869&lt;&gt;"تسليم",COUNTIFS($A$5:$A$1504,$A869,$D$5:$D$1504,"تسليم",$E$5:$E$1504,"&lt;="&amp;$E869)=0),"لا يوجد تسليم قبل الحركة دي",""))))))</f>
        <v/>
      </c>
    </row>
    <row r="870" customFormat="false" ht="15" hidden="false" customHeight="false" outlineLevel="0" collapsed="false">
      <c r="A870" s="20"/>
      <c r="B870" s="35" t="str">
        <f aca="false">IF($A870="","",IFERROR(INDEX(مخرج_البند,MATCH($A870,قائمة_المخرجات,0)),""))</f>
        <v/>
      </c>
      <c r="C870" s="30" t="str">
        <f aca="false">IF($A870="","",IFERROR(INDEX(مخرج_الوصف,MATCH($A870,قائمة_المخرجات,0)),""))</f>
        <v/>
      </c>
      <c r="D870" s="20"/>
      <c r="E870" s="31"/>
      <c r="F870" s="22"/>
      <c r="G870" s="36" t="str">
        <f aca="false">IF(OR($A870="",$D870&lt;&gt;"تسليم",NOT(ISNUMBER($E870))),"",COUNTIFS($A$5:$A$1504,$A870,$D$5:$D$1504,"تسليم",$E$5:$E$1504,"&lt;"&amp;$E870)+1)</f>
        <v/>
      </c>
      <c r="H870" s="33" t="str">
        <f aca="false">IF($G870="","",_xlfn.MINIFS($E$5:$E$1504,$A$5:$A$1504,$A870,$D$5:$D$1504,"&lt;&gt;تسليم",$E$5:$E$1504,"&gt;="&amp;$E870))</f>
        <v/>
      </c>
      <c r="I870" s="33" t="str">
        <f aca="false">IF($G870="","",_xlfn.MINIFS($E$5:$E$1504,$A$5:$A$1504,$A870,$D$5:$D$1504,"تسليم",$E$5:$E$1504,"&gt;"&amp;$E870))</f>
        <v/>
      </c>
      <c r="J870" s="33" t="str">
        <f aca="false">IF($G870="","",IF(H870&gt;0,IF(I870&gt;0,MIN(H870,I870),H870),IF(I870&gt;0,I870,تاريخ_الاحتساب)))</f>
        <v/>
      </c>
      <c r="K870" s="34" t="str">
        <f aca="false">IF($G870="","",IF(AND(H870=0,I870=0),"جارية","مغلقة"))</f>
        <v/>
      </c>
      <c r="L870" s="26" t="str">
        <f aca="false">IF($G870="","",MAX(0,NETWORKDAYS.INTL($E870,J870,رمز_العطلة,أيام_الأجازات)-1))</f>
        <v/>
      </c>
      <c r="M870" s="26" t="str">
        <f aca="false">IF($G870="","",MAX(0,L870-مهلة_المراجعة))</f>
        <v/>
      </c>
      <c r="N870" s="30" t="str">
        <f aca="false">IF($A870="",IF(OR($D870&lt;&gt;"",$E870&lt;&gt;""),"رقم المخرج ناقص",""),IF(ISNA(MATCH($A870,قائمة_المخرجات,0)),"رقم مخرج غير موجود",IF($D870="","نوع الحركة ناقص",IF(NOT(ISNUMBER($E870)),"التاريخ ناقص",IF($E870&gt;تاريخ_الاحتساب,"تاريخ بعد تاريخ الاحتساب",IF(AND($D870&lt;&gt;"تسليم",COUNTIFS($A$5:$A$1504,$A870,$D$5:$D$1504,"تسليم",$E$5:$E$1504,"&lt;="&amp;$E870)=0),"لا يوجد تسليم قبل الحركة دي",""))))))</f>
        <v/>
      </c>
    </row>
    <row r="871" customFormat="false" ht="15" hidden="false" customHeight="false" outlineLevel="0" collapsed="false">
      <c r="A871" s="20"/>
      <c r="B871" s="35" t="str">
        <f aca="false">IF($A871="","",IFERROR(INDEX(مخرج_البند,MATCH($A871,قائمة_المخرجات,0)),""))</f>
        <v/>
      </c>
      <c r="C871" s="30" t="str">
        <f aca="false">IF($A871="","",IFERROR(INDEX(مخرج_الوصف,MATCH($A871,قائمة_المخرجات,0)),""))</f>
        <v/>
      </c>
      <c r="D871" s="20"/>
      <c r="E871" s="31"/>
      <c r="F871" s="22"/>
      <c r="G871" s="36" t="str">
        <f aca="false">IF(OR($A871="",$D871&lt;&gt;"تسليم",NOT(ISNUMBER($E871))),"",COUNTIFS($A$5:$A$1504,$A871,$D$5:$D$1504,"تسليم",$E$5:$E$1504,"&lt;"&amp;$E871)+1)</f>
        <v/>
      </c>
      <c r="H871" s="33" t="str">
        <f aca="false">IF($G871="","",_xlfn.MINIFS($E$5:$E$1504,$A$5:$A$1504,$A871,$D$5:$D$1504,"&lt;&gt;تسليم",$E$5:$E$1504,"&gt;="&amp;$E871))</f>
        <v/>
      </c>
      <c r="I871" s="33" t="str">
        <f aca="false">IF($G871="","",_xlfn.MINIFS($E$5:$E$1504,$A$5:$A$1504,$A871,$D$5:$D$1504,"تسليم",$E$5:$E$1504,"&gt;"&amp;$E871))</f>
        <v/>
      </c>
      <c r="J871" s="33" t="str">
        <f aca="false">IF($G871="","",IF(H871&gt;0,IF(I871&gt;0,MIN(H871,I871),H871),IF(I871&gt;0,I871,تاريخ_الاحتساب)))</f>
        <v/>
      </c>
      <c r="K871" s="34" t="str">
        <f aca="false">IF($G871="","",IF(AND(H871=0,I871=0),"جارية","مغلقة"))</f>
        <v/>
      </c>
      <c r="L871" s="26" t="str">
        <f aca="false">IF($G871="","",MAX(0,NETWORKDAYS.INTL($E871,J871,رمز_العطلة,أيام_الأجازات)-1))</f>
        <v/>
      </c>
      <c r="M871" s="26" t="str">
        <f aca="false">IF($G871="","",MAX(0,L871-مهلة_المراجعة))</f>
        <v/>
      </c>
      <c r="N871" s="30" t="str">
        <f aca="false">IF($A871="",IF(OR($D871&lt;&gt;"",$E871&lt;&gt;""),"رقم المخرج ناقص",""),IF(ISNA(MATCH($A871,قائمة_المخرجات,0)),"رقم مخرج غير موجود",IF($D871="","نوع الحركة ناقص",IF(NOT(ISNUMBER($E871)),"التاريخ ناقص",IF($E871&gt;تاريخ_الاحتساب,"تاريخ بعد تاريخ الاحتساب",IF(AND($D871&lt;&gt;"تسليم",COUNTIFS($A$5:$A$1504,$A871,$D$5:$D$1504,"تسليم",$E$5:$E$1504,"&lt;="&amp;$E871)=0),"لا يوجد تسليم قبل الحركة دي",""))))))</f>
        <v/>
      </c>
    </row>
    <row r="872" customFormat="false" ht="15" hidden="false" customHeight="false" outlineLevel="0" collapsed="false">
      <c r="A872" s="20"/>
      <c r="B872" s="35" t="str">
        <f aca="false">IF($A872="","",IFERROR(INDEX(مخرج_البند,MATCH($A872,قائمة_المخرجات,0)),""))</f>
        <v/>
      </c>
      <c r="C872" s="30" t="str">
        <f aca="false">IF($A872="","",IFERROR(INDEX(مخرج_الوصف,MATCH($A872,قائمة_المخرجات,0)),""))</f>
        <v/>
      </c>
      <c r="D872" s="20"/>
      <c r="E872" s="31"/>
      <c r="F872" s="22"/>
      <c r="G872" s="36" t="str">
        <f aca="false">IF(OR($A872="",$D872&lt;&gt;"تسليم",NOT(ISNUMBER($E872))),"",COUNTIFS($A$5:$A$1504,$A872,$D$5:$D$1504,"تسليم",$E$5:$E$1504,"&lt;"&amp;$E872)+1)</f>
        <v/>
      </c>
      <c r="H872" s="33" t="str">
        <f aca="false">IF($G872="","",_xlfn.MINIFS($E$5:$E$1504,$A$5:$A$1504,$A872,$D$5:$D$1504,"&lt;&gt;تسليم",$E$5:$E$1504,"&gt;="&amp;$E872))</f>
        <v/>
      </c>
      <c r="I872" s="33" t="str">
        <f aca="false">IF($G872="","",_xlfn.MINIFS($E$5:$E$1504,$A$5:$A$1504,$A872,$D$5:$D$1504,"تسليم",$E$5:$E$1504,"&gt;"&amp;$E872))</f>
        <v/>
      </c>
      <c r="J872" s="33" t="str">
        <f aca="false">IF($G872="","",IF(H872&gt;0,IF(I872&gt;0,MIN(H872,I872),H872),IF(I872&gt;0,I872,تاريخ_الاحتساب)))</f>
        <v/>
      </c>
      <c r="K872" s="34" t="str">
        <f aca="false">IF($G872="","",IF(AND(H872=0,I872=0),"جارية","مغلقة"))</f>
        <v/>
      </c>
      <c r="L872" s="26" t="str">
        <f aca="false">IF($G872="","",MAX(0,NETWORKDAYS.INTL($E872,J872,رمز_العطلة,أيام_الأجازات)-1))</f>
        <v/>
      </c>
      <c r="M872" s="26" t="str">
        <f aca="false">IF($G872="","",MAX(0,L872-مهلة_المراجعة))</f>
        <v/>
      </c>
      <c r="N872" s="30" t="str">
        <f aca="false">IF($A872="",IF(OR($D872&lt;&gt;"",$E872&lt;&gt;""),"رقم المخرج ناقص",""),IF(ISNA(MATCH($A872,قائمة_المخرجات,0)),"رقم مخرج غير موجود",IF($D872="","نوع الحركة ناقص",IF(NOT(ISNUMBER($E872)),"التاريخ ناقص",IF($E872&gt;تاريخ_الاحتساب,"تاريخ بعد تاريخ الاحتساب",IF(AND($D872&lt;&gt;"تسليم",COUNTIFS($A$5:$A$1504,$A872,$D$5:$D$1504,"تسليم",$E$5:$E$1504,"&lt;="&amp;$E872)=0),"لا يوجد تسليم قبل الحركة دي",""))))))</f>
        <v/>
      </c>
    </row>
    <row r="873" customFormat="false" ht="15" hidden="false" customHeight="false" outlineLevel="0" collapsed="false">
      <c r="A873" s="20"/>
      <c r="B873" s="35" t="str">
        <f aca="false">IF($A873="","",IFERROR(INDEX(مخرج_البند,MATCH($A873,قائمة_المخرجات,0)),""))</f>
        <v/>
      </c>
      <c r="C873" s="30" t="str">
        <f aca="false">IF($A873="","",IFERROR(INDEX(مخرج_الوصف,MATCH($A873,قائمة_المخرجات,0)),""))</f>
        <v/>
      </c>
      <c r="D873" s="20"/>
      <c r="E873" s="31"/>
      <c r="F873" s="22"/>
      <c r="G873" s="36" t="str">
        <f aca="false">IF(OR($A873="",$D873&lt;&gt;"تسليم",NOT(ISNUMBER($E873))),"",COUNTIFS($A$5:$A$1504,$A873,$D$5:$D$1504,"تسليم",$E$5:$E$1504,"&lt;"&amp;$E873)+1)</f>
        <v/>
      </c>
      <c r="H873" s="33" t="str">
        <f aca="false">IF($G873="","",_xlfn.MINIFS($E$5:$E$1504,$A$5:$A$1504,$A873,$D$5:$D$1504,"&lt;&gt;تسليم",$E$5:$E$1504,"&gt;="&amp;$E873))</f>
        <v/>
      </c>
      <c r="I873" s="33" t="str">
        <f aca="false">IF($G873="","",_xlfn.MINIFS($E$5:$E$1504,$A$5:$A$1504,$A873,$D$5:$D$1504,"تسليم",$E$5:$E$1504,"&gt;"&amp;$E873))</f>
        <v/>
      </c>
      <c r="J873" s="33" t="str">
        <f aca="false">IF($G873="","",IF(H873&gt;0,IF(I873&gt;0,MIN(H873,I873),H873),IF(I873&gt;0,I873,تاريخ_الاحتساب)))</f>
        <v/>
      </c>
      <c r="K873" s="34" t="str">
        <f aca="false">IF($G873="","",IF(AND(H873=0,I873=0),"جارية","مغلقة"))</f>
        <v/>
      </c>
      <c r="L873" s="26" t="str">
        <f aca="false">IF($G873="","",MAX(0,NETWORKDAYS.INTL($E873,J873,رمز_العطلة,أيام_الأجازات)-1))</f>
        <v/>
      </c>
      <c r="M873" s="26" t="str">
        <f aca="false">IF($G873="","",MAX(0,L873-مهلة_المراجعة))</f>
        <v/>
      </c>
      <c r="N873" s="30" t="str">
        <f aca="false">IF($A873="",IF(OR($D873&lt;&gt;"",$E873&lt;&gt;""),"رقم المخرج ناقص",""),IF(ISNA(MATCH($A873,قائمة_المخرجات,0)),"رقم مخرج غير موجود",IF($D873="","نوع الحركة ناقص",IF(NOT(ISNUMBER($E873)),"التاريخ ناقص",IF($E873&gt;تاريخ_الاحتساب,"تاريخ بعد تاريخ الاحتساب",IF(AND($D873&lt;&gt;"تسليم",COUNTIFS($A$5:$A$1504,$A873,$D$5:$D$1504,"تسليم",$E$5:$E$1504,"&lt;="&amp;$E873)=0),"لا يوجد تسليم قبل الحركة دي",""))))))</f>
        <v/>
      </c>
    </row>
    <row r="874" customFormat="false" ht="15" hidden="false" customHeight="false" outlineLevel="0" collapsed="false">
      <c r="A874" s="20"/>
      <c r="B874" s="35" t="str">
        <f aca="false">IF($A874="","",IFERROR(INDEX(مخرج_البند,MATCH($A874,قائمة_المخرجات,0)),""))</f>
        <v/>
      </c>
      <c r="C874" s="30" t="str">
        <f aca="false">IF($A874="","",IFERROR(INDEX(مخرج_الوصف,MATCH($A874,قائمة_المخرجات,0)),""))</f>
        <v/>
      </c>
      <c r="D874" s="20"/>
      <c r="E874" s="31"/>
      <c r="F874" s="22"/>
      <c r="G874" s="36" t="str">
        <f aca="false">IF(OR($A874="",$D874&lt;&gt;"تسليم",NOT(ISNUMBER($E874))),"",COUNTIFS($A$5:$A$1504,$A874,$D$5:$D$1504,"تسليم",$E$5:$E$1504,"&lt;"&amp;$E874)+1)</f>
        <v/>
      </c>
      <c r="H874" s="33" t="str">
        <f aca="false">IF($G874="","",_xlfn.MINIFS($E$5:$E$1504,$A$5:$A$1504,$A874,$D$5:$D$1504,"&lt;&gt;تسليم",$E$5:$E$1504,"&gt;="&amp;$E874))</f>
        <v/>
      </c>
      <c r="I874" s="33" t="str">
        <f aca="false">IF($G874="","",_xlfn.MINIFS($E$5:$E$1504,$A$5:$A$1504,$A874,$D$5:$D$1504,"تسليم",$E$5:$E$1504,"&gt;"&amp;$E874))</f>
        <v/>
      </c>
      <c r="J874" s="33" t="str">
        <f aca="false">IF($G874="","",IF(H874&gt;0,IF(I874&gt;0,MIN(H874,I874),H874),IF(I874&gt;0,I874,تاريخ_الاحتساب)))</f>
        <v/>
      </c>
      <c r="K874" s="34" t="str">
        <f aca="false">IF($G874="","",IF(AND(H874=0,I874=0),"جارية","مغلقة"))</f>
        <v/>
      </c>
      <c r="L874" s="26" t="str">
        <f aca="false">IF($G874="","",MAX(0,NETWORKDAYS.INTL($E874,J874,رمز_العطلة,أيام_الأجازات)-1))</f>
        <v/>
      </c>
      <c r="M874" s="26" t="str">
        <f aca="false">IF($G874="","",MAX(0,L874-مهلة_المراجعة))</f>
        <v/>
      </c>
      <c r="N874" s="30" t="str">
        <f aca="false">IF($A874="",IF(OR($D874&lt;&gt;"",$E874&lt;&gt;""),"رقم المخرج ناقص",""),IF(ISNA(MATCH($A874,قائمة_المخرجات,0)),"رقم مخرج غير موجود",IF($D874="","نوع الحركة ناقص",IF(NOT(ISNUMBER($E874)),"التاريخ ناقص",IF($E874&gt;تاريخ_الاحتساب,"تاريخ بعد تاريخ الاحتساب",IF(AND($D874&lt;&gt;"تسليم",COUNTIFS($A$5:$A$1504,$A874,$D$5:$D$1504,"تسليم",$E$5:$E$1504,"&lt;="&amp;$E874)=0),"لا يوجد تسليم قبل الحركة دي",""))))))</f>
        <v/>
      </c>
    </row>
    <row r="875" customFormat="false" ht="15" hidden="false" customHeight="false" outlineLevel="0" collapsed="false">
      <c r="A875" s="20"/>
      <c r="B875" s="35" t="str">
        <f aca="false">IF($A875="","",IFERROR(INDEX(مخرج_البند,MATCH($A875,قائمة_المخرجات,0)),""))</f>
        <v/>
      </c>
      <c r="C875" s="30" t="str">
        <f aca="false">IF($A875="","",IFERROR(INDEX(مخرج_الوصف,MATCH($A875,قائمة_المخرجات,0)),""))</f>
        <v/>
      </c>
      <c r="D875" s="20"/>
      <c r="E875" s="31"/>
      <c r="F875" s="22"/>
      <c r="G875" s="36" t="str">
        <f aca="false">IF(OR($A875="",$D875&lt;&gt;"تسليم",NOT(ISNUMBER($E875))),"",COUNTIFS($A$5:$A$1504,$A875,$D$5:$D$1504,"تسليم",$E$5:$E$1504,"&lt;"&amp;$E875)+1)</f>
        <v/>
      </c>
      <c r="H875" s="33" t="str">
        <f aca="false">IF($G875="","",_xlfn.MINIFS($E$5:$E$1504,$A$5:$A$1504,$A875,$D$5:$D$1504,"&lt;&gt;تسليم",$E$5:$E$1504,"&gt;="&amp;$E875))</f>
        <v/>
      </c>
      <c r="I875" s="33" t="str">
        <f aca="false">IF($G875="","",_xlfn.MINIFS($E$5:$E$1504,$A$5:$A$1504,$A875,$D$5:$D$1504,"تسليم",$E$5:$E$1504,"&gt;"&amp;$E875))</f>
        <v/>
      </c>
      <c r="J875" s="33" t="str">
        <f aca="false">IF($G875="","",IF(H875&gt;0,IF(I875&gt;0,MIN(H875,I875),H875),IF(I875&gt;0,I875,تاريخ_الاحتساب)))</f>
        <v/>
      </c>
      <c r="K875" s="34" t="str">
        <f aca="false">IF($G875="","",IF(AND(H875=0,I875=0),"جارية","مغلقة"))</f>
        <v/>
      </c>
      <c r="L875" s="26" t="str">
        <f aca="false">IF($G875="","",MAX(0,NETWORKDAYS.INTL($E875,J875,رمز_العطلة,أيام_الأجازات)-1))</f>
        <v/>
      </c>
      <c r="M875" s="26" t="str">
        <f aca="false">IF($G875="","",MAX(0,L875-مهلة_المراجعة))</f>
        <v/>
      </c>
      <c r="N875" s="30" t="str">
        <f aca="false">IF($A875="",IF(OR($D875&lt;&gt;"",$E875&lt;&gt;""),"رقم المخرج ناقص",""),IF(ISNA(MATCH($A875,قائمة_المخرجات,0)),"رقم مخرج غير موجود",IF($D875="","نوع الحركة ناقص",IF(NOT(ISNUMBER($E875)),"التاريخ ناقص",IF($E875&gt;تاريخ_الاحتساب,"تاريخ بعد تاريخ الاحتساب",IF(AND($D875&lt;&gt;"تسليم",COUNTIFS($A$5:$A$1504,$A875,$D$5:$D$1504,"تسليم",$E$5:$E$1504,"&lt;="&amp;$E875)=0),"لا يوجد تسليم قبل الحركة دي",""))))))</f>
        <v/>
      </c>
    </row>
    <row r="876" customFormat="false" ht="15" hidden="false" customHeight="false" outlineLevel="0" collapsed="false">
      <c r="A876" s="20"/>
      <c r="B876" s="35" t="str">
        <f aca="false">IF($A876="","",IFERROR(INDEX(مخرج_البند,MATCH($A876,قائمة_المخرجات,0)),""))</f>
        <v/>
      </c>
      <c r="C876" s="30" t="str">
        <f aca="false">IF($A876="","",IFERROR(INDEX(مخرج_الوصف,MATCH($A876,قائمة_المخرجات,0)),""))</f>
        <v/>
      </c>
      <c r="D876" s="20"/>
      <c r="E876" s="31"/>
      <c r="F876" s="22"/>
      <c r="G876" s="36" t="str">
        <f aca="false">IF(OR($A876="",$D876&lt;&gt;"تسليم",NOT(ISNUMBER($E876))),"",COUNTIFS($A$5:$A$1504,$A876,$D$5:$D$1504,"تسليم",$E$5:$E$1504,"&lt;"&amp;$E876)+1)</f>
        <v/>
      </c>
      <c r="H876" s="33" t="str">
        <f aca="false">IF($G876="","",_xlfn.MINIFS($E$5:$E$1504,$A$5:$A$1504,$A876,$D$5:$D$1504,"&lt;&gt;تسليم",$E$5:$E$1504,"&gt;="&amp;$E876))</f>
        <v/>
      </c>
      <c r="I876" s="33" t="str">
        <f aca="false">IF($G876="","",_xlfn.MINIFS($E$5:$E$1504,$A$5:$A$1504,$A876,$D$5:$D$1504,"تسليم",$E$5:$E$1504,"&gt;"&amp;$E876))</f>
        <v/>
      </c>
      <c r="J876" s="33" t="str">
        <f aca="false">IF($G876="","",IF(H876&gt;0,IF(I876&gt;0,MIN(H876,I876),H876),IF(I876&gt;0,I876,تاريخ_الاحتساب)))</f>
        <v/>
      </c>
      <c r="K876" s="34" t="str">
        <f aca="false">IF($G876="","",IF(AND(H876=0,I876=0),"جارية","مغلقة"))</f>
        <v/>
      </c>
      <c r="L876" s="26" t="str">
        <f aca="false">IF($G876="","",MAX(0,NETWORKDAYS.INTL($E876,J876,رمز_العطلة,أيام_الأجازات)-1))</f>
        <v/>
      </c>
      <c r="M876" s="26" t="str">
        <f aca="false">IF($G876="","",MAX(0,L876-مهلة_المراجعة))</f>
        <v/>
      </c>
      <c r="N876" s="30" t="str">
        <f aca="false">IF($A876="",IF(OR($D876&lt;&gt;"",$E876&lt;&gt;""),"رقم المخرج ناقص",""),IF(ISNA(MATCH($A876,قائمة_المخرجات,0)),"رقم مخرج غير موجود",IF($D876="","نوع الحركة ناقص",IF(NOT(ISNUMBER($E876)),"التاريخ ناقص",IF($E876&gt;تاريخ_الاحتساب,"تاريخ بعد تاريخ الاحتساب",IF(AND($D876&lt;&gt;"تسليم",COUNTIFS($A$5:$A$1504,$A876,$D$5:$D$1504,"تسليم",$E$5:$E$1504,"&lt;="&amp;$E876)=0),"لا يوجد تسليم قبل الحركة دي",""))))))</f>
        <v/>
      </c>
    </row>
    <row r="877" customFormat="false" ht="15" hidden="false" customHeight="false" outlineLevel="0" collapsed="false">
      <c r="A877" s="20"/>
      <c r="B877" s="35" t="str">
        <f aca="false">IF($A877="","",IFERROR(INDEX(مخرج_البند,MATCH($A877,قائمة_المخرجات,0)),""))</f>
        <v/>
      </c>
      <c r="C877" s="30" t="str">
        <f aca="false">IF($A877="","",IFERROR(INDEX(مخرج_الوصف,MATCH($A877,قائمة_المخرجات,0)),""))</f>
        <v/>
      </c>
      <c r="D877" s="20"/>
      <c r="E877" s="31"/>
      <c r="F877" s="22"/>
      <c r="G877" s="36" t="str">
        <f aca="false">IF(OR($A877="",$D877&lt;&gt;"تسليم",NOT(ISNUMBER($E877))),"",COUNTIFS($A$5:$A$1504,$A877,$D$5:$D$1504,"تسليم",$E$5:$E$1504,"&lt;"&amp;$E877)+1)</f>
        <v/>
      </c>
      <c r="H877" s="33" t="str">
        <f aca="false">IF($G877="","",_xlfn.MINIFS($E$5:$E$1504,$A$5:$A$1504,$A877,$D$5:$D$1504,"&lt;&gt;تسليم",$E$5:$E$1504,"&gt;="&amp;$E877))</f>
        <v/>
      </c>
      <c r="I877" s="33" t="str">
        <f aca="false">IF($G877="","",_xlfn.MINIFS($E$5:$E$1504,$A$5:$A$1504,$A877,$D$5:$D$1504,"تسليم",$E$5:$E$1504,"&gt;"&amp;$E877))</f>
        <v/>
      </c>
      <c r="J877" s="33" t="str">
        <f aca="false">IF($G877="","",IF(H877&gt;0,IF(I877&gt;0,MIN(H877,I877),H877),IF(I877&gt;0,I877,تاريخ_الاحتساب)))</f>
        <v/>
      </c>
      <c r="K877" s="34" t="str">
        <f aca="false">IF($G877="","",IF(AND(H877=0,I877=0),"جارية","مغلقة"))</f>
        <v/>
      </c>
      <c r="L877" s="26" t="str">
        <f aca="false">IF($G877="","",MAX(0,NETWORKDAYS.INTL($E877,J877,رمز_العطلة,أيام_الأجازات)-1))</f>
        <v/>
      </c>
      <c r="M877" s="26" t="str">
        <f aca="false">IF($G877="","",MAX(0,L877-مهلة_المراجعة))</f>
        <v/>
      </c>
      <c r="N877" s="30" t="str">
        <f aca="false">IF($A877="",IF(OR($D877&lt;&gt;"",$E877&lt;&gt;""),"رقم المخرج ناقص",""),IF(ISNA(MATCH($A877,قائمة_المخرجات,0)),"رقم مخرج غير موجود",IF($D877="","نوع الحركة ناقص",IF(NOT(ISNUMBER($E877)),"التاريخ ناقص",IF($E877&gt;تاريخ_الاحتساب,"تاريخ بعد تاريخ الاحتساب",IF(AND($D877&lt;&gt;"تسليم",COUNTIFS($A$5:$A$1504,$A877,$D$5:$D$1504,"تسليم",$E$5:$E$1504,"&lt;="&amp;$E877)=0),"لا يوجد تسليم قبل الحركة دي",""))))))</f>
        <v/>
      </c>
    </row>
    <row r="878" customFormat="false" ht="15" hidden="false" customHeight="false" outlineLevel="0" collapsed="false">
      <c r="A878" s="20"/>
      <c r="B878" s="35" t="str">
        <f aca="false">IF($A878="","",IFERROR(INDEX(مخرج_البند,MATCH($A878,قائمة_المخرجات,0)),""))</f>
        <v/>
      </c>
      <c r="C878" s="30" t="str">
        <f aca="false">IF($A878="","",IFERROR(INDEX(مخرج_الوصف,MATCH($A878,قائمة_المخرجات,0)),""))</f>
        <v/>
      </c>
      <c r="D878" s="20"/>
      <c r="E878" s="31"/>
      <c r="F878" s="22"/>
      <c r="G878" s="36" t="str">
        <f aca="false">IF(OR($A878="",$D878&lt;&gt;"تسليم",NOT(ISNUMBER($E878))),"",COUNTIFS($A$5:$A$1504,$A878,$D$5:$D$1504,"تسليم",$E$5:$E$1504,"&lt;"&amp;$E878)+1)</f>
        <v/>
      </c>
      <c r="H878" s="33" t="str">
        <f aca="false">IF($G878="","",_xlfn.MINIFS($E$5:$E$1504,$A$5:$A$1504,$A878,$D$5:$D$1504,"&lt;&gt;تسليم",$E$5:$E$1504,"&gt;="&amp;$E878))</f>
        <v/>
      </c>
      <c r="I878" s="33" t="str">
        <f aca="false">IF($G878="","",_xlfn.MINIFS($E$5:$E$1504,$A$5:$A$1504,$A878,$D$5:$D$1504,"تسليم",$E$5:$E$1504,"&gt;"&amp;$E878))</f>
        <v/>
      </c>
      <c r="J878" s="33" t="str">
        <f aca="false">IF($G878="","",IF(H878&gt;0,IF(I878&gt;0,MIN(H878,I878),H878),IF(I878&gt;0,I878,تاريخ_الاحتساب)))</f>
        <v/>
      </c>
      <c r="K878" s="34" t="str">
        <f aca="false">IF($G878="","",IF(AND(H878=0,I878=0),"جارية","مغلقة"))</f>
        <v/>
      </c>
      <c r="L878" s="26" t="str">
        <f aca="false">IF($G878="","",MAX(0,NETWORKDAYS.INTL($E878,J878,رمز_العطلة,أيام_الأجازات)-1))</f>
        <v/>
      </c>
      <c r="M878" s="26" t="str">
        <f aca="false">IF($G878="","",MAX(0,L878-مهلة_المراجعة))</f>
        <v/>
      </c>
      <c r="N878" s="30" t="str">
        <f aca="false">IF($A878="",IF(OR($D878&lt;&gt;"",$E878&lt;&gt;""),"رقم المخرج ناقص",""),IF(ISNA(MATCH($A878,قائمة_المخرجات,0)),"رقم مخرج غير موجود",IF($D878="","نوع الحركة ناقص",IF(NOT(ISNUMBER($E878)),"التاريخ ناقص",IF($E878&gt;تاريخ_الاحتساب,"تاريخ بعد تاريخ الاحتساب",IF(AND($D878&lt;&gt;"تسليم",COUNTIFS($A$5:$A$1504,$A878,$D$5:$D$1504,"تسليم",$E$5:$E$1504,"&lt;="&amp;$E878)=0),"لا يوجد تسليم قبل الحركة دي",""))))))</f>
        <v/>
      </c>
    </row>
    <row r="879" customFormat="false" ht="15" hidden="false" customHeight="false" outlineLevel="0" collapsed="false">
      <c r="A879" s="20"/>
      <c r="B879" s="35" t="str">
        <f aca="false">IF($A879="","",IFERROR(INDEX(مخرج_البند,MATCH($A879,قائمة_المخرجات,0)),""))</f>
        <v/>
      </c>
      <c r="C879" s="30" t="str">
        <f aca="false">IF($A879="","",IFERROR(INDEX(مخرج_الوصف,MATCH($A879,قائمة_المخرجات,0)),""))</f>
        <v/>
      </c>
      <c r="D879" s="20"/>
      <c r="E879" s="31"/>
      <c r="F879" s="22"/>
      <c r="G879" s="36" t="str">
        <f aca="false">IF(OR($A879="",$D879&lt;&gt;"تسليم",NOT(ISNUMBER($E879))),"",COUNTIFS($A$5:$A$1504,$A879,$D$5:$D$1504,"تسليم",$E$5:$E$1504,"&lt;"&amp;$E879)+1)</f>
        <v/>
      </c>
      <c r="H879" s="33" t="str">
        <f aca="false">IF($G879="","",_xlfn.MINIFS($E$5:$E$1504,$A$5:$A$1504,$A879,$D$5:$D$1504,"&lt;&gt;تسليم",$E$5:$E$1504,"&gt;="&amp;$E879))</f>
        <v/>
      </c>
      <c r="I879" s="33" t="str">
        <f aca="false">IF($G879="","",_xlfn.MINIFS($E$5:$E$1504,$A$5:$A$1504,$A879,$D$5:$D$1504,"تسليم",$E$5:$E$1504,"&gt;"&amp;$E879))</f>
        <v/>
      </c>
      <c r="J879" s="33" t="str">
        <f aca="false">IF($G879="","",IF(H879&gt;0,IF(I879&gt;0,MIN(H879,I879),H879),IF(I879&gt;0,I879,تاريخ_الاحتساب)))</f>
        <v/>
      </c>
      <c r="K879" s="34" t="str">
        <f aca="false">IF($G879="","",IF(AND(H879=0,I879=0),"جارية","مغلقة"))</f>
        <v/>
      </c>
      <c r="L879" s="26" t="str">
        <f aca="false">IF($G879="","",MAX(0,NETWORKDAYS.INTL($E879,J879,رمز_العطلة,أيام_الأجازات)-1))</f>
        <v/>
      </c>
      <c r="M879" s="26" t="str">
        <f aca="false">IF($G879="","",MAX(0,L879-مهلة_المراجعة))</f>
        <v/>
      </c>
      <c r="N879" s="30" t="str">
        <f aca="false">IF($A879="",IF(OR($D879&lt;&gt;"",$E879&lt;&gt;""),"رقم المخرج ناقص",""),IF(ISNA(MATCH($A879,قائمة_المخرجات,0)),"رقم مخرج غير موجود",IF($D879="","نوع الحركة ناقص",IF(NOT(ISNUMBER($E879)),"التاريخ ناقص",IF($E879&gt;تاريخ_الاحتساب,"تاريخ بعد تاريخ الاحتساب",IF(AND($D879&lt;&gt;"تسليم",COUNTIFS($A$5:$A$1504,$A879,$D$5:$D$1504,"تسليم",$E$5:$E$1504,"&lt;="&amp;$E879)=0),"لا يوجد تسليم قبل الحركة دي",""))))))</f>
        <v/>
      </c>
    </row>
    <row r="880" customFormat="false" ht="15" hidden="false" customHeight="false" outlineLevel="0" collapsed="false">
      <c r="A880" s="20"/>
      <c r="B880" s="35" t="str">
        <f aca="false">IF($A880="","",IFERROR(INDEX(مخرج_البند,MATCH($A880,قائمة_المخرجات,0)),""))</f>
        <v/>
      </c>
      <c r="C880" s="30" t="str">
        <f aca="false">IF($A880="","",IFERROR(INDEX(مخرج_الوصف,MATCH($A880,قائمة_المخرجات,0)),""))</f>
        <v/>
      </c>
      <c r="D880" s="20"/>
      <c r="E880" s="31"/>
      <c r="F880" s="22"/>
      <c r="G880" s="36" t="str">
        <f aca="false">IF(OR($A880="",$D880&lt;&gt;"تسليم",NOT(ISNUMBER($E880))),"",COUNTIFS($A$5:$A$1504,$A880,$D$5:$D$1504,"تسليم",$E$5:$E$1504,"&lt;"&amp;$E880)+1)</f>
        <v/>
      </c>
      <c r="H880" s="33" t="str">
        <f aca="false">IF($G880="","",_xlfn.MINIFS($E$5:$E$1504,$A$5:$A$1504,$A880,$D$5:$D$1504,"&lt;&gt;تسليم",$E$5:$E$1504,"&gt;="&amp;$E880))</f>
        <v/>
      </c>
      <c r="I880" s="33" t="str">
        <f aca="false">IF($G880="","",_xlfn.MINIFS($E$5:$E$1504,$A$5:$A$1504,$A880,$D$5:$D$1504,"تسليم",$E$5:$E$1504,"&gt;"&amp;$E880))</f>
        <v/>
      </c>
      <c r="J880" s="33" t="str">
        <f aca="false">IF($G880="","",IF(H880&gt;0,IF(I880&gt;0,MIN(H880,I880),H880),IF(I880&gt;0,I880,تاريخ_الاحتساب)))</f>
        <v/>
      </c>
      <c r="K880" s="34" t="str">
        <f aca="false">IF($G880="","",IF(AND(H880=0,I880=0),"جارية","مغلقة"))</f>
        <v/>
      </c>
      <c r="L880" s="26" t="str">
        <f aca="false">IF($G880="","",MAX(0,NETWORKDAYS.INTL($E880,J880,رمز_العطلة,أيام_الأجازات)-1))</f>
        <v/>
      </c>
      <c r="M880" s="26" t="str">
        <f aca="false">IF($G880="","",MAX(0,L880-مهلة_المراجعة))</f>
        <v/>
      </c>
      <c r="N880" s="30" t="str">
        <f aca="false">IF($A880="",IF(OR($D880&lt;&gt;"",$E880&lt;&gt;""),"رقم المخرج ناقص",""),IF(ISNA(MATCH($A880,قائمة_المخرجات,0)),"رقم مخرج غير موجود",IF($D880="","نوع الحركة ناقص",IF(NOT(ISNUMBER($E880)),"التاريخ ناقص",IF($E880&gt;تاريخ_الاحتساب,"تاريخ بعد تاريخ الاحتساب",IF(AND($D880&lt;&gt;"تسليم",COUNTIFS($A$5:$A$1504,$A880,$D$5:$D$1504,"تسليم",$E$5:$E$1504,"&lt;="&amp;$E880)=0),"لا يوجد تسليم قبل الحركة دي",""))))))</f>
        <v/>
      </c>
    </row>
    <row r="881" customFormat="false" ht="15" hidden="false" customHeight="false" outlineLevel="0" collapsed="false">
      <c r="A881" s="20"/>
      <c r="B881" s="35" t="str">
        <f aca="false">IF($A881="","",IFERROR(INDEX(مخرج_البند,MATCH($A881,قائمة_المخرجات,0)),""))</f>
        <v/>
      </c>
      <c r="C881" s="30" t="str">
        <f aca="false">IF($A881="","",IFERROR(INDEX(مخرج_الوصف,MATCH($A881,قائمة_المخرجات,0)),""))</f>
        <v/>
      </c>
      <c r="D881" s="20"/>
      <c r="E881" s="31"/>
      <c r="F881" s="22"/>
      <c r="G881" s="36" t="str">
        <f aca="false">IF(OR($A881="",$D881&lt;&gt;"تسليم",NOT(ISNUMBER($E881))),"",COUNTIFS($A$5:$A$1504,$A881,$D$5:$D$1504,"تسليم",$E$5:$E$1504,"&lt;"&amp;$E881)+1)</f>
        <v/>
      </c>
      <c r="H881" s="33" t="str">
        <f aca="false">IF($G881="","",_xlfn.MINIFS($E$5:$E$1504,$A$5:$A$1504,$A881,$D$5:$D$1504,"&lt;&gt;تسليم",$E$5:$E$1504,"&gt;="&amp;$E881))</f>
        <v/>
      </c>
      <c r="I881" s="33" t="str">
        <f aca="false">IF($G881="","",_xlfn.MINIFS($E$5:$E$1504,$A$5:$A$1504,$A881,$D$5:$D$1504,"تسليم",$E$5:$E$1504,"&gt;"&amp;$E881))</f>
        <v/>
      </c>
      <c r="J881" s="33" t="str">
        <f aca="false">IF($G881="","",IF(H881&gt;0,IF(I881&gt;0,MIN(H881,I881),H881),IF(I881&gt;0,I881,تاريخ_الاحتساب)))</f>
        <v/>
      </c>
      <c r="K881" s="34" t="str">
        <f aca="false">IF($G881="","",IF(AND(H881=0,I881=0),"جارية","مغلقة"))</f>
        <v/>
      </c>
      <c r="L881" s="26" t="str">
        <f aca="false">IF($G881="","",MAX(0,NETWORKDAYS.INTL($E881,J881,رمز_العطلة,أيام_الأجازات)-1))</f>
        <v/>
      </c>
      <c r="M881" s="26" t="str">
        <f aca="false">IF($G881="","",MAX(0,L881-مهلة_المراجعة))</f>
        <v/>
      </c>
      <c r="N881" s="30" t="str">
        <f aca="false">IF($A881="",IF(OR($D881&lt;&gt;"",$E881&lt;&gt;""),"رقم المخرج ناقص",""),IF(ISNA(MATCH($A881,قائمة_المخرجات,0)),"رقم مخرج غير موجود",IF($D881="","نوع الحركة ناقص",IF(NOT(ISNUMBER($E881)),"التاريخ ناقص",IF($E881&gt;تاريخ_الاحتساب,"تاريخ بعد تاريخ الاحتساب",IF(AND($D881&lt;&gt;"تسليم",COUNTIFS($A$5:$A$1504,$A881,$D$5:$D$1504,"تسليم",$E$5:$E$1504,"&lt;="&amp;$E881)=0),"لا يوجد تسليم قبل الحركة دي",""))))))</f>
        <v/>
      </c>
    </row>
    <row r="882" customFormat="false" ht="15" hidden="false" customHeight="false" outlineLevel="0" collapsed="false">
      <c r="A882" s="20"/>
      <c r="B882" s="35" t="str">
        <f aca="false">IF($A882="","",IFERROR(INDEX(مخرج_البند,MATCH($A882,قائمة_المخرجات,0)),""))</f>
        <v/>
      </c>
      <c r="C882" s="30" t="str">
        <f aca="false">IF($A882="","",IFERROR(INDEX(مخرج_الوصف,MATCH($A882,قائمة_المخرجات,0)),""))</f>
        <v/>
      </c>
      <c r="D882" s="20"/>
      <c r="E882" s="31"/>
      <c r="F882" s="22"/>
      <c r="G882" s="36" t="str">
        <f aca="false">IF(OR($A882="",$D882&lt;&gt;"تسليم",NOT(ISNUMBER($E882))),"",COUNTIFS($A$5:$A$1504,$A882,$D$5:$D$1504,"تسليم",$E$5:$E$1504,"&lt;"&amp;$E882)+1)</f>
        <v/>
      </c>
      <c r="H882" s="33" t="str">
        <f aca="false">IF($G882="","",_xlfn.MINIFS($E$5:$E$1504,$A$5:$A$1504,$A882,$D$5:$D$1504,"&lt;&gt;تسليم",$E$5:$E$1504,"&gt;="&amp;$E882))</f>
        <v/>
      </c>
      <c r="I882" s="33" t="str">
        <f aca="false">IF($G882="","",_xlfn.MINIFS($E$5:$E$1504,$A$5:$A$1504,$A882,$D$5:$D$1504,"تسليم",$E$5:$E$1504,"&gt;"&amp;$E882))</f>
        <v/>
      </c>
      <c r="J882" s="33" t="str">
        <f aca="false">IF($G882="","",IF(H882&gt;0,IF(I882&gt;0,MIN(H882,I882),H882),IF(I882&gt;0,I882,تاريخ_الاحتساب)))</f>
        <v/>
      </c>
      <c r="K882" s="34" t="str">
        <f aca="false">IF($G882="","",IF(AND(H882=0,I882=0),"جارية","مغلقة"))</f>
        <v/>
      </c>
      <c r="L882" s="26" t="str">
        <f aca="false">IF($G882="","",MAX(0,NETWORKDAYS.INTL($E882,J882,رمز_العطلة,أيام_الأجازات)-1))</f>
        <v/>
      </c>
      <c r="M882" s="26" t="str">
        <f aca="false">IF($G882="","",MAX(0,L882-مهلة_المراجعة))</f>
        <v/>
      </c>
      <c r="N882" s="30" t="str">
        <f aca="false">IF($A882="",IF(OR($D882&lt;&gt;"",$E882&lt;&gt;""),"رقم المخرج ناقص",""),IF(ISNA(MATCH($A882,قائمة_المخرجات,0)),"رقم مخرج غير موجود",IF($D882="","نوع الحركة ناقص",IF(NOT(ISNUMBER($E882)),"التاريخ ناقص",IF($E882&gt;تاريخ_الاحتساب,"تاريخ بعد تاريخ الاحتساب",IF(AND($D882&lt;&gt;"تسليم",COUNTIFS($A$5:$A$1504,$A882,$D$5:$D$1504,"تسليم",$E$5:$E$1504,"&lt;="&amp;$E882)=0),"لا يوجد تسليم قبل الحركة دي",""))))))</f>
        <v/>
      </c>
    </row>
    <row r="883" customFormat="false" ht="15" hidden="false" customHeight="false" outlineLevel="0" collapsed="false">
      <c r="A883" s="20"/>
      <c r="B883" s="35" t="str">
        <f aca="false">IF($A883="","",IFERROR(INDEX(مخرج_البند,MATCH($A883,قائمة_المخرجات,0)),""))</f>
        <v/>
      </c>
      <c r="C883" s="30" t="str">
        <f aca="false">IF($A883="","",IFERROR(INDEX(مخرج_الوصف,MATCH($A883,قائمة_المخرجات,0)),""))</f>
        <v/>
      </c>
      <c r="D883" s="20"/>
      <c r="E883" s="31"/>
      <c r="F883" s="22"/>
      <c r="G883" s="36" t="str">
        <f aca="false">IF(OR($A883="",$D883&lt;&gt;"تسليم",NOT(ISNUMBER($E883))),"",COUNTIFS($A$5:$A$1504,$A883,$D$5:$D$1504,"تسليم",$E$5:$E$1504,"&lt;"&amp;$E883)+1)</f>
        <v/>
      </c>
      <c r="H883" s="33" t="str">
        <f aca="false">IF($G883="","",_xlfn.MINIFS($E$5:$E$1504,$A$5:$A$1504,$A883,$D$5:$D$1504,"&lt;&gt;تسليم",$E$5:$E$1504,"&gt;="&amp;$E883))</f>
        <v/>
      </c>
      <c r="I883" s="33" t="str">
        <f aca="false">IF($G883="","",_xlfn.MINIFS($E$5:$E$1504,$A$5:$A$1504,$A883,$D$5:$D$1504,"تسليم",$E$5:$E$1504,"&gt;"&amp;$E883))</f>
        <v/>
      </c>
      <c r="J883" s="33" t="str">
        <f aca="false">IF($G883="","",IF(H883&gt;0,IF(I883&gt;0,MIN(H883,I883),H883),IF(I883&gt;0,I883,تاريخ_الاحتساب)))</f>
        <v/>
      </c>
      <c r="K883" s="34" t="str">
        <f aca="false">IF($G883="","",IF(AND(H883=0,I883=0),"جارية","مغلقة"))</f>
        <v/>
      </c>
      <c r="L883" s="26" t="str">
        <f aca="false">IF($G883="","",MAX(0,NETWORKDAYS.INTL($E883,J883,رمز_العطلة,أيام_الأجازات)-1))</f>
        <v/>
      </c>
      <c r="M883" s="26" t="str">
        <f aca="false">IF($G883="","",MAX(0,L883-مهلة_المراجعة))</f>
        <v/>
      </c>
      <c r="N883" s="30" t="str">
        <f aca="false">IF($A883="",IF(OR($D883&lt;&gt;"",$E883&lt;&gt;""),"رقم المخرج ناقص",""),IF(ISNA(MATCH($A883,قائمة_المخرجات,0)),"رقم مخرج غير موجود",IF($D883="","نوع الحركة ناقص",IF(NOT(ISNUMBER($E883)),"التاريخ ناقص",IF($E883&gt;تاريخ_الاحتساب,"تاريخ بعد تاريخ الاحتساب",IF(AND($D883&lt;&gt;"تسليم",COUNTIFS($A$5:$A$1504,$A883,$D$5:$D$1504,"تسليم",$E$5:$E$1504,"&lt;="&amp;$E883)=0),"لا يوجد تسليم قبل الحركة دي",""))))))</f>
        <v/>
      </c>
    </row>
    <row r="884" customFormat="false" ht="15" hidden="false" customHeight="false" outlineLevel="0" collapsed="false">
      <c r="A884" s="20"/>
      <c r="B884" s="35" t="str">
        <f aca="false">IF($A884="","",IFERROR(INDEX(مخرج_البند,MATCH($A884,قائمة_المخرجات,0)),""))</f>
        <v/>
      </c>
      <c r="C884" s="30" t="str">
        <f aca="false">IF($A884="","",IFERROR(INDEX(مخرج_الوصف,MATCH($A884,قائمة_المخرجات,0)),""))</f>
        <v/>
      </c>
      <c r="D884" s="20"/>
      <c r="E884" s="31"/>
      <c r="F884" s="22"/>
      <c r="G884" s="36" t="str">
        <f aca="false">IF(OR($A884="",$D884&lt;&gt;"تسليم",NOT(ISNUMBER($E884))),"",COUNTIFS($A$5:$A$1504,$A884,$D$5:$D$1504,"تسليم",$E$5:$E$1504,"&lt;"&amp;$E884)+1)</f>
        <v/>
      </c>
      <c r="H884" s="33" t="str">
        <f aca="false">IF($G884="","",_xlfn.MINIFS($E$5:$E$1504,$A$5:$A$1504,$A884,$D$5:$D$1504,"&lt;&gt;تسليم",$E$5:$E$1504,"&gt;="&amp;$E884))</f>
        <v/>
      </c>
      <c r="I884" s="33" t="str">
        <f aca="false">IF($G884="","",_xlfn.MINIFS($E$5:$E$1504,$A$5:$A$1504,$A884,$D$5:$D$1504,"تسليم",$E$5:$E$1504,"&gt;"&amp;$E884))</f>
        <v/>
      </c>
      <c r="J884" s="33" t="str">
        <f aca="false">IF($G884="","",IF(H884&gt;0,IF(I884&gt;0,MIN(H884,I884),H884),IF(I884&gt;0,I884,تاريخ_الاحتساب)))</f>
        <v/>
      </c>
      <c r="K884" s="34" t="str">
        <f aca="false">IF($G884="","",IF(AND(H884=0,I884=0),"جارية","مغلقة"))</f>
        <v/>
      </c>
      <c r="L884" s="26" t="str">
        <f aca="false">IF($G884="","",MAX(0,NETWORKDAYS.INTL($E884,J884,رمز_العطلة,أيام_الأجازات)-1))</f>
        <v/>
      </c>
      <c r="M884" s="26" t="str">
        <f aca="false">IF($G884="","",MAX(0,L884-مهلة_المراجعة))</f>
        <v/>
      </c>
      <c r="N884" s="30" t="str">
        <f aca="false">IF($A884="",IF(OR($D884&lt;&gt;"",$E884&lt;&gt;""),"رقم المخرج ناقص",""),IF(ISNA(MATCH($A884,قائمة_المخرجات,0)),"رقم مخرج غير موجود",IF($D884="","نوع الحركة ناقص",IF(NOT(ISNUMBER($E884)),"التاريخ ناقص",IF($E884&gt;تاريخ_الاحتساب,"تاريخ بعد تاريخ الاحتساب",IF(AND($D884&lt;&gt;"تسليم",COUNTIFS($A$5:$A$1504,$A884,$D$5:$D$1504,"تسليم",$E$5:$E$1504,"&lt;="&amp;$E884)=0),"لا يوجد تسليم قبل الحركة دي",""))))))</f>
        <v/>
      </c>
    </row>
    <row r="885" customFormat="false" ht="15" hidden="false" customHeight="false" outlineLevel="0" collapsed="false">
      <c r="A885" s="20"/>
      <c r="B885" s="35" t="str">
        <f aca="false">IF($A885="","",IFERROR(INDEX(مخرج_البند,MATCH($A885,قائمة_المخرجات,0)),""))</f>
        <v/>
      </c>
      <c r="C885" s="30" t="str">
        <f aca="false">IF($A885="","",IFERROR(INDEX(مخرج_الوصف,MATCH($A885,قائمة_المخرجات,0)),""))</f>
        <v/>
      </c>
      <c r="D885" s="20"/>
      <c r="E885" s="31"/>
      <c r="F885" s="22"/>
      <c r="G885" s="36" t="str">
        <f aca="false">IF(OR($A885="",$D885&lt;&gt;"تسليم",NOT(ISNUMBER($E885))),"",COUNTIFS($A$5:$A$1504,$A885,$D$5:$D$1504,"تسليم",$E$5:$E$1504,"&lt;"&amp;$E885)+1)</f>
        <v/>
      </c>
      <c r="H885" s="33" t="str">
        <f aca="false">IF($G885="","",_xlfn.MINIFS($E$5:$E$1504,$A$5:$A$1504,$A885,$D$5:$D$1504,"&lt;&gt;تسليم",$E$5:$E$1504,"&gt;="&amp;$E885))</f>
        <v/>
      </c>
      <c r="I885" s="33" t="str">
        <f aca="false">IF($G885="","",_xlfn.MINIFS($E$5:$E$1504,$A$5:$A$1504,$A885,$D$5:$D$1504,"تسليم",$E$5:$E$1504,"&gt;"&amp;$E885))</f>
        <v/>
      </c>
      <c r="J885" s="33" t="str">
        <f aca="false">IF($G885="","",IF(H885&gt;0,IF(I885&gt;0,MIN(H885,I885),H885),IF(I885&gt;0,I885,تاريخ_الاحتساب)))</f>
        <v/>
      </c>
      <c r="K885" s="34" t="str">
        <f aca="false">IF($G885="","",IF(AND(H885=0,I885=0),"جارية","مغلقة"))</f>
        <v/>
      </c>
      <c r="L885" s="26" t="str">
        <f aca="false">IF($G885="","",MAX(0,NETWORKDAYS.INTL($E885,J885,رمز_العطلة,أيام_الأجازات)-1))</f>
        <v/>
      </c>
      <c r="M885" s="26" t="str">
        <f aca="false">IF($G885="","",MAX(0,L885-مهلة_المراجعة))</f>
        <v/>
      </c>
      <c r="N885" s="30" t="str">
        <f aca="false">IF($A885="",IF(OR($D885&lt;&gt;"",$E885&lt;&gt;""),"رقم المخرج ناقص",""),IF(ISNA(MATCH($A885,قائمة_المخرجات,0)),"رقم مخرج غير موجود",IF($D885="","نوع الحركة ناقص",IF(NOT(ISNUMBER($E885)),"التاريخ ناقص",IF($E885&gt;تاريخ_الاحتساب,"تاريخ بعد تاريخ الاحتساب",IF(AND($D885&lt;&gt;"تسليم",COUNTIFS($A$5:$A$1504,$A885,$D$5:$D$1504,"تسليم",$E$5:$E$1504,"&lt;="&amp;$E885)=0),"لا يوجد تسليم قبل الحركة دي",""))))))</f>
        <v/>
      </c>
    </row>
    <row r="886" customFormat="false" ht="15" hidden="false" customHeight="false" outlineLevel="0" collapsed="false">
      <c r="A886" s="20"/>
      <c r="B886" s="35" t="str">
        <f aca="false">IF($A886="","",IFERROR(INDEX(مخرج_البند,MATCH($A886,قائمة_المخرجات,0)),""))</f>
        <v/>
      </c>
      <c r="C886" s="30" t="str">
        <f aca="false">IF($A886="","",IFERROR(INDEX(مخرج_الوصف,MATCH($A886,قائمة_المخرجات,0)),""))</f>
        <v/>
      </c>
      <c r="D886" s="20"/>
      <c r="E886" s="31"/>
      <c r="F886" s="22"/>
      <c r="G886" s="36" t="str">
        <f aca="false">IF(OR($A886="",$D886&lt;&gt;"تسليم",NOT(ISNUMBER($E886))),"",COUNTIFS($A$5:$A$1504,$A886,$D$5:$D$1504,"تسليم",$E$5:$E$1504,"&lt;"&amp;$E886)+1)</f>
        <v/>
      </c>
      <c r="H886" s="33" t="str">
        <f aca="false">IF($G886="","",_xlfn.MINIFS($E$5:$E$1504,$A$5:$A$1504,$A886,$D$5:$D$1504,"&lt;&gt;تسليم",$E$5:$E$1504,"&gt;="&amp;$E886))</f>
        <v/>
      </c>
      <c r="I886" s="33" t="str">
        <f aca="false">IF($G886="","",_xlfn.MINIFS($E$5:$E$1504,$A$5:$A$1504,$A886,$D$5:$D$1504,"تسليم",$E$5:$E$1504,"&gt;"&amp;$E886))</f>
        <v/>
      </c>
      <c r="J886" s="33" t="str">
        <f aca="false">IF($G886="","",IF(H886&gt;0,IF(I886&gt;0,MIN(H886,I886),H886),IF(I886&gt;0,I886,تاريخ_الاحتساب)))</f>
        <v/>
      </c>
      <c r="K886" s="34" t="str">
        <f aca="false">IF($G886="","",IF(AND(H886=0,I886=0),"جارية","مغلقة"))</f>
        <v/>
      </c>
      <c r="L886" s="26" t="str">
        <f aca="false">IF($G886="","",MAX(0,NETWORKDAYS.INTL($E886,J886,رمز_العطلة,أيام_الأجازات)-1))</f>
        <v/>
      </c>
      <c r="M886" s="26" t="str">
        <f aca="false">IF($G886="","",MAX(0,L886-مهلة_المراجعة))</f>
        <v/>
      </c>
      <c r="N886" s="30" t="str">
        <f aca="false">IF($A886="",IF(OR($D886&lt;&gt;"",$E886&lt;&gt;""),"رقم المخرج ناقص",""),IF(ISNA(MATCH($A886,قائمة_المخرجات,0)),"رقم مخرج غير موجود",IF($D886="","نوع الحركة ناقص",IF(NOT(ISNUMBER($E886)),"التاريخ ناقص",IF($E886&gt;تاريخ_الاحتساب,"تاريخ بعد تاريخ الاحتساب",IF(AND($D886&lt;&gt;"تسليم",COUNTIFS($A$5:$A$1504,$A886,$D$5:$D$1504,"تسليم",$E$5:$E$1504,"&lt;="&amp;$E886)=0),"لا يوجد تسليم قبل الحركة دي",""))))))</f>
        <v/>
      </c>
    </row>
    <row r="887" customFormat="false" ht="15" hidden="false" customHeight="false" outlineLevel="0" collapsed="false">
      <c r="A887" s="20"/>
      <c r="B887" s="35" t="str">
        <f aca="false">IF($A887="","",IFERROR(INDEX(مخرج_البند,MATCH($A887,قائمة_المخرجات,0)),""))</f>
        <v/>
      </c>
      <c r="C887" s="30" t="str">
        <f aca="false">IF($A887="","",IFERROR(INDEX(مخرج_الوصف,MATCH($A887,قائمة_المخرجات,0)),""))</f>
        <v/>
      </c>
      <c r="D887" s="20"/>
      <c r="E887" s="31"/>
      <c r="F887" s="22"/>
      <c r="G887" s="36" t="str">
        <f aca="false">IF(OR($A887="",$D887&lt;&gt;"تسليم",NOT(ISNUMBER($E887))),"",COUNTIFS($A$5:$A$1504,$A887,$D$5:$D$1504,"تسليم",$E$5:$E$1504,"&lt;"&amp;$E887)+1)</f>
        <v/>
      </c>
      <c r="H887" s="33" t="str">
        <f aca="false">IF($G887="","",_xlfn.MINIFS($E$5:$E$1504,$A$5:$A$1504,$A887,$D$5:$D$1504,"&lt;&gt;تسليم",$E$5:$E$1504,"&gt;="&amp;$E887))</f>
        <v/>
      </c>
      <c r="I887" s="33" t="str">
        <f aca="false">IF($G887="","",_xlfn.MINIFS($E$5:$E$1504,$A$5:$A$1504,$A887,$D$5:$D$1504,"تسليم",$E$5:$E$1504,"&gt;"&amp;$E887))</f>
        <v/>
      </c>
      <c r="J887" s="33" t="str">
        <f aca="false">IF($G887="","",IF(H887&gt;0,IF(I887&gt;0,MIN(H887,I887),H887),IF(I887&gt;0,I887,تاريخ_الاحتساب)))</f>
        <v/>
      </c>
      <c r="K887" s="34" t="str">
        <f aca="false">IF($G887="","",IF(AND(H887=0,I887=0),"جارية","مغلقة"))</f>
        <v/>
      </c>
      <c r="L887" s="26" t="str">
        <f aca="false">IF($G887="","",MAX(0,NETWORKDAYS.INTL($E887,J887,رمز_العطلة,أيام_الأجازات)-1))</f>
        <v/>
      </c>
      <c r="M887" s="26" t="str">
        <f aca="false">IF($G887="","",MAX(0,L887-مهلة_المراجعة))</f>
        <v/>
      </c>
      <c r="N887" s="30" t="str">
        <f aca="false">IF($A887="",IF(OR($D887&lt;&gt;"",$E887&lt;&gt;""),"رقم المخرج ناقص",""),IF(ISNA(MATCH($A887,قائمة_المخرجات,0)),"رقم مخرج غير موجود",IF($D887="","نوع الحركة ناقص",IF(NOT(ISNUMBER($E887)),"التاريخ ناقص",IF($E887&gt;تاريخ_الاحتساب,"تاريخ بعد تاريخ الاحتساب",IF(AND($D887&lt;&gt;"تسليم",COUNTIFS($A$5:$A$1504,$A887,$D$5:$D$1504,"تسليم",$E$5:$E$1504,"&lt;="&amp;$E887)=0),"لا يوجد تسليم قبل الحركة دي",""))))))</f>
        <v/>
      </c>
    </row>
    <row r="888" customFormat="false" ht="15" hidden="false" customHeight="false" outlineLevel="0" collapsed="false">
      <c r="A888" s="20"/>
      <c r="B888" s="35" t="str">
        <f aca="false">IF($A888="","",IFERROR(INDEX(مخرج_البند,MATCH($A888,قائمة_المخرجات,0)),""))</f>
        <v/>
      </c>
      <c r="C888" s="30" t="str">
        <f aca="false">IF($A888="","",IFERROR(INDEX(مخرج_الوصف,MATCH($A888,قائمة_المخرجات,0)),""))</f>
        <v/>
      </c>
      <c r="D888" s="20"/>
      <c r="E888" s="31"/>
      <c r="F888" s="22"/>
      <c r="G888" s="36" t="str">
        <f aca="false">IF(OR($A888="",$D888&lt;&gt;"تسليم",NOT(ISNUMBER($E888))),"",COUNTIFS($A$5:$A$1504,$A888,$D$5:$D$1504,"تسليم",$E$5:$E$1504,"&lt;"&amp;$E888)+1)</f>
        <v/>
      </c>
      <c r="H888" s="33" t="str">
        <f aca="false">IF($G888="","",_xlfn.MINIFS($E$5:$E$1504,$A$5:$A$1504,$A888,$D$5:$D$1504,"&lt;&gt;تسليم",$E$5:$E$1504,"&gt;="&amp;$E888))</f>
        <v/>
      </c>
      <c r="I888" s="33" t="str">
        <f aca="false">IF($G888="","",_xlfn.MINIFS($E$5:$E$1504,$A$5:$A$1504,$A888,$D$5:$D$1504,"تسليم",$E$5:$E$1504,"&gt;"&amp;$E888))</f>
        <v/>
      </c>
      <c r="J888" s="33" t="str">
        <f aca="false">IF($G888="","",IF(H888&gt;0,IF(I888&gt;0,MIN(H888,I888),H888),IF(I888&gt;0,I888,تاريخ_الاحتساب)))</f>
        <v/>
      </c>
      <c r="K888" s="34" t="str">
        <f aca="false">IF($G888="","",IF(AND(H888=0,I888=0),"جارية","مغلقة"))</f>
        <v/>
      </c>
      <c r="L888" s="26" t="str">
        <f aca="false">IF($G888="","",MAX(0,NETWORKDAYS.INTL($E888,J888,رمز_العطلة,أيام_الأجازات)-1))</f>
        <v/>
      </c>
      <c r="M888" s="26" t="str">
        <f aca="false">IF($G888="","",MAX(0,L888-مهلة_المراجعة))</f>
        <v/>
      </c>
      <c r="N888" s="30" t="str">
        <f aca="false">IF($A888="",IF(OR($D888&lt;&gt;"",$E888&lt;&gt;""),"رقم المخرج ناقص",""),IF(ISNA(MATCH($A888,قائمة_المخرجات,0)),"رقم مخرج غير موجود",IF($D888="","نوع الحركة ناقص",IF(NOT(ISNUMBER($E888)),"التاريخ ناقص",IF($E888&gt;تاريخ_الاحتساب,"تاريخ بعد تاريخ الاحتساب",IF(AND($D888&lt;&gt;"تسليم",COUNTIFS($A$5:$A$1504,$A888,$D$5:$D$1504,"تسليم",$E$5:$E$1504,"&lt;="&amp;$E888)=0),"لا يوجد تسليم قبل الحركة دي",""))))))</f>
        <v/>
      </c>
    </row>
    <row r="889" customFormat="false" ht="15" hidden="false" customHeight="false" outlineLevel="0" collapsed="false">
      <c r="A889" s="20"/>
      <c r="B889" s="35" t="str">
        <f aca="false">IF($A889="","",IFERROR(INDEX(مخرج_البند,MATCH($A889,قائمة_المخرجات,0)),""))</f>
        <v/>
      </c>
      <c r="C889" s="30" t="str">
        <f aca="false">IF($A889="","",IFERROR(INDEX(مخرج_الوصف,MATCH($A889,قائمة_المخرجات,0)),""))</f>
        <v/>
      </c>
      <c r="D889" s="20"/>
      <c r="E889" s="31"/>
      <c r="F889" s="22"/>
      <c r="G889" s="36" t="str">
        <f aca="false">IF(OR($A889="",$D889&lt;&gt;"تسليم",NOT(ISNUMBER($E889))),"",COUNTIFS($A$5:$A$1504,$A889,$D$5:$D$1504,"تسليم",$E$5:$E$1504,"&lt;"&amp;$E889)+1)</f>
        <v/>
      </c>
      <c r="H889" s="33" t="str">
        <f aca="false">IF($G889="","",_xlfn.MINIFS($E$5:$E$1504,$A$5:$A$1504,$A889,$D$5:$D$1504,"&lt;&gt;تسليم",$E$5:$E$1504,"&gt;="&amp;$E889))</f>
        <v/>
      </c>
      <c r="I889" s="33" t="str">
        <f aca="false">IF($G889="","",_xlfn.MINIFS($E$5:$E$1504,$A$5:$A$1504,$A889,$D$5:$D$1504,"تسليم",$E$5:$E$1504,"&gt;"&amp;$E889))</f>
        <v/>
      </c>
      <c r="J889" s="33" t="str">
        <f aca="false">IF($G889="","",IF(H889&gt;0,IF(I889&gt;0,MIN(H889,I889),H889),IF(I889&gt;0,I889,تاريخ_الاحتساب)))</f>
        <v/>
      </c>
      <c r="K889" s="34" t="str">
        <f aca="false">IF($G889="","",IF(AND(H889=0,I889=0),"جارية","مغلقة"))</f>
        <v/>
      </c>
      <c r="L889" s="26" t="str">
        <f aca="false">IF($G889="","",MAX(0,NETWORKDAYS.INTL($E889,J889,رمز_العطلة,أيام_الأجازات)-1))</f>
        <v/>
      </c>
      <c r="M889" s="26" t="str">
        <f aca="false">IF($G889="","",MAX(0,L889-مهلة_المراجعة))</f>
        <v/>
      </c>
      <c r="N889" s="30" t="str">
        <f aca="false">IF($A889="",IF(OR($D889&lt;&gt;"",$E889&lt;&gt;""),"رقم المخرج ناقص",""),IF(ISNA(MATCH($A889,قائمة_المخرجات,0)),"رقم مخرج غير موجود",IF($D889="","نوع الحركة ناقص",IF(NOT(ISNUMBER($E889)),"التاريخ ناقص",IF($E889&gt;تاريخ_الاحتساب,"تاريخ بعد تاريخ الاحتساب",IF(AND($D889&lt;&gt;"تسليم",COUNTIFS($A$5:$A$1504,$A889,$D$5:$D$1504,"تسليم",$E$5:$E$1504,"&lt;="&amp;$E889)=0),"لا يوجد تسليم قبل الحركة دي",""))))))</f>
        <v/>
      </c>
    </row>
    <row r="890" customFormat="false" ht="15" hidden="false" customHeight="false" outlineLevel="0" collapsed="false">
      <c r="A890" s="20"/>
      <c r="B890" s="35" t="str">
        <f aca="false">IF($A890="","",IFERROR(INDEX(مخرج_البند,MATCH($A890,قائمة_المخرجات,0)),""))</f>
        <v/>
      </c>
      <c r="C890" s="30" t="str">
        <f aca="false">IF($A890="","",IFERROR(INDEX(مخرج_الوصف,MATCH($A890,قائمة_المخرجات,0)),""))</f>
        <v/>
      </c>
      <c r="D890" s="20"/>
      <c r="E890" s="31"/>
      <c r="F890" s="22"/>
      <c r="G890" s="36" t="str">
        <f aca="false">IF(OR($A890="",$D890&lt;&gt;"تسليم",NOT(ISNUMBER($E890))),"",COUNTIFS($A$5:$A$1504,$A890,$D$5:$D$1504,"تسليم",$E$5:$E$1504,"&lt;"&amp;$E890)+1)</f>
        <v/>
      </c>
      <c r="H890" s="33" t="str">
        <f aca="false">IF($G890="","",_xlfn.MINIFS($E$5:$E$1504,$A$5:$A$1504,$A890,$D$5:$D$1504,"&lt;&gt;تسليم",$E$5:$E$1504,"&gt;="&amp;$E890))</f>
        <v/>
      </c>
      <c r="I890" s="33" t="str">
        <f aca="false">IF($G890="","",_xlfn.MINIFS($E$5:$E$1504,$A$5:$A$1504,$A890,$D$5:$D$1504,"تسليم",$E$5:$E$1504,"&gt;"&amp;$E890))</f>
        <v/>
      </c>
      <c r="J890" s="33" t="str">
        <f aca="false">IF($G890="","",IF(H890&gt;0,IF(I890&gt;0,MIN(H890,I890),H890),IF(I890&gt;0,I890,تاريخ_الاحتساب)))</f>
        <v/>
      </c>
      <c r="K890" s="34" t="str">
        <f aca="false">IF($G890="","",IF(AND(H890=0,I890=0),"جارية","مغلقة"))</f>
        <v/>
      </c>
      <c r="L890" s="26" t="str">
        <f aca="false">IF($G890="","",MAX(0,NETWORKDAYS.INTL($E890,J890,رمز_العطلة,أيام_الأجازات)-1))</f>
        <v/>
      </c>
      <c r="M890" s="26" t="str">
        <f aca="false">IF($G890="","",MAX(0,L890-مهلة_المراجعة))</f>
        <v/>
      </c>
      <c r="N890" s="30" t="str">
        <f aca="false">IF($A890="",IF(OR($D890&lt;&gt;"",$E890&lt;&gt;""),"رقم المخرج ناقص",""),IF(ISNA(MATCH($A890,قائمة_المخرجات,0)),"رقم مخرج غير موجود",IF($D890="","نوع الحركة ناقص",IF(NOT(ISNUMBER($E890)),"التاريخ ناقص",IF($E890&gt;تاريخ_الاحتساب,"تاريخ بعد تاريخ الاحتساب",IF(AND($D890&lt;&gt;"تسليم",COUNTIFS($A$5:$A$1504,$A890,$D$5:$D$1504,"تسليم",$E$5:$E$1504,"&lt;="&amp;$E890)=0),"لا يوجد تسليم قبل الحركة دي",""))))))</f>
        <v/>
      </c>
    </row>
    <row r="891" customFormat="false" ht="15" hidden="false" customHeight="false" outlineLevel="0" collapsed="false">
      <c r="A891" s="20"/>
      <c r="B891" s="35" t="str">
        <f aca="false">IF($A891="","",IFERROR(INDEX(مخرج_البند,MATCH($A891,قائمة_المخرجات,0)),""))</f>
        <v/>
      </c>
      <c r="C891" s="30" t="str">
        <f aca="false">IF($A891="","",IFERROR(INDEX(مخرج_الوصف,MATCH($A891,قائمة_المخرجات,0)),""))</f>
        <v/>
      </c>
      <c r="D891" s="20"/>
      <c r="E891" s="31"/>
      <c r="F891" s="22"/>
      <c r="G891" s="36" t="str">
        <f aca="false">IF(OR($A891="",$D891&lt;&gt;"تسليم",NOT(ISNUMBER($E891))),"",COUNTIFS($A$5:$A$1504,$A891,$D$5:$D$1504,"تسليم",$E$5:$E$1504,"&lt;"&amp;$E891)+1)</f>
        <v/>
      </c>
      <c r="H891" s="33" t="str">
        <f aca="false">IF($G891="","",_xlfn.MINIFS($E$5:$E$1504,$A$5:$A$1504,$A891,$D$5:$D$1504,"&lt;&gt;تسليم",$E$5:$E$1504,"&gt;="&amp;$E891))</f>
        <v/>
      </c>
      <c r="I891" s="33" t="str">
        <f aca="false">IF($G891="","",_xlfn.MINIFS($E$5:$E$1504,$A$5:$A$1504,$A891,$D$5:$D$1504,"تسليم",$E$5:$E$1504,"&gt;"&amp;$E891))</f>
        <v/>
      </c>
      <c r="J891" s="33" t="str">
        <f aca="false">IF($G891="","",IF(H891&gt;0,IF(I891&gt;0,MIN(H891,I891),H891),IF(I891&gt;0,I891,تاريخ_الاحتساب)))</f>
        <v/>
      </c>
      <c r="K891" s="34" t="str">
        <f aca="false">IF($G891="","",IF(AND(H891=0,I891=0),"جارية","مغلقة"))</f>
        <v/>
      </c>
      <c r="L891" s="26" t="str">
        <f aca="false">IF($G891="","",MAX(0,NETWORKDAYS.INTL($E891,J891,رمز_العطلة,أيام_الأجازات)-1))</f>
        <v/>
      </c>
      <c r="M891" s="26" t="str">
        <f aca="false">IF($G891="","",MAX(0,L891-مهلة_المراجعة))</f>
        <v/>
      </c>
      <c r="N891" s="30" t="str">
        <f aca="false">IF($A891="",IF(OR($D891&lt;&gt;"",$E891&lt;&gt;""),"رقم المخرج ناقص",""),IF(ISNA(MATCH($A891,قائمة_المخرجات,0)),"رقم مخرج غير موجود",IF($D891="","نوع الحركة ناقص",IF(NOT(ISNUMBER($E891)),"التاريخ ناقص",IF($E891&gt;تاريخ_الاحتساب,"تاريخ بعد تاريخ الاحتساب",IF(AND($D891&lt;&gt;"تسليم",COUNTIFS($A$5:$A$1504,$A891,$D$5:$D$1504,"تسليم",$E$5:$E$1504,"&lt;="&amp;$E891)=0),"لا يوجد تسليم قبل الحركة دي",""))))))</f>
        <v/>
      </c>
    </row>
    <row r="892" customFormat="false" ht="15" hidden="false" customHeight="false" outlineLevel="0" collapsed="false">
      <c r="A892" s="20"/>
      <c r="B892" s="35" t="str">
        <f aca="false">IF($A892="","",IFERROR(INDEX(مخرج_البند,MATCH($A892,قائمة_المخرجات,0)),""))</f>
        <v/>
      </c>
      <c r="C892" s="30" t="str">
        <f aca="false">IF($A892="","",IFERROR(INDEX(مخرج_الوصف,MATCH($A892,قائمة_المخرجات,0)),""))</f>
        <v/>
      </c>
      <c r="D892" s="20"/>
      <c r="E892" s="31"/>
      <c r="F892" s="22"/>
      <c r="G892" s="36" t="str">
        <f aca="false">IF(OR($A892="",$D892&lt;&gt;"تسليم",NOT(ISNUMBER($E892))),"",COUNTIFS($A$5:$A$1504,$A892,$D$5:$D$1504,"تسليم",$E$5:$E$1504,"&lt;"&amp;$E892)+1)</f>
        <v/>
      </c>
      <c r="H892" s="33" t="str">
        <f aca="false">IF($G892="","",_xlfn.MINIFS($E$5:$E$1504,$A$5:$A$1504,$A892,$D$5:$D$1504,"&lt;&gt;تسليم",$E$5:$E$1504,"&gt;="&amp;$E892))</f>
        <v/>
      </c>
      <c r="I892" s="33" t="str">
        <f aca="false">IF($G892="","",_xlfn.MINIFS($E$5:$E$1504,$A$5:$A$1504,$A892,$D$5:$D$1504,"تسليم",$E$5:$E$1504,"&gt;"&amp;$E892))</f>
        <v/>
      </c>
      <c r="J892" s="33" t="str">
        <f aca="false">IF($G892="","",IF(H892&gt;0,IF(I892&gt;0,MIN(H892,I892),H892),IF(I892&gt;0,I892,تاريخ_الاحتساب)))</f>
        <v/>
      </c>
      <c r="K892" s="34" t="str">
        <f aca="false">IF($G892="","",IF(AND(H892=0,I892=0),"جارية","مغلقة"))</f>
        <v/>
      </c>
      <c r="L892" s="26" t="str">
        <f aca="false">IF($G892="","",MAX(0,NETWORKDAYS.INTL($E892,J892,رمز_العطلة,أيام_الأجازات)-1))</f>
        <v/>
      </c>
      <c r="M892" s="26" t="str">
        <f aca="false">IF($G892="","",MAX(0,L892-مهلة_المراجعة))</f>
        <v/>
      </c>
      <c r="N892" s="30" t="str">
        <f aca="false">IF($A892="",IF(OR($D892&lt;&gt;"",$E892&lt;&gt;""),"رقم المخرج ناقص",""),IF(ISNA(MATCH($A892,قائمة_المخرجات,0)),"رقم مخرج غير موجود",IF($D892="","نوع الحركة ناقص",IF(NOT(ISNUMBER($E892)),"التاريخ ناقص",IF($E892&gt;تاريخ_الاحتساب,"تاريخ بعد تاريخ الاحتساب",IF(AND($D892&lt;&gt;"تسليم",COUNTIFS($A$5:$A$1504,$A892,$D$5:$D$1504,"تسليم",$E$5:$E$1504,"&lt;="&amp;$E892)=0),"لا يوجد تسليم قبل الحركة دي",""))))))</f>
        <v/>
      </c>
    </row>
    <row r="893" customFormat="false" ht="15" hidden="false" customHeight="false" outlineLevel="0" collapsed="false">
      <c r="A893" s="20"/>
      <c r="B893" s="35" t="str">
        <f aca="false">IF($A893="","",IFERROR(INDEX(مخرج_البند,MATCH($A893,قائمة_المخرجات,0)),""))</f>
        <v/>
      </c>
      <c r="C893" s="30" t="str">
        <f aca="false">IF($A893="","",IFERROR(INDEX(مخرج_الوصف,MATCH($A893,قائمة_المخرجات,0)),""))</f>
        <v/>
      </c>
      <c r="D893" s="20"/>
      <c r="E893" s="31"/>
      <c r="F893" s="22"/>
      <c r="G893" s="36" t="str">
        <f aca="false">IF(OR($A893="",$D893&lt;&gt;"تسليم",NOT(ISNUMBER($E893))),"",COUNTIFS($A$5:$A$1504,$A893,$D$5:$D$1504,"تسليم",$E$5:$E$1504,"&lt;"&amp;$E893)+1)</f>
        <v/>
      </c>
      <c r="H893" s="33" t="str">
        <f aca="false">IF($G893="","",_xlfn.MINIFS($E$5:$E$1504,$A$5:$A$1504,$A893,$D$5:$D$1504,"&lt;&gt;تسليم",$E$5:$E$1504,"&gt;="&amp;$E893))</f>
        <v/>
      </c>
      <c r="I893" s="33" t="str">
        <f aca="false">IF($G893="","",_xlfn.MINIFS($E$5:$E$1504,$A$5:$A$1504,$A893,$D$5:$D$1504,"تسليم",$E$5:$E$1504,"&gt;"&amp;$E893))</f>
        <v/>
      </c>
      <c r="J893" s="33" t="str">
        <f aca="false">IF($G893="","",IF(H893&gt;0,IF(I893&gt;0,MIN(H893,I893),H893),IF(I893&gt;0,I893,تاريخ_الاحتساب)))</f>
        <v/>
      </c>
      <c r="K893" s="34" t="str">
        <f aca="false">IF($G893="","",IF(AND(H893=0,I893=0),"جارية","مغلقة"))</f>
        <v/>
      </c>
      <c r="L893" s="26" t="str">
        <f aca="false">IF($G893="","",MAX(0,NETWORKDAYS.INTL($E893,J893,رمز_العطلة,أيام_الأجازات)-1))</f>
        <v/>
      </c>
      <c r="M893" s="26" t="str">
        <f aca="false">IF($G893="","",MAX(0,L893-مهلة_المراجعة))</f>
        <v/>
      </c>
      <c r="N893" s="30" t="str">
        <f aca="false">IF($A893="",IF(OR($D893&lt;&gt;"",$E893&lt;&gt;""),"رقم المخرج ناقص",""),IF(ISNA(MATCH($A893,قائمة_المخرجات,0)),"رقم مخرج غير موجود",IF($D893="","نوع الحركة ناقص",IF(NOT(ISNUMBER($E893)),"التاريخ ناقص",IF($E893&gt;تاريخ_الاحتساب,"تاريخ بعد تاريخ الاحتساب",IF(AND($D893&lt;&gt;"تسليم",COUNTIFS($A$5:$A$1504,$A893,$D$5:$D$1504,"تسليم",$E$5:$E$1504,"&lt;="&amp;$E893)=0),"لا يوجد تسليم قبل الحركة دي",""))))))</f>
        <v/>
      </c>
    </row>
    <row r="894" customFormat="false" ht="15" hidden="false" customHeight="false" outlineLevel="0" collapsed="false">
      <c r="A894" s="20"/>
      <c r="B894" s="35" t="str">
        <f aca="false">IF($A894="","",IFERROR(INDEX(مخرج_البند,MATCH($A894,قائمة_المخرجات,0)),""))</f>
        <v/>
      </c>
      <c r="C894" s="30" t="str">
        <f aca="false">IF($A894="","",IFERROR(INDEX(مخرج_الوصف,MATCH($A894,قائمة_المخرجات,0)),""))</f>
        <v/>
      </c>
      <c r="D894" s="20"/>
      <c r="E894" s="31"/>
      <c r="F894" s="22"/>
      <c r="G894" s="36" t="str">
        <f aca="false">IF(OR($A894="",$D894&lt;&gt;"تسليم",NOT(ISNUMBER($E894))),"",COUNTIFS($A$5:$A$1504,$A894,$D$5:$D$1504,"تسليم",$E$5:$E$1504,"&lt;"&amp;$E894)+1)</f>
        <v/>
      </c>
      <c r="H894" s="33" t="str">
        <f aca="false">IF($G894="","",_xlfn.MINIFS($E$5:$E$1504,$A$5:$A$1504,$A894,$D$5:$D$1504,"&lt;&gt;تسليم",$E$5:$E$1504,"&gt;="&amp;$E894))</f>
        <v/>
      </c>
      <c r="I894" s="33" t="str">
        <f aca="false">IF($G894="","",_xlfn.MINIFS($E$5:$E$1504,$A$5:$A$1504,$A894,$D$5:$D$1504,"تسليم",$E$5:$E$1504,"&gt;"&amp;$E894))</f>
        <v/>
      </c>
      <c r="J894" s="33" t="str">
        <f aca="false">IF($G894="","",IF(H894&gt;0,IF(I894&gt;0,MIN(H894,I894),H894),IF(I894&gt;0,I894,تاريخ_الاحتساب)))</f>
        <v/>
      </c>
      <c r="K894" s="34" t="str">
        <f aca="false">IF($G894="","",IF(AND(H894=0,I894=0),"جارية","مغلقة"))</f>
        <v/>
      </c>
      <c r="L894" s="26" t="str">
        <f aca="false">IF($G894="","",MAX(0,NETWORKDAYS.INTL($E894,J894,رمز_العطلة,أيام_الأجازات)-1))</f>
        <v/>
      </c>
      <c r="M894" s="26" t="str">
        <f aca="false">IF($G894="","",MAX(0,L894-مهلة_المراجعة))</f>
        <v/>
      </c>
      <c r="N894" s="30" t="str">
        <f aca="false">IF($A894="",IF(OR($D894&lt;&gt;"",$E894&lt;&gt;""),"رقم المخرج ناقص",""),IF(ISNA(MATCH($A894,قائمة_المخرجات,0)),"رقم مخرج غير موجود",IF($D894="","نوع الحركة ناقص",IF(NOT(ISNUMBER($E894)),"التاريخ ناقص",IF($E894&gt;تاريخ_الاحتساب,"تاريخ بعد تاريخ الاحتساب",IF(AND($D894&lt;&gt;"تسليم",COUNTIFS($A$5:$A$1504,$A894,$D$5:$D$1504,"تسليم",$E$5:$E$1504,"&lt;="&amp;$E894)=0),"لا يوجد تسليم قبل الحركة دي",""))))))</f>
        <v/>
      </c>
    </row>
    <row r="895" customFormat="false" ht="15" hidden="false" customHeight="false" outlineLevel="0" collapsed="false">
      <c r="A895" s="20"/>
      <c r="B895" s="35" t="str">
        <f aca="false">IF($A895="","",IFERROR(INDEX(مخرج_البند,MATCH($A895,قائمة_المخرجات,0)),""))</f>
        <v/>
      </c>
      <c r="C895" s="30" t="str">
        <f aca="false">IF($A895="","",IFERROR(INDEX(مخرج_الوصف,MATCH($A895,قائمة_المخرجات,0)),""))</f>
        <v/>
      </c>
      <c r="D895" s="20"/>
      <c r="E895" s="31"/>
      <c r="F895" s="22"/>
      <c r="G895" s="36" t="str">
        <f aca="false">IF(OR($A895="",$D895&lt;&gt;"تسليم",NOT(ISNUMBER($E895))),"",COUNTIFS($A$5:$A$1504,$A895,$D$5:$D$1504,"تسليم",$E$5:$E$1504,"&lt;"&amp;$E895)+1)</f>
        <v/>
      </c>
      <c r="H895" s="33" t="str">
        <f aca="false">IF($G895="","",_xlfn.MINIFS($E$5:$E$1504,$A$5:$A$1504,$A895,$D$5:$D$1504,"&lt;&gt;تسليم",$E$5:$E$1504,"&gt;="&amp;$E895))</f>
        <v/>
      </c>
      <c r="I895" s="33" t="str">
        <f aca="false">IF($G895="","",_xlfn.MINIFS($E$5:$E$1504,$A$5:$A$1504,$A895,$D$5:$D$1504,"تسليم",$E$5:$E$1504,"&gt;"&amp;$E895))</f>
        <v/>
      </c>
      <c r="J895" s="33" t="str">
        <f aca="false">IF($G895="","",IF(H895&gt;0,IF(I895&gt;0,MIN(H895,I895),H895),IF(I895&gt;0,I895,تاريخ_الاحتساب)))</f>
        <v/>
      </c>
      <c r="K895" s="34" t="str">
        <f aca="false">IF($G895="","",IF(AND(H895=0,I895=0),"جارية","مغلقة"))</f>
        <v/>
      </c>
      <c r="L895" s="26" t="str">
        <f aca="false">IF($G895="","",MAX(0,NETWORKDAYS.INTL($E895,J895,رمز_العطلة,أيام_الأجازات)-1))</f>
        <v/>
      </c>
      <c r="M895" s="26" t="str">
        <f aca="false">IF($G895="","",MAX(0,L895-مهلة_المراجعة))</f>
        <v/>
      </c>
      <c r="N895" s="30" t="str">
        <f aca="false">IF($A895="",IF(OR($D895&lt;&gt;"",$E895&lt;&gt;""),"رقم المخرج ناقص",""),IF(ISNA(MATCH($A895,قائمة_المخرجات,0)),"رقم مخرج غير موجود",IF($D895="","نوع الحركة ناقص",IF(NOT(ISNUMBER($E895)),"التاريخ ناقص",IF($E895&gt;تاريخ_الاحتساب,"تاريخ بعد تاريخ الاحتساب",IF(AND($D895&lt;&gt;"تسليم",COUNTIFS($A$5:$A$1504,$A895,$D$5:$D$1504,"تسليم",$E$5:$E$1504,"&lt;="&amp;$E895)=0),"لا يوجد تسليم قبل الحركة دي",""))))))</f>
        <v/>
      </c>
    </row>
    <row r="896" customFormat="false" ht="15" hidden="false" customHeight="false" outlineLevel="0" collapsed="false">
      <c r="A896" s="20"/>
      <c r="B896" s="35" t="str">
        <f aca="false">IF($A896="","",IFERROR(INDEX(مخرج_البند,MATCH($A896,قائمة_المخرجات,0)),""))</f>
        <v/>
      </c>
      <c r="C896" s="30" t="str">
        <f aca="false">IF($A896="","",IFERROR(INDEX(مخرج_الوصف,MATCH($A896,قائمة_المخرجات,0)),""))</f>
        <v/>
      </c>
      <c r="D896" s="20"/>
      <c r="E896" s="31"/>
      <c r="F896" s="22"/>
      <c r="G896" s="36" t="str">
        <f aca="false">IF(OR($A896="",$D896&lt;&gt;"تسليم",NOT(ISNUMBER($E896))),"",COUNTIFS($A$5:$A$1504,$A896,$D$5:$D$1504,"تسليم",$E$5:$E$1504,"&lt;"&amp;$E896)+1)</f>
        <v/>
      </c>
      <c r="H896" s="33" t="str">
        <f aca="false">IF($G896="","",_xlfn.MINIFS($E$5:$E$1504,$A$5:$A$1504,$A896,$D$5:$D$1504,"&lt;&gt;تسليم",$E$5:$E$1504,"&gt;="&amp;$E896))</f>
        <v/>
      </c>
      <c r="I896" s="33" t="str">
        <f aca="false">IF($G896="","",_xlfn.MINIFS($E$5:$E$1504,$A$5:$A$1504,$A896,$D$5:$D$1504,"تسليم",$E$5:$E$1504,"&gt;"&amp;$E896))</f>
        <v/>
      </c>
      <c r="J896" s="33" t="str">
        <f aca="false">IF($G896="","",IF(H896&gt;0,IF(I896&gt;0,MIN(H896,I896),H896),IF(I896&gt;0,I896,تاريخ_الاحتساب)))</f>
        <v/>
      </c>
      <c r="K896" s="34" t="str">
        <f aca="false">IF($G896="","",IF(AND(H896=0,I896=0),"جارية","مغلقة"))</f>
        <v/>
      </c>
      <c r="L896" s="26" t="str">
        <f aca="false">IF($G896="","",MAX(0,NETWORKDAYS.INTL($E896,J896,رمز_العطلة,أيام_الأجازات)-1))</f>
        <v/>
      </c>
      <c r="M896" s="26" t="str">
        <f aca="false">IF($G896="","",MAX(0,L896-مهلة_المراجعة))</f>
        <v/>
      </c>
      <c r="N896" s="30" t="str">
        <f aca="false">IF($A896="",IF(OR($D896&lt;&gt;"",$E896&lt;&gt;""),"رقم المخرج ناقص",""),IF(ISNA(MATCH($A896,قائمة_المخرجات,0)),"رقم مخرج غير موجود",IF($D896="","نوع الحركة ناقص",IF(NOT(ISNUMBER($E896)),"التاريخ ناقص",IF($E896&gt;تاريخ_الاحتساب,"تاريخ بعد تاريخ الاحتساب",IF(AND($D896&lt;&gt;"تسليم",COUNTIFS($A$5:$A$1504,$A896,$D$5:$D$1504,"تسليم",$E$5:$E$1504,"&lt;="&amp;$E896)=0),"لا يوجد تسليم قبل الحركة دي",""))))))</f>
        <v/>
      </c>
    </row>
    <row r="897" customFormat="false" ht="15" hidden="false" customHeight="false" outlineLevel="0" collapsed="false">
      <c r="A897" s="20"/>
      <c r="B897" s="35" t="str">
        <f aca="false">IF($A897="","",IFERROR(INDEX(مخرج_البند,MATCH($A897,قائمة_المخرجات,0)),""))</f>
        <v/>
      </c>
      <c r="C897" s="30" t="str">
        <f aca="false">IF($A897="","",IFERROR(INDEX(مخرج_الوصف,MATCH($A897,قائمة_المخرجات,0)),""))</f>
        <v/>
      </c>
      <c r="D897" s="20"/>
      <c r="E897" s="31"/>
      <c r="F897" s="22"/>
      <c r="G897" s="36" t="str">
        <f aca="false">IF(OR($A897="",$D897&lt;&gt;"تسليم",NOT(ISNUMBER($E897))),"",COUNTIFS($A$5:$A$1504,$A897,$D$5:$D$1504,"تسليم",$E$5:$E$1504,"&lt;"&amp;$E897)+1)</f>
        <v/>
      </c>
      <c r="H897" s="33" t="str">
        <f aca="false">IF($G897="","",_xlfn.MINIFS($E$5:$E$1504,$A$5:$A$1504,$A897,$D$5:$D$1504,"&lt;&gt;تسليم",$E$5:$E$1504,"&gt;="&amp;$E897))</f>
        <v/>
      </c>
      <c r="I897" s="33" t="str">
        <f aca="false">IF($G897="","",_xlfn.MINIFS($E$5:$E$1504,$A$5:$A$1504,$A897,$D$5:$D$1504,"تسليم",$E$5:$E$1504,"&gt;"&amp;$E897))</f>
        <v/>
      </c>
      <c r="J897" s="33" t="str">
        <f aca="false">IF($G897="","",IF(H897&gt;0,IF(I897&gt;0,MIN(H897,I897),H897),IF(I897&gt;0,I897,تاريخ_الاحتساب)))</f>
        <v/>
      </c>
      <c r="K897" s="34" t="str">
        <f aca="false">IF($G897="","",IF(AND(H897=0,I897=0),"جارية","مغلقة"))</f>
        <v/>
      </c>
      <c r="L897" s="26" t="str">
        <f aca="false">IF($G897="","",MAX(0,NETWORKDAYS.INTL($E897,J897,رمز_العطلة,أيام_الأجازات)-1))</f>
        <v/>
      </c>
      <c r="M897" s="26" t="str">
        <f aca="false">IF($G897="","",MAX(0,L897-مهلة_المراجعة))</f>
        <v/>
      </c>
      <c r="N897" s="30" t="str">
        <f aca="false">IF($A897="",IF(OR($D897&lt;&gt;"",$E897&lt;&gt;""),"رقم المخرج ناقص",""),IF(ISNA(MATCH($A897,قائمة_المخرجات,0)),"رقم مخرج غير موجود",IF($D897="","نوع الحركة ناقص",IF(NOT(ISNUMBER($E897)),"التاريخ ناقص",IF($E897&gt;تاريخ_الاحتساب,"تاريخ بعد تاريخ الاحتساب",IF(AND($D897&lt;&gt;"تسليم",COUNTIFS($A$5:$A$1504,$A897,$D$5:$D$1504,"تسليم",$E$5:$E$1504,"&lt;="&amp;$E897)=0),"لا يوجد تسليم قبل الحركة دي",""))))))</f>
        <v/>
      </c>
    </row>
    <row r="898" customFormat="false" ht="15" hidden="false" customHeight="false" outlineLevel="0" collapsed="false">
      <c r="A898" s="20"/>
      <c r="B898" s="35" t="str">
        <f aca="false">IF($A898="","",IFERROR(INDEX(مخرج_البند,MATCH($A898,قائمة_المخرجات,0)),""))</f>
        <v/>
      </c>
      <c r="C898" s="30" t="str">
        <f aca="false">IF($A898="","",IFERROR(INDEX(مخرج_الوصف,MATCH($A898,قائمة_المخرجات,0)),""))</f>
        <v/>
      </c>
      <c r="D898" s="20"/>
      <c r="E898" s="31"/>
      <c r="F898" s="22"/>
      <c r="G898" s="36" t="str">
        <f aca="false">IF(OR($A898="",$D898&lt;&gt;"تسليم",NOT(ISNUMBER($E898))),"",COUNTIFS($A$5:$A$1504,$A898,$D$5:$D$1504,"تسليم",$E$5:$E$1504,"&lt;"&amp;$E898)+1)</f>
        <v/>
      </c>
      <c r="H898" s="33" t="str">
        <f aca="false">IF($G898="","",_xlfn.MINIFS($E$5:$E$1504,$A$5:$A$1504,$A898,$D$5:$D$1504,"&lt;&gt;تسليم",$E$5:$E$1504,"&gt;="&amp;$E898))</f>
        <v/>
      </c>
      <c r="I898" s="33" t="str">
        <f aca="false">IF($G898="","",_xlfn.MINIFS($E$5:$E$1504,$A$5:$A$1504,$A898,$D$5:$D$1504,"تسليم",$E$5:$E$1504,"&gt;"&amp;$E898))</f>
        <v/>
      </c>
      <c r="J898" s="33" t="str">
        <f aca="false">IF($G898="","",IF(H898&gt;0,IF(I898&gt;0,MIN(H898,I898),H898),IF(I898&gt;0,I898,تاريخ_الاحتساب)))</f>
        <v/>
      </c>
      <c r="K898" s="34" t="str">
        <f aca="false">IF($G898="","",IF(AND(H898=0,I898=0),"جارية","مغلقة"))</f>
        <v/>
      </c>
      <c r="L898" s="26" t="str">
        <f aca="false">IF($G898="","",MAX(0,NETWORKDAYS.INTL($E898,J898,رمز_العطلة,أيام_الأجازات)-1))</f>
        <v/>
      </c>
      <c r="M898" s="26" t="str">
        <f aca="false">IF($G898="","",MAX(0,L898-مهلة_المراجعة))</f>
        <v/>
      </c>
      <c r="N898" s="30" t="str">
        <f aca="false">IF($A898="",IF(OR($D898&lt;&gt;"",$E898&lt;&gt;""),"رقم المخرج ناقص",""),IF(ISNA(MATCH($A898,قائمة_المخرجات,0)),"رقم مخرج غير موجود",IF($D898="","نوع الحركة ناقص",IF(NOT(ISNUMBER($E898)),"التاريخ ناقص",IF($E898&gt;تاريخ_الاحتساب,"تاريخ بعد تاريخ الاحتساب",IF(AND($D898&lt;&gt;"تسليم",COUNTIFS($A$5:$A$1504,$A898,$D$5:$D$1504,"تسليم",$E$5:$E$1504,"&lt;="&amp;$E898)=0),"لا يوجد تسليم قبل الحركة دي",""))))))</f>
        <v/>
      </c>
    </row>
    <row r="899" customFormat="false" ht="15" hidden="false" customHeight="false" outlineLevel="0" collapsed="false">
      <c r="A899" s="20"/>
      <c r="B899" s="35" t="str">
        <f aca="false">IF($A899="","",IFERROR(INDEX(مخرج_البند,MATCH($A899,قائمة_المخرجات,0)),""))</f>
        <v/>
      </c>
      <c r="C899" s="30" t="str">
        <f aca="false">IF($A899="","",IFERROR(INDEX(مخرج_الوصف,MATCH($A899,قائمة_المخرجات,0)),""))</f>
        <v/>
      </c>
      <c r="D899" s="20"/>
      <c r="E899" s="31"/>
      <c r="F899" s="22"/>
      <c r="G899" s="36" t="str">
        <f aca="false">IF(OR($A899="",$D899&lt;&gt;"تسليم",NOT(ISNUMBER($E899))),"",COUNTIFS($A$5:$A$1504,$A899,$D$5:$D$1504,"تسليم",$E$5:$E$1504,"&lt;"&amp;$E899)+1)</f>
        <v/>
      </c>
      <c r="H899" s="33" t="str">
        <f aca="false">IF($G899="","",_xlfn.MINIFS($E$5:$E$1504,$A$5:$A$1504,$A899,$D$5:$D$1504,"&lt;&gt;تسليم",$E$5:$E$1504,"&gt;="&amp;$E899))</f>
        <v/>
      </c>
      <c r="I899" s="33" t="str">
        <f aca="false">IF($G899="","",_xlfn.MINIFS($E$5:$E$1504,$A$5:$A$1504,$A899,$D$5:$D$1504,"تسليم",$E$5:$E$1504,"&gt;"&amp;$E899))</f>
        <v/>
      </c>
      <c r="J899" s="33" t="str">
        <f aca="false">IF($G899="","",IF(H899&gt;0,IF(I899&gt;0,MIN(H899,I899),H899),IF(I899&gt;0,I899,تاريخ_الاحتساب)))</f>
        <v/>
      </c>
      <c r="K899" s="34" t="str">
        <f aca="false">IF($G899="","",IF(AND(H899=0,I899=0),"جارية","مغلقة"))</f>
        <v/>
      </c>
      <c r="L899" s="26" t="str">
        <f aca="false">IF($G899="","",MAX(0,NETWORKDAYS.INTL($E899,J899,رمز_العطلة,أيام_الأجازات)-1))</f>
        <v/>
      </c>
      <c r="M899" s="26" t="str">
        <f aca="false">IF($G899="","",MAX(0,L899-مهلة_المراجعة))</f>
        <v/>
      </c>
      <c r="N899" s="30" t="str">
        <f aca="false">IF($A899="",IF(OR($D899&lt;&gt;"",$E899&lt;&gt;""),"رقم المخرج ناقص",""),IF(ISNA(MATCH($A899,قائمة_المخرجات,0)),"رقم مخرج غير موجود",IF($D899="","نوع الحركة ناقص",IF(NOT(ISNUMBER($E899)),"التاريخ ناقص",IF($E899&gt;تاريخ_الاحتساب,"تاريخ بعد تاريخ الاحتساب",IF(AND($D899&lt;&gt;"تسليم",COUNTIFS($A$5:$A$1504,$A899,$D$5:$D$1504,"تسليم",$E$5:$E$1504,"&lt;="&amp;$E899)=0),"لا يوجد تسليم قبل الحركة دي",""))))))</f>
        <v/>
      </c>
    </row>
    <row r="900" customFormat="false" ht="15" hidden="false" customHeight="false" outlineLevel="0" collapsed="false">
      <c r="A900" s="20"/>
      <c r="B900" s="35" t="str">
        <f aca="false">IF($A900="","",IFERROR(INDEX(مخرج_البند,MATCH($A900,قائمة_المخرجات,0)),""))</f>
        <v/>
      </c>
      <c r="C900" s="30" t="str">
        <f aca="false">IF($A900="","",IFERROR(INDEX(مخرج_الوصف,MATCH($A900,قائمة_المخرجات,0)),""))</f>
        <v/>
      </c>
      <c r="D900" s="20"/>
      <c r="E900" s="31"/>
      <c r="F900" s="22"/>
      <c r="G900" s="36" t="str">
        <f aca="false">IF(OR($A900="",$D900&lt;&gt;"تسليم",NOT(ISNUMBER($E900))),"",COUNTIFS($A$5:$A$1504,$A900,$D$5:$D$1504,"تسليم",$E$5:$E$1504,"&lt;"&amp;$E900)+1)</f>
        <v/>
      </c>
      <c r="H900" s="33" t="str">
        <f aca="false">IF($G900="","",_xlfn.MINIFS($E$5:$E$1504,$A$5:$A$1504,$A900,$D$5:$D$1504,"&lt;&gt;تسليم",$E$5:$E$1504,"&gt;="&amp;$E900))</f>
        <v/>
      </c>
      <c r="I900" s="33" t="str">
        <f aca="false">IF($G900="","",_xlfn.MINIFS($E$5:$E$1504,$A$5:$A$1504,$A900,$D$5:$D$1504,"تسليم",$E$5:$E$1504,"&gt;"&amp;$E900))</f>
        <v/>
      </c>
      <c r="J900" s="33" t="str">
        <f aca="false">IF($G900="","",IF(H900&gt;0,IF(I900&gt;0,MIN(H900,I900),H900),IF(I900&gt;0,I900,تاريخ_الاحتساب)))</f>
        <v/>
      </c>
      <c r="K900" s="34" t="str">
        <f aca="false">IF($G900="","",IF(AND(H900=0,I900=0),"جارية","مغلقة"))</f>
        <v/>
      </c>
      <c r="L900" s="26" t="str">
        <f aca="false">IF($G900="","",MAX(0,NETWORKDAYS.INTL($E900,J900,رمز_العطلة,أيام_الأجازات)-1))</f>
        <v/>
      </c>
      <c r="M900" s="26" t="str">
        <f aca="false">IF($G900="","",MAX(0,L900-مهلة_المراجعة))</f>
        <v/>
      </c>
      <c r="N900" s="30" t="str">
        <f aca="false">IF($A900="",IF(OR($D900&lt;&gt;"",$E900&lt;&gt;""),"رقم المخرج ناقص",""),IF(ISNA(MATCH($A900,قائمة_المخرجات,0)),"رقم مخرج غير موجود",IF($D900="","نوع الحركة ناقص",IF(NOT(ISNUMBER($E900)),"التاريخ ناقص",IF($E900&gt;تاريخ_الاحتساب,"تاريخ بعد تاريخ الاحتساب",IF(AND($D900&lt;&gt;"تسليم",COUNTIFS($A$5:$A$1504,$A900,$D$5:$D$1504,"تسليم",$E$5:$E$1504,"&lt;="&amp;$E900)=0),"لا يوجد تسليم قبل الحركة دي",""))))))</f>
        <v/>
      </c>
    </row>
    <row r="901" customFormat="false" ht="15" hidden="false" customHeight="false" outlineLevel="0" collapsed="false">
      <c r="A901" s="20"/>
      <c r="B901" s="35" t="str">
        <f aca="false">IF($A901="","",IFERROR(INDEX(مخرج_البند,MATCH($A901,قائمة_المخرجات,0)),""))</f>
        <v/>
      </c>
      <c r="C901" s="30" t="str">
        <f aca="false">IF($A901="","",IFERROR(INDEX(مخرج_الوصف,MATCH($A901,قائمة_المخرجات,0)),""))</f>
        <v/>
      </c>
      <c r="D901" s="20"/>
      <c r="E901" s="31"/>
      <c r="F901" s="22"/>
      <c r="G901" s="36" t="str">
        <f aca="false">IF(OR($A901="",$D901&lt;&gt;"تسليم",NOT(ISNUMBER($E901))),"",COUNTIFS($A$5:$A$1504,$A901,$D$5:$D$1504,"تسليم",$E$5:$E$1504,"&lt;"&amp;$E901)+1)</f>
        <v/>
      </c>
      <c r="H901" s="33" t="str">
        <f aca="false">IF($G901="","",_xlfn.MINIFS($E$5:$E$1504,$A$5:$A$1504,$A901,$D$5:$D$1504,"&lt;&gt;تسليم",$E$5:$E$1504,"&gt;="&amp;$E901))</f>
        <v/>
      </c>
      <c r="I901" s="33" t="str">
        <f aca="false">IF($G901="","",_xlfn.MINIFS($E$5:$E$1504,$A$5:$A$1504,$A901,$D$5:$D$1504,"تسليم",$E$5:$E$1504,"&gt;"&amp;$E901))</f>
        <v/>
      </c>
      <c r="J901" s="33" t="str">
        <f aca="false">IF($G901="","",IF(H901&gt;0,IF(I901&gt;0,MIN(H901,I901),H901),IF(I901&gt;0,I901,تاريخ_الاحتساب)))</f>
        <v/>
      </c>
      <c r="K901" s="34" t="str">
        <f aca="false">IF($G901="","",IF(AND(H901=0,I901=0),"جارية","مغلقة"))</f>
        <v/>
      </c>
      <c r="L901" s="26" t="str">
        <f aca="false">IF($G901="","",MAX(0,NETWORKDAYS.INTL($E901,J901,رمز_العطلة,أيام_الأجازات)-1))</f>
        <v/>
      </c>
      <c r="M901" s="26" t="str">
        <f aca="false">IF($G901="","",MAX(0,L901-مهلة_المراجعة))</f>
        <v/>
      </c>
      <c r="N901" s="30" t="str">
        <f aca="false">IF($A901="",IF(OR($D901&lt;&gt;"",$E901&lt;&gt;""),"رقم المخرج ناقص",""),IF(ISNA(MATCH($A901,قائمة_المخرجات,0)),"رقم مخرج غير موجود",IF($D901="","نوع الحركة ناقص",IF(NOT(ISNUMBER($E901)),"التاريخ ناقص",IF($E901&gt;تاريخ_الاحتساب,"تاريخ بعد تاريخ الاحتساب",IF(AND($D901&lt;&gt;"تسليم",COUNTIFS($A$5:$A$1504,$A901,$D$5:$D$1504,"تسليم",$E$5:$E$1504,"&lt;="&amp;$E901)=0),"لا يوجد تسليم قبل الحركة دي",""))))))</f>
        <v/>
      </c>
    </row>
    <row r="902" customFormat="false" ht="15" hidden="false" customHeight="false" outlineLevel="0" collapsed="false">
      <c r="A902" s="20"/>
      <c r="B902" s="35" t="str">
        <f aca="false">IF($A902="","",IFERROR(INDEX(مخرج_البند,MATCH($A902,قائمة_المخرجات,0)),""))</f>
        <v/>
      </c>
      <c r="C902" s="30" t="str">
        <f aca="false">IF($A902="","",IFERROR(INDEX(مخرج_الوصف,MATCH($A902,قائمة_المخرجات,0)),""))</f>
        <v/>
      </c>
      <c r="D902" s="20"/>
      <c r="E902" s="31"/>
      <c r="F902" s="22"/>
      <c r="G902" s="36" t="str">
        <f aca="false">IF(OR($A902="",$D902&lt;&gt;"تسليم",NOT(ISNUMBER($E902))),"",COUNTIFS($A$5:$A$1504,$A902,$D$5:$D$1504,"تسليم",$E$5:$E$1504,"&lt;"&amp;$E902)+1)</f>
        <v/>
      </c>
      <c r="H902" s="33" t="str">
        <f aca="false">IF($G902="","",_xlfn.MINIFS($E$5:$E$1504,$A$5:$A$1504,$A902,$D$5:$D$1504,"&lt;&gt;تسليم",$E$5:$E$1504,"&gt;="&amp;$E902))</f>
        <v/>
      </c>
      <c r="I902" s="33" t="str">
        <f aca="false">IF($G902="","",_xlfn.MINIFS($E$5:$E$1504,$A$5:$A$1504,$A902,$D$5:$D$1504,"تسليم",$E$5:$E$1504,"&gt;"&amp;$E902))</f>
        <v/>
      </c>
      <c r="J902" s="33" t="str">
        <f aca="false">IF($G902="","",IF(H902&gt;0,IF(I902&gt;0,MIN(H902,I902),H902),IF(I902&gt;0,I902,تاريخ_الاحتساب)))</f>
        <v/>
      </c>
      <c r="K902" s="34" t="str">
        <f aca="false">IF($G902="","",IF(AND(H902=0,I902=0),"جارية","مغلقة"))</f>
        <v/>
      </c>
      <c r="L902" s="26" t="str">
        <f aca="false">IF($G902="","",MAX(0,NETWORKDAYS.INTL($E902,J902,رمز_العطلة,أيام_الأجازات)-1))</f>
        <v/>
      </c>
      <c r="M902" s="26" t="str">
        <f aca="false">IF($G902="","",MAX(0,L902-مهلة_المراجعة))</f>
        <v/>
      </c>
      <c r="N902" s="30" t="str">
        <f aca="false">IF($A902="",IF(OR($D902&lt;&gt;"",$E902&lt;&gt;""),"رقم المخرج ناقص",""),IF(ISNA(MATCH($A902,قائمة_المخرجات,0)),"رقم مخرج غير موجود",IF($D902="","نوع الحركة ناقص",IF(NOT(ISNUMBER($E902)),"التاريخ ناقص",IF($E902&gt;تاريخ_الاحتساب,"تاريخ بعد تاريخ الاحتساب",IF(AND($D902&lt;&gt;"تسليم",COUNTIFS($A$5:$A$1504,$A902,$D$5:$D$1504,"تسليم",$E$5:$E$1504,"&lt;="&amp;$E902)=0),"لا يوجد تسليم قبل الحركة دي",""))))))</f>
        <v/>
      </c>
    </row>
    <row r="903" customFormat="false" ht="15" hidden="false" customHeight="false" outlineLevel="0" collapsed="false">
      <c r="A903" s="20"/>
      <c r="B903" s="35" t="str">
        <f aca="false">IF($A903="","",IFERROR(INDEX(مخرج_البند,MATCH($A903,قائمة_المخرجات,0)),""))</f>
        <v/>
      </c>
      <c r="C903" s="30" t="str">
        <f aca="false">IF($A903="","",IFERROR(INDEX(مخرج_الوصف,MATCH($A903,قائمة_المخرجات,0)),""))</f>
        <v/>
      </c>
      <c r="D903" s="20"/>
      <c r="E903" s="31"/>
      <c r="F903" s="22"/>
      <c r="G903" s="36" t="str">
        <f aca="false">IF(OR($A903="",$D903&lt;&gt;"تسليم",NOT(ISNUMBER($E903))),"",COUNTIFS($A$5:$A$1504,$A903,$D$5:$D$1504,"تسليم",$E$5:$E$1504,"&lt;"&amp;$E903)+1)</f>
        <v/>
      </c>
      <c r="H903" s="33" t="str">
        <f aca="false">IF($G903="","",_xlfn.MINIFS($E$5:$E$1504,$A$5:$A$1504,$A903,$D$5:$D$1504,"&lt;&gt;تسليم",$E$5:$E$1504,"&gt;="&amp;$E903))</f>
        <v/>
      </c>
      <c r="I903" s="33" t="str">
        <f aca="false">IF($G903="","",_xlfn.MINIFS($E$5:$E$1504,$A$5:$A$1504,$A903,$D$5:$D$1504,"تسليم",$E$5:$E$1504,"&gt;"&amp;$E903))</f>
        <v/>
      </c>
      <c r="J903" s="33" t="str">
        <f aca="false">IF($G903="","",IF(H903&gt;0,IF(I903&gt;0,MIN(H903,I903),H903),IF(I903&gt;0,I903,تاريخ_الاحتساب)))</f>
        <v/>
      </c>
      <c r="K903" s="34" t="str">
        <f aca="false">IF($G903="","",IF(AND(H903=0,I903=0),"جارية","مغلقة"))</f>
        <v/>
      </c>
      <c r="L903" s="26" t="str">
        <f aca="false">IF($G903="","",MAX(0,NETWORKDAYS.INTL($E903,J903,رمز_العطلة,أيام_الأجازات)-1))</f>
        <v/>
      </c>
      <c r="M903" s="26" t="str">
        <f aca="false">IF($G903="","",MAX(0,L903-مهلة_المراجعة))</f>
        <v/>
      </c>
      <c r="N903" s="30" t="str">
        <f aca="false">IF($A903="",IF(OR($D903&lt;&gt;"",$E903&lt;&gt;""),"رقم المخرج ناقص",""),IF(ISNA(MATCH($A903,قائمة_المخرجات,0)),"رقم مخرج غير موجود",IF($D903="","نوع الحركة ناقص",IF(NOT(ISNUMBER($E903)),"التاريخ ناقص",IF($E903&gt;تاريخ_الاحتساب,"تاريخ بعد تاريخ الاحتساب",IF(AND($D903&lt;&gt;"تسليم",COUNTIFS($A$5:$A$1504,$A903,$D$5:$D$1504,"تسليم",$E$5:$E$1504,"&lt;="&amp;$E903)=0),"لا يوجد تسليم قبل الحركة دي",""))))))</f>
        <v/>
      </c>
    </row>
    <row r="904" customFormat="false" ht="15" hidden="false" customHeight="false" outlineLevel="0" collapsed="false">
      <c r="A904" s="20"/>
      <c r="B904" s="35" t="str">
        <f aca="false">IF($A904="","",IFERROR(INDEX(مخرج_البند,MATCH($A904,قائمة_المخرجات,0)),""))</f>
        <v/>
      </c>
      <c r="C904" s="30" t="str">
        <f aca="false">IF($A904="","",IFERROR(INDEX(مخرج_الوصف,MATCH($A904,قائمة_المخرجات,0)),""))</f>
        <v/>
      </c>
      <c r="D904" s="20"/>
      <c r="E904" s="31"/>
      <c r="F904" s="22"/>
      <c r="G904" s="36" t="str">
        <f aca="false">IF(OR($A904="",$D904&lt;&gt;"تسليم",NOT(ISNUMBER($E904))),"",COUNTIFS($A$5:$A$1504,$A904,$D$5:$D$1504,"تسليم",$E$5:$E$1504,"&lt;"&amp;$E904)+1)</f>
        <v/>
      </c>
      <c r="H904" s="33" t="str">
        <f aca="false">IF($G904="","",_xlfn.MINIFS($E$5:$E$1504,$A$5:$A$1504,$A904,$D$5:$D$1504,"&lt;&gt;تسليم",$E$5:$E$1504,"&gt;="&amp;$E904))</f>
        <v/>
      </c>
      <c r="I904" s="33" t="str">
        <f aca="false">IF($G904="","",_xlfn.MINIFS($E$5:$E$1504,$A$5:$A$1504,$A904,$D$5:$D$1504,"تسليم",$E$5:$E$1504,"&gt;"&amp;$E904))</f>
        <v/>
      </c>
      <c r="J904" s="33" t="str">
        <f aca="false">IF($G904="","",IF(H904&gt;0,IF(I904&gt;0,MIN(H904,I904),H904),IF(I904&gt;0,I904,تاريخ_الاحتساب)))</f>
        <v/>
      </c>
      <c r="K904" s="34" t="str">
        <f aca="false">IF($G904="","",IF(AND(H904=0,I904=0),"جارية","مغلقة"))</f>
        <v/>
      </c>
      <c r="L904" s="26" t="str">
        <f aca="false">IF($G904="","",MAX(0,NETWORKDAYS.INTL($E904,J904,رمز_العطلة,أيام_الأجازات)-1))</f>
        <v/>
      </c>
      <c r="M904" s="26" t="str">
        <f aca="false">IF($G904="","",MAX(0,L904-مهلة_المراجعة))</f>
        <v/>
      </c>
      <c r="N904" s="30" t="str">
        <f aca="false">IF($A904="",IF(OR($D904&lt;&gt;"",$E904&lt;&gt;""),"رقم المخرج ناقص",""),IF(ISNA(MATCH($A904,قائمة_المخرجات,0)),"رقم مخرج غير موجود",IF($D904="","نوع الحركة ناقص",IF(NOT(ISNUMBER($E904)),"التاريخ ناقص",IF($E904&gt;تاريخ_الاحتساب,"تاريخ بعد تاريخ الاحتساب",IF(AND($D904&lt;&gt;"تسليم",COUNTIFS($A$5:$A$1504,$A904,$D$5:$D$1504,"تسليم",$E$5:$E$1504,"&lt;="&amp;$E904)=0),"لا يوجد تسليم قبل الحركة دي",""))))))</f>
        <v/>
      </c>
    </row>
    <row r="905" customFormat="false" ht="15" hidden="false" customHeight="false" outlineLevel="0" collapsed="false">
      <c r="A905" s="20"/>
      <c r="B905" s="35" t="str">
        <f aca="false">IF($A905="","",IFERROR(INDEX(مخرج_البند,MATCH($A905,قائمة_المخرجات,0)),""))</f>
        <v/>
      </c>
      <c r="C905" s="30" t="str">
        <f aca="false">IF($A905="","",IFERROR(INDEX(مخرج_الوصف,MATCH($A905,قائمة_المخرجات,0)),""))</f>
        <v/>
      </c>
      <c r="D905" s="20"/>
      <c r="E905" s="31"/>
      <c r="F905" s="22"/>
      <c r="G905" s="36" t="str">
        <f aca="false">IF(OR($A905="",$D905&lt;&gt;"تسليم",NOT(ISNUMBER($E905))),"",COUNTIFS($A$5:$A$1504,$A905,$D$5:$D$1504,"تسليم",$E$5:$E$1504,"&lt;"&amp;$E905)+1)</f>
        <v/>
      </c>
      <c r="H905" s="33" t="str">
        <f aca="false">IF($G905="","",_xlfn.MINIFS($E$5:$E$1504,$A$5:$A$1504,$A905,$D$5:$D$1504,"&lt;&gt;تسليم",$E$5:$E$1504,"&gt;="&amp;$E905))</f>
        <v/>
      </c>
      <c r="I905" s="33" t="str">
        <f aca="false">IF($G905="","",_xlfn.MINIFS($E$5:$E$1504,$A$5:$A$1504,$A905,$D$5:$D$1504,"تسليم",$E$5:$E$1504,"&gt;"&amp;$E905))</f>
        <v/>
      </c>
      <c r="J905" s="33" t="str">
        <f aca="false">IF($G905="","",IF(H905&gt;0,IF(I905&gt;0,MIN(H905,I905),H905),IF(I905&gt;0,I905,تاريخ_الاحتساب)))</f>
        <v/>
      </c>
      <c r="K905" s="34" t="str">
        <f aca="false">IF($G905="","",IF(AND(H905=0,I905=0),"جارية","مغلقة"))</f>
        <v/>
      </c>
      <c r="L905" s="26" t="str">
        <f aca="false">IF($G905="","",MAX(0,NETWORKDAYS.INTL($E905,J905,رمز_العطلة,أيام_الأجازات)-1))</f>
        <v/>
      </c>
      <c r="M905" s="26" t="str">
        <f aca="false">IF($G905="","",MAX(0,L905-مهلة_المراجعة))</f>
        <v/>
      </c>
      <c r="N905" s="30" t="str">
        <f aca="false">IF($A905="",IF(OR($D905&lt;&gt;"",$E905&lt;&gt;""),"رقم المخرج ناقص",""),IF(ISNA(MATCH($A905,قائمة_المخرجات,0)),"رقم مخرج غير موجود",IF($D905="","نوع الحركة ناقص",IF(NOT(ISNUMBER($E905)),"التاريخ ناقص",IF($E905&gt;تاريخ_الاحتساب,"تاريخ بعد تاريخ الاحتساب",IF(AND($D905&lt;&gt;"تسليم",COUNTIFS($A$5:$A$1504,$A905,$D$5:$D$1504,"تسليم",$E$5:$E$1504,"&lt;="&amp;$E905)=0),"لا يوجد تسليم قبل الحركة دي",""))))))</f>
        <v/>
      </c>
    </row>
    <row r="906" customFormat="false" ht="15" hidden="false" customHeight="false" outlineLevel="0" collapsed="false">
      <c r="A906" s="20"/>
      <c r="B906" s="35" t="str">
        <f aca="false">IF($A906="","",IFERROR(INDEX(مخرج_البند,MATCH($A906,قائمة_المخرجات,0)),""))</f>
        <v/>
      </c>
      <c r="C906" s="30" t="str">
        <f aca="false">IF($A906="","",IFERROR(INDEX(مخرج_الوصف,MATCH($A906,قائمة_المخرجات,0)),""))</f>
        <v/>
      </c>
      <c r="D906" s="20"/>
      <c r="E906" s="31"/>
      <c r="F906" s="22"/>
      <c r="G906" s="36" t="str">
        <f aca="false">IF(OR($A906="",$D906&lt;&gt;"تسليم",NOT(ISNUMBER($E906))),"",COUNTIFS($A$5:$A$1504,$A906,$D$5:$D$1504,"تسليم",$E$5:$E$1504,"&lt;"&amp;$E906)+1)</f>
        <v/>
      </c>
      <c r="H906" s="33" t="str">
        <f aca="false">IF($G906="","",_xlfn.MINIFS($E$5:$E$1504,$A$5:$A$1504,$A906,$D$5:$D$1504,"&lt;&gt;تسليم",$E$5:$E$1504,"&gt;="&amp;$E906))</f>
        <v/>
      </c>
      <c r="I906" s="33" t="str">
        <f aca="false">IF($G906="","",_xlfn.MINIFS($E$5:$E$1504,$A$5:$A$1504,$A906,$D$5:$D$1504,"تسليم",$E$5:$E$1504,"&gt;"&amp;$E906))</f>
        <v/>
      </c>
      <c r="J906" s="33" t="str">
        <f aca="false">IF($G906="","",IF(H906&gt;0,IF(I906&gt;0,MIN(H906,I906),H906),IF(I906&gt;0,I906,تاريخ_الاحتساب)))</f>
        <v/>
      </c>
      <c r="K906" s="34" t="str">
        <f aca="false">IF($G906="","",IF(AND(H906=0,I906=0),"جارية","مغلقة"))</f>
        <v/>
      </c>
      <c r="L906" s="26" t="str">
        <f aca="false">IF($G906="","",MAX(0,NETWORKDAYS.INTL($E906,J906,رمز_العطلة,أيام_الأجازات)-1))</f>
        <v/>
      </c>
      <c r="M906" s="26" t="str">
        <f aca="false">IF($G906="","",MAX(0,L906-مهلة_المراجعة))</f>
        <v/>
      </c>
      <c r="N906" s="30" t="str">
        <f aca="false">IF($A906="",IF(OR($D906&lt;&gt;"",$E906&lt;&gt;""),"رقم المخرج ناقص",""),IF(ISNA(MATCH($A906,قائمة_المخرجات,0)),"رقم مخرج غير موجود",IF($D906="","نوع الحركة ناقص",IF(NOT(ISNUMBER($E906)),"التاريخ ناقص",IF($E906&gt;تاريخ_الاحتساب,"تاريخ بعد تاريخ الاحتساب",IF(AND($D906&lt;&gt;"تسليم",COUNTIFS($A$5:$A$1504,$A906,$D$5:$D$1504,"تسليم",$E$5:$E$1504,"&lt;="&amp;$E906)=0),"لا يوجد تسليم قبل الحركة دي",""))))))</f>
        <v/>
      </c>
    </row>
    <row r="907" customFormat="false" ht="15" hidden="false" customHeight="false" outlineLevel="0" collapsed="false">
      <c r="A907" s="20"/>
      <c r="B907" s="35" t="str">
        <f aca="false">IF($A907="","",IFERROR(INDEX(مخرج_البند,MATCH($A907,قائمة_المخرجات,0)),""))</f>
        <v/>
      </c>
      <c r="C907" s="30" t="str">
        <f aca="false">IF($A907="","",IFERROR(INDEX(مخرج_الوصف,MATCH($A907,قائمة_المخرجات,0)),""))</f>
        <v/>
      </c>
      <c r="D907" s="20"/>
      <c r="E907" s="31"/>
      <c r="F907" s="22"/>
      <c r="G907" s="36" t="str">
        <f aca="false">IF(OR($A907="",$D907&lt;&gt;"تسليم",NOT(ISNUMBER($E907))),"",COUNTIFS($A$5:$A$1504,$A907,$D$5:$D$1504,"تسليم",$E$5:$E$1504,"&lt;"&amp;$E907)+1)</f>
        <v/>
      </c>
      <c r="H907" s="33" t="str">
        <f aca="false">IF($G907="","",_xlfn.MINIFS($E$5:$E$1504,$A$5:$A$1504,$A907,$D$5:$D$1504,"&lt;&gt;تسليم",$E$5:$E$1504,"&gt;="&amp;$E907))</f>
        <v/>
      </c>
      <c r="I907" s="33" t="str">
        <f aca="false">IF($G907="","",_xlfn.MINIFS($E$5:$E$1504,$A$5:$A$1504,$A907,$D$5:$D$1504,"تسليم",$E$5:$E$1504,"&gt;"&amp;$E907))</f>
        <v/>
      </c>
      <c r="J907" s="33" t="str">
        <f aca="false">IF($G907="","",IF(H907&gt;0,IF(I907&gt;0,MIN(H907,I907),H907),IF(I907&gt;0,I907,تاريخ_الاحتساب)))</f>
        <v/>
      </c>
      <c r="K907" s="34" t="str">
        <f aca="false">IF($G907="","",IF(AND(H907=0,I907=0),"جارية","مغلقة"))</f>
        <v/>
      </c>
      <c r="L907" s="26" t="str">
        <f aca="false">IF($G907="","",MAX(0,NETWORKDAYS.INTL($E907,J907,رمز_العطلة,أيام_الأجازات)-1))</f>
        <v/>
      </c>
      <c r="M907" s="26" t="str">
        <f aca="false">IF($G907="","",MAX(0,L907-مهلة_المراجعة))</f>
        <v/>
      </c>
      <c r="N907" s="30" t="str">
        <f aca="false">IF($A907="",IF(OR($D907&lt;&gt;"",$E907&lt;&gt;""),"رقم المخرج ناقص",""),IF(ISNA(MATCH($A907,قائمة_المخرجات,0)),"رقم مخرج غير موجود",IF($D907="","نوع الحركة ناقص",IF(NOT(ISNUMBER($E907)),"التاريخ ناقص",IF($E907&gt;تاريخ_الاحتساب,"تاريخ بعد تاريخ الاحتساب",IF(AND($D907&lt;&gt;"تسليم",COUNTIFS($A$5:$A$1504,$A907,$D$5:$D$1504,"تسليم",$E$5:$E$1504,"&lt;="&amp;$E907)=0),"لا يوجد تسليم قبل الحركة دي",""))))))</f>
        <v/>
      </c>
    </row>
    <row r="908" customFormat="false" ht="15" hidden="false" customHeight="false" outlineLevel="0" collapsed="false">
      <c r="A908" s="20"/>
      <c r="B908" s="35" t="str">
        <f aca="false">IF($A908="","",IFERROR(INDEX(مخرج_البند,MATCH($A908,قائمة_المخرجات,0)),""))</f>
        <v/>
      </c>
      <c r="C908" s="30" t="str">
        <f aca="false">IF($A908="","",IFERROR(INDEX(مخرج_الوصف,MATCH($A908,قائمة_المخرجات,0)),""))</f>
        <v/>
      </c>
      <c r="D908" s="20"/>
      <c r="E908" s="31"/>
      <c r="F908" s="22"/>
      <c r="G908" s="36" t="str">
        <f aca="false">IF(OR($A908="",$D908&lt;&gt;"تسليم",NOT(ISNUMBER($E908))),"",COUNTIFS($A$5:$A$1504,$A908,$D$5:$D$1504,"تسليم",$E$5:$E$1504,"&lt;"&amp;$E908)+1)</f>
        <v/>
      </c>
      <c r="H908" s="33" t="str">
        <f aca="false">IF($G908="","",_xlfn.MINIFS($E$5:$E$1504,$A$5:$A$1504,$A908,$D$5:$D$1504,"&lt;&gt;تسليم",$E$5:$E$1504,"&gt;="&amp;$E908))</f>
        <v/>
      </c>
      <c r="I908" s="33" t="str">
        <f aca="false">IF($G908="","",_xlfn.MINIFS($E$5:$E$1504,$A$5:$A$1504,$A908,$D$5:$D$1504,"تسليم",$E$5:$E$1504,"&gt;"&amp;$E908))</f>
        <v/>
      </c>
      <c r="J908" s="33" t="str">
        <f aca="false">IF($G908="","",IF(H908&gt;0,IF(I908&gt;0,MIN(H908,I908),H908),IF(I908&gt;0,I908,تاريخ_الاحتساب)))</f>
        <v/>
      </c>
      <c r="K908" s="34" t="str">
        <f aca="false">IF($G908="","",IF(AND(H908=0,I908=0),"جارية","مغلقة"))</f>
        <v/>
      </c>
      <c r="L908" s="26" t="str">
        <f aca="false">IF($G908="","",MAX(0,NETWORKDAYS.INTL($E908,J908,رمز_العطلة,أيام_الأجازات)-1))</f>
        <v/>
      </c>
      <c r="M908" s="26" t="str">
        <f aca="false">IF($G908="","",MAX(0,L908-مهلة_المراجعة))</f>
        <v/>
      </c>
      <c r="N908" s="30" t="str">
        <f aca="false">IF($A908="",IF(OR($D908&lt;&gt;"",$E908&lt;&gt;""),"رقم المخرج ناقص",""),IF(ISNA(MATCH($A908,قائمة_المخرجات,0)),"رقم مخرج غير موجود",IF($D908="","نوع الحركة ناقص",IF(NOT(ISNUMBER($E908)),"التاريخ ناقص",IF($E908&gt;تاريخ_الاحتساب,"تاريخ بعد تاريخ الاحتساب",IF(AND($D908&lt;&gt;"تسليم",COUNTIFS($A$5:$A$1504,$A908,$D$5:$D$1504,"تسليم",$E$5:$E$1504,"&lt;="&amp;$E908)=0),"لا يوجد تسليم قبل الحركة دي",""))))))</f>
        <v/>
      </c>
    </row>
    <row r="909" customFormat="false" ht="15" hidden="false" customHeight="false" outlineLevel="0" collapsed="false">
      <c r="A909" s="20"/>
      <c r="B909" s="35" t="str">
        <f aca="false">IF($A909="","",IFERROR(INDEX(مخرج_البند,MATCH($A909,قائمة_المخرجات,0)),""))</f>
        <v/>
      </c>
      <c r="C909" s="30" t="str">
        <f aca="false">IF($A909="","",IFERROR(INDEX(مخرج_الوصف,MATCH($A909,قائمة_المخرجات,0)),""))</f>
        <v/>
      </c>
      <c r="D909" s="20"/>
      <c r="E909" s="31"/>
      <c r="F909" s="22"/>
      <c r="G909" s="36" t="str">
        <f aca="false">IF(OR($A909="",$D909&lt;&gt;"تسليم",NOT(ISNUMBER($E909))),"",COUNTIFS($A$5:$A$1504,$A909,$D$5:$D$1504,"تسليم",$E$5:$E$1504,"&lt;"&amp;$E909)+1)</f>
        <v/>
      </c>
      <c r="H909" s="33" t="str">
        <f aca="false">IF($G909="","",_xlfn.MINIFS($E$5:$E$1504,$A$5:$A$1504,$A909,$D$5:$D$1504,"&lt;&gt;تسليم",$E$5:$E$1504,"&gt;="&amp;$E909))</f>
        <v/>
      </c>
      <c r="I909" s="33" t="str">
        <f aca="false">IF($G909="","",_xlfn.MINIFS($E$5:$E$1504,$A$5:$A$1504,$A909,$D$5:$D$1504,"تسليم",$E$5:$E$1504,"&gt;"&amp;$E909))</f>
        <v/>
      </c>
      <c r="J909" s="33" t="str">
        <f aca="false">IF($G909="","",IF(H909&gt;0,IF(I909&gt;0,MIN(H909,I909),H909),IF(I909&gt;0,I909,تاريخ_الاحتساب)))</f>
        <v/>
      </c>
      <c r="K909" s="34" t="str">
        <f aca="false">IF($G909="","",IF(AND(H909=0,I909=0),"جارية","مغلقة"))</f>
        <v/>
      </c>
      <c r="L909" s="26" t="str">
        <f aca="false">IF($G909="","",MAX(0,NETWORKDAYS.INTL($E909,J909,رمز_العطلة,أيام_الأجازات)-1))</f>
        <v/>
      </c>
      <c r="M909" s="26" t="str">
        <f aca="false">IF($G909="","",MAX(0,L909-مهلة_المراجعة))</f>
        <v/>
      </c>
      <c r="N909" s="30" t="str">
        <f aca="false">IF($A909="",IF(OR($D909&lt;&gt;"",$E909&lt;&gt;""),"رقم المخرج ناقص",""),IF(ISNA(MATCH($A909,قائمة_المخرجات,0)),"رقم مخرج غير موجود",IF($D909="","نوع الحركة ناقص",IF(NOT(ISNUMBER($E909)),"التاريخ ناقص",IF($E909&gt;تاريخ_الاحتساب,"تاريخ بعد تاريخ الاحتساب",IF(AND($D909&lt;&gt;"تسليم",COUNTIFS($A$5:$A$1504,$A909,$D$5:$D$1504,"تسليم",$E$5:$E$1504,"&lt;="&amp;$E909)=0),"لا يوجد تسليم قبل الحركة دي",""))))))</f>
        <v/>
      </c>
    </row>
    <row r="910" customFormat="false" ht="15" hidden="false" customHeight="false" outlineLevel="0" collapsed="false">
      <c r="A910" s="20"/>
      <c r="B910" s="35" t="str">
        <f aca="false">IF($A910="","",IFERROR(INDEX(مخرج_البند,MATCH($A910,قائمة_المخرجات,0)),""))</f>
        <v/>
      </c>
      <c r="C910" s="30" t="str">
        <f aca="false">IF($A910="","",IFERROR(INDEX(مخرج_الوصف,MATCH($A910,قائمة_المخرجات,0)),""))</f>
        <v/>
      </c>
      <c r="D910" s="20"/>
      <c r="E910" s="31"/>
      <c r="F910" s="22"/>
      <c r="G910" s="36" t="str">
        <f aca="false">IF(OR($A910="",$D910&lt;&gt;"تسليم",NOT(ISNUMBER($E910))),"",COUNTIFS($A$5:$A$1504,$A910,$D$5:$D$1504,"تسليم",$E$5:$E$1504,"&lt;"&amp;$E910)+1)</f>
        <v/>
      </c>
      <c r="H910" s="33" t="str">
        <f aca="false">IF($G910="","",_xlfn.MINIFS($E$5:$E$1504,$A$5:$A$1504,$A910,$D$5:$D$1504,"&lt;&gt;تسليم",$E$5:$E$1504,"&gt;="&amp;$E910))</f>
        <v/>
      </c>
      <c r="I910" s="33" t="str">
        <f aca="false">IF($G910="","",_xlfn.MINIFS($E$5:$E$1504,$A$5:$A$1504,$A910,$D$5:$D$1504,"تسليم",$E$5:$E$1504,"&gt;"&amp;$E910))</f>
        <v/>
      </c>
      <c r="J910" s="33" t="str">
        <f aca="false">IF($G910="","",IF(H910&gt;0,IF(I910&gt;0,MIN(H910,I910),H910),IF(I910&gt;0,I910,تاريخ_الاحتساب)))</f>
        <v/>
      </c>
      <c r="K910" s="34" t="str">
        <f aca="false">IF($G910="","",IF(AND(H910=0,I910=0),"جارية","مغلقة"))</f>
        <v/>
      </c>
      <c r="L910" s="26" t="str">
        <f aca="false">IF($G910="","",MAX(0,NETWORKDAYS.INTL($E910,J910,رمز_العطلة,أيام_الأجازات)-1))</f>
        <v/>
      </c>
      <c r="M910" s="26" t="str">
        <f aca="false">IF($G910="","",MAX(0,L910-مهلة_المراجعة))</f>
        <v/>
      </c>
      <c r="N910" s="30" t="str">
        <f aca="false">IF($A910="",IF(OR($D910&lt;&gt;"",$E910&lt;&gt;""),"رقم المخرج ناقص",""),IF(ISNA(MATCH($A910,قائمة_المخرجات,0)),"رقم مخرج غير موجود",IF($D910="","نوع الحركة ناقص",IF(NOT(ISNUMBER($E910)),"التاريخ ناقص",IF($E910&gt;تاريخ_الاحتساب,"تاريخ بعد تاريخ الاحتساب",IF(AND($D910&lt;&gt;"تسليم",COUNTIFS($A$5:$A$1504,$A910,$D$5:$D$1504,"تسليم",$E$5:$E$1504,"&lt;="&amp;$E910)=0),"لا يوجد تسليم قبل الحركة دي",""))))))</f>
        <v/>
      </c>
    </row>
    <row r="911" customFormat="false" ht="15" hidden="false" customHeight="false" outlineLevel="0" collapsed="false">
      <c r="A911" s="20"/>
      <c r="B911" s="35" t="str">
        <f aca="false">IF($A911="","",IFERROR(INDEX(مخرج_البند,MATCH($A911,قائمة_المخرجات,0)),""))</f>
        <v/>
      </c>
      <c r="C911" s="30" t="str">
        <f aca="false">IF($A911="","",IFERROR(INDEX(مخرج_الوصف,MATCH($A911,قائمة_المخرجات,0)),""))</f>
        <v/>
      </c>
      <c r="D911" s="20"/>
      <c r="E911" s="31"/>
      <c r="F911" s="22"/>
      <c r="G911" s="36" t="str">
        <f aca="false">IF(OR($A911="",$D911&lt;&gt;"تسليم",NOT(ISNUMBER($E911))),"",COUNTIFS($A$5:$A$1504,$A911,$D$5:$D$1504,"تسليم",$E$5:$E$1504,"&lt;"&amp;$E911)+1)</f>
        <v/>
      </c>
      <c r="H911" s="33" t="str">
        <f aca="false">IF($G911="","",_xlfn.MINIFS($E$5:$E$1504,$A$5:$A$1504,$A911,$D$5:$D$1504,"&lt;&gt;تسليم",$E$5:$E$1504,"&gt;="&amp;$E911))</f>
        <v/>
      </c>
      <c r="I911" s="33" t="str">
        <f aca="false">IF($G911="","",_xlfn.MINIFS($E$5:$E$1504,$A$5:$A$1504,$A911,$D$5:$D$1504,"تسليم",$E$5:$E$1504,"&gt;"&amp;$E911))</f>
        <v/>
      </c>
      <c r="J911" s="33" t="str">
        <f aca="false">IF($G911="","",IF(H911&gt;0,IF(I911&gt;0,MIN(H911,I911),H911),IF(I911&gt;0,I911,تاريخ_الاحتساب)))</f>
        <v/>
      </c>
      <c r="K911" s="34" t="str">
        <f aca="false">IF($G911="","",IF(AND(H911=0,I911=0),"جارية","مغلقة"))</f>
        <v/>
      </c>
      <c r="L911" s="26" t="str">
        <f aca="false">IF($G911="","",MAX(0,NETWORKDAYS.INTL($E911,J911,رمز_العطلة,أيام_الأجازات)-1))</f>
        <v/>
      </c>
      <c r="M911" s="26" t="str">
        <f aca="false">IF($G911="","",MAX(0,L911-مهلة_المراجعة))</f>
        <v/>
      </c>
      <c r="N911" s="30" t="str">
        <f aca="false">IF($A911="",IF(OR($D911&lt;&gt;"",$E911&lt;&gt;""),"رقم المخرج ناقص",""),IF(ISNA(MATCH($A911,قائمة_المخرجات,0)),"رقم مخرج غير موجود",IF($D911="","نوع الحركة ناقص",IF(NOT(ISNUMBER($E911)),"التاريخ ناقص",IF($E911&gt;تاريخ_الاحتساب,"تاريخ بعد تاريخ الاحتساب",IF(AND($D911&lt;&gt;"تسليم",COUNTIFS($A$5:$A$1504,$A911,$D$5:$D$1504,"تسليم",$E$5:$E$1504,"&lt;="&amp;$E911)=0),"لا يوجد تسليم قبل الحركة دي",""))))))</f>
        <v/>
      </c>
    </row>
    <row r="912" customFormat="false" ht="15" hidden="false" customHeight="false" outlineLevel="0" collapsed="false">
      <c r="A912" s="20"/>
      <c r="B912" s="35" t="str">
        <f aca="false">IF($A912="","",IFERROR(INDEX(مخرج_البند,MATCH($A912,قائمة_المخرجات,0)),""))</f>
        <v/>
      </c>
      <c r="C912" s="30" t="str">
        <f aca="false">IF($A912="","",IFERROR(INDEX(مخرج_الوصف,MATCH($A912,قائمة_المخرجات,0)),""))</f>
        <v/>
      </c>
      <c r="D912" s="20"/>
      <c r="E912" s="31"/>
      <c r="F912" s="22"/>
      <c r="G912" s="36" t="str">
        <f aca="false">IF(OR($A912="",$D912&lt;&gt;"تسليم",NOT(ISNUMBER($E912))),"",COUNTIFS($A$5:$A$1504,$A912,$D$5:$D$1504,"تسليم",$E$5:$E$1504,"&lt;"&amp;$E912)+1)</f>
        <v/>
      </c>
      <c r="H912" s="33" t="str">
        <f aca="false">IF($G912="","",_xlfn.MINIFS($E$5:$E$1504,$A$5:$A$1504,$A912,$D$5:$D$1504,"&lt;&gt;تسليم",$E$5:$E$1504,"&gt;="&amp;$E912))</f>
        <v/>
      </c>
      <c r="I912" s="33" t="str">
        <f aca="false">IF($G912="","",_xlfn.MINIFS($E$5:$E$1504,$A$5:$A$1504,$A912,$D$5:$D$1504,"تسليم",$E$5:$E$1504,"&gt;"&amp;$E912))</f>
        <v/>
      </c>
      <c r="J912" s="33" t="str">
        <f aca="false">IF($G912="","",IF(H912&gt;0,IF(I912&gt;0,MIN(H912,I912),H912),IF(I912&gt;0,I912,تاريخ_الاحتساب)))</f>
        <v/>
      </c>
      <c r="K912" s="34" t="str">
        <f aca="false">IF($G912="","",IF(AND(H912=0,I912=0),"جارية","مغلقة"))</f>
        <v/>
      </c>
      <c r="L912" s="26" t="str">
        <f aca="false">IF($G912="","",MAX(0,NETWORKDAYS.INTL($E912,J912,رمز_العطلة,أيام_الأجازات)-1))</f>
        <v/>
      </c>
      <c r="M912" s="26" t="str">
        <f aca="false">IF($G912="","",MAX(0,L912-مهلة_المراجعة))</f>
        <v/>
      </c>
      <c r="N912" s="30" t="str">
        <f aca="false">IF($A912="",IF(OR($D912&lt;&gt;"",$E912&lt;&gt;""),"رقم المخرج ناقص",""),IF(ISNA(MATCH($A912,قائمة_المخرجات,0)),"رقم مخرج غير موجود",IF($D912="","نوع الحركة ناقص",IF(NOT(ISNUMBER($E912)),"التاريخ ناقص",IF($E912&gt;تاريخ_الاحتساب,"تاريخ بعد تاريخ الاحتساب",IF(AND($D912&lt;&gt;"تسليم",COUNTIFS($A$5:$A$1504,$A912,$D$5:$D$1504,"تسليم",$E$5:$E$1504,"&lt;="&amp;$E912)=0),"لا يوجد تسليم قبل الحركة دي",""))))))</f>
        <v/>
      </c>
    </row>
    <row r="913" customFormat="false" ht="15" hidden="false" customHeight="false" outlineLevel="0" collapsed="false">
      <c r="A913" s="20"/>
      <c r="B913" s="35" t="str">
        <f aca="false">IF($A913="","",IFERROR(INDEX(مخرج_البند,MATCH($A913,قائمة_المخرجات,0)),""))</f>
        <v/>
      </c>
      <c r="C913" s="30" t="str">
        <f aca="false">IF($A913="","",IFERROR(INDEX(مخرج_الوصف,MATCH($A913,قائمة_المخرجات,0)),""))</f>
        <v/>
      </c>
      <c r="D913" s="20"/>
      <c r="E913" s="31"/>
      <c r="F913" s="22"/>
      <c r="G913" s="36" t="str">
        <f aca="false">IF(OR($A913="",$D913&lt;&gt;"تسليم",NOT(ISNUMBER($E913))),"",COUNTIFS($A$5:$A$1504,$A913,$D$5:$D$1504,"تسليم",$E$5:$E$1504,"&lt;"&amp;$E913)+1)</f>
        <v/>
      </c>
      <c r="H913" s="33" t="str">
        <f aca="false">IF($G913="","",_xlfn.MINIFS($E$5:$E$1504,$A$5:$A$1504,$A913,$D$5:$D$1504,"&lt;&gt;تسليم",$E$5:$E$1504,"&gt;="&amp;$E913))</f>
        <v/>
      </c>
      <c r="I913" s="33" t="str">
        <f aca="false">IF($G913="","",_xlfn.MINIFS($E$5:$E$1504,$A$5:$A$1504,$A913,$D$5:$D$1504,"تسليم",$E$5:$E$1504,"&gt;"&amp;$E913))</f>
        <v/>
      </c>
      <c r="J913" s="33" t="str">
        <f aca="false">IF($G913="","",IF(H913&gt;0,IF(I913&gt;0,MIN(H913,I913),H913),IF(I913&gt;0,I913,تاريخ_الاحتساب)))</f>
        <v/>
      </c>
      <c r="K913" s="34" t="str">
        <f aca="false">IF($G913="","",IF(AND(H913=0,I913=0),"جارية","مغلقة"))</f>
        <v/>
      </c>
      <c r="L913" s="26" t="str">
        <f aca="false">IF($G913="","",MAX(0,NETWORKDAYS.INTL($E913,J913,رمز_العطلة,أيام_الأجازات)-1))</f>
        <v/>
      </c>
      <c r="M913" s="26" t="str">
        <f aca="false">IF($G913="","",MAX(0,L913-مهلة_المراجعة))</f>
        <v/>
      </c>
      <c r="N913" s="30" t="str">
        <f aca="false">IF($A913="",IF(OR($D913&lt;&gt;"",$E913&lt;&gt;""),"رقم المخرج ناقص",""),IF(ISNA(MATCH($A913,قائمة_المخرجات,0)),"رقم مخرج غير موجود",IF($D913="","نوع الحركة ناقص",IF(NOT(ISNUMBER($E913)),"التاريخ ناقص",IF($E913&gt;تاريخ_الاحتساب,"تاريخ بعد تاريخ الاحتساب",IF(AND($D913&lt;&gt;"تسليم",COUNTIFS($A$5:$A$1504,$A913,$D$5:$D$1504,"تسليم",$E$5:$E$1504,"&lt;="&amp;$E913)=0),"لا يوجد تسليم قبل الحركة دي",""))))))</f>
        <v/>
      </c>
    </row>
    <row r="914" customFormat="false" ht="15" hidden="false" customHeight="false" outlineLevel="0" collapsed="false">
      <c r="A914" s="20"/>
      <c r="B914" s="35" t="str">
        <f aca="false">IF($A914="","",IFERROR(INDEX(مخرج_البند,MATCH($A914,قائمة_المخرجات,0)),""))</f>
        <v/>
      </c>
      <c r="C914" s="30" t="str">
        <f aca="false">IF($A914="","",IFERROR(INDEX(مخرج_الوصف,MATCH($A914,قائمة_المخرجات,0)),""))</f>
        <v/>
      </c>
      <c r="D914" s="20"/>
      <c r="E914" s="31"/>
      <c r="F914" s="22"/>
      <c r="G914" s="36" t="str">
        <f aca="false">IF(OR($A914="",$D914&lt;&gt;"تسليم",NOT(ISNUMBER($E914))),"",COUNTIFS($A$5:$A$1504,$A914,$D$5:$D$1504,"تسليم",$E$5:$E$1504,"&lt;"&amp;$E914)+1)</f>
        <v/>
      </c>
      <c r="H914" s="33" t="str">
        <f aca="false">IF($G914="","",_xlfn.MINIFS($E$5:$E$1504,$A$5:$A$1504,$A914,$D$5:$D$1504,"&lt;&gt;تسليم",$E$5:$E$1504,"&gt;="&amp;$E914))</f>
        <v/>
      </c>
      <c r="I914" s="33" t="str">
        <f aca="false">IF($G914="","",_xlfn.MINIFS($E$5:$E$1504,$A$5:$A$1504,$A914,$D$5:$D$1504,"تسليم",$E$5:$E$1504,"&gt;"&amp;$E914))</f>
        <v/>
      </c>
      <c r="J914" s="33" t="str">
        <f aca="false">IF($G914="","",IF(H914&gt;0,IF(I914&gt;0,MIN(H914,I914),H914),IF(I914&gt;0,I914,تاريخ_الاحتساب)))</f>
        <v/>
      </c>
      <c r="K914" s="34" t="str">
        <f aca="false">IF($G914="","",IF(AND(H914=0,I914=0),"جارية","مغلقة"))</f>
        <v/>
      </c>
      <c r="L914" s="26" t="str">
        <f aca="false">IF($G914="","",MAX(0,NETWORKDAYS.INTL($E914,J914,رمز_العطلة,أيام_الأجازات)-1))</f>
        <v/>
      </c>
      <c r="M914" s="26" t="str">
        <f aca="false">IF($G914="","",MAX(0,L914-مهلة_المراجعة))</f>
        <v/>
      </c>
      <c r="N914" s="30" t="str">
        <f aca="false">IF($A914="",IF(OR($D914&lt;&gt;"",$E914&lt;&gt;""),"رقم المخرج ناقص",""),IF(ISNA(MATCH($A914,قائمة_المخرجات,0)),"رقم مخرج غير موجود",IF($D914="","نوع الحركة ناقص",IF(NOT(ISNUMBER($E914)),"التاريخ ناقص",IF($E914&gt;تاريخ_الاحتساب,"تاريخ بعد تاريخ الاحتساب",IF(AND($D914&lt;&gt;"تسليم",COUNTIFS($A$5:$A$1504,$A914,$D$5:$D$1504,"تسليم",$E$5:$E$1504,"&lt;="&amp;$E914)=0),"لا يوجد تسليم قبل الحركة دي",""))))))</f>
        <v/>
      </c>
    </row>
    <row r="915" customFormat="false" ht="15" hidden="false" customHeight="false" outlineLevel="0" collapsed="false">
      <c r="A915" s="20"/>
      <c r="B915" s="35" t="str">
        <f aca="false">IF($A915="","",IFERROR(INDEX(مخرج_البند,MATCH($A915,قائمة_المخرجات,0)),""))</f>
        <v/>
      </c>
      <c r="C915" s="30" t="str">
        <f aca="false">IF($A915="","",IFERROR(INDEX(مخرج_الوصف,MATCH($A915,قائمة_المخرجات,0)),""))</f>
        <v/>
      </c>
      <c r="D915" s="20"/>
      <c r="E915" s="31"/>
      <c r="F915" s="22"/>
      <c r="G915" s="36" t="str">
        <f aca="false">IF(OR($A915="",$D915&lt;&gt;"تسليم",NOT(ISNUMBER($E915))),"",COUNTIFS($A$5:$A$1504,$A915,$D$5:$D$1504,"تسليم",$E$5:$E$1504,"&lt;"&amp;$E915)+1)</f>
        <v/>
      </c>
      <c r="H915" s="33" t="str">
        <f aca="false">IF($G915="","",_xlfn.MINIFS($E$5:$E$1504,$A$5:$A$1504,$A915,$D$5:$D$1504,"&lt;&gt;تسليم",$E$5:$E$1504,"&gt;="&amp;$E915))</f>
        <v/>
      </c>
      <c r="I915" s="33" t="str">
        <f aca="false">IF($G915="","",_xlfn.MINIFS($E$5:$E$1504,$A$5:$A$1504,$A915,$D$5:$D$1504,"تسليم",$E$5:$E$1504,"&gt;"&amp;$E915))</f>
        <v/>
      </c>
      <c r="J915" s="33" t="str">
        <f aca="false">IF($G915="","",IF(H915&gt;0,IF(I915&gt;0,MIN(H915,I915),H915),IF(I915&gt;0,I915,تاريخ_الاحتساب)))</f>
        <v/>
      </c>
      <c r="K915" s="34" t="str">
        <f aca="false">IF($G915="","",IF(AND(H915=0,I915=0),"جارية","مغلقة"))</f>
        <v/>
      </c>
      <c r="L915" s="26" t="str">
        <f aca="false">IF($G915="","",MAX(0,NETWORKDAYS.INTL($E915,J915,رمز_العطلة,أيام_الأجازات)-1))</f>
        <v/>
      </c>
      <c r="M915" s="26" t="str">
        <f aca="false">IF($G915="","",MAX(0,L915-مهلة_المراجعة))</f>
        <v/>
      </c>
      <c r="N915" s="30" t="str">
        <f aca="false">IF($A915="",IF(OR($D915&lt;&gt;"",$E915&lt;&gt;""),"رقم المخرج ناقص",""),IF(ISNA(MATCH($A915,قائمة_المخرجات,0)),"رقم مخرج غير موجود",IF($D915="","نوع الحركة ناقص",IF(NOT(ISNUMBER($E915)),"التاريخ ناقص",IF($E915&gt;تاريخ_الاحتساب,"تاريخ بعد تاريخ الاحتساب",IF(AND($D915&lt;&gt;"تسليم",COUNTIFS($A$5:$A$1504,$A915,$D$5:$D$1504,"تسليم",$E$5:$E$1504,"&lt;="&amp;$E915)=0),"لا يوجد تسليم قبل الحركة دي",""))))))</f>
        <v/>
      </c>
    </row>
    <row r="916" customFormat="false" ht="15" hidden="false" customHeight="false" outlineLevel="0" collapsed="false">
      <c r="A916" s="20"/>
      <c r="B916" s="35" t="str">
        <f aca="false">IF($A916="","",IFERROR(INDEX(مخرج_البند,MATCH($A916,قائمة_المخرجات,0)),""))</f>
        <v/>
      </c>
      <c r="C916" s="30" t="str">
        <f aca="false">IF($A916="","",IFERROR(INDEX(مخرج_الوصف,MATCH($A916,قائمة_المخرجات,0)),""))</f>
        <v/>
      </c>
      <c r="D916" s="20"/>
      <c r="E916" s="31"/>
      <c r="F916" s="22"/>
      <c r="G916" s="36" t="str">
        <f aca="false">IF(OR($A916="",$D916&lt;&gt;"تسليم",NOT(ISNUMBER($E916))),"",COUNTIFS($A$5:$A$1504,$A916,$D$5:$D$1504,"تسليم",$E$5:$E$1504,"&lt;"&amp;$E916)+1)</f>
        <v/>
      </c>
      <c r="H916" s="33" t="str">
        <f aca="false">IF($G916="","",_xlfn.MINIFS($E$5:$E$1504,$A$5:$A$1504,$A916,$D$5:$D$1504,"&lt;&gt;تسليم",$E$5:$E$1504,"&gt;="&amp;$E916))</f>
        <v/>
      </c>
      <c r="I916" s="33" t="str">
        <f aca="false">IF($G916="","",_xlfn.MINIFS($E$5:$E$1504,$A$5:$A$1504,$A916,$D$5:$D$1504,"تسليم",$E$5:$E$1504,"&gt;"&amp;$E916))</f>
        <v/>
      </c>
      <c r="J916" s="33" t="str">
        <f aca="false">IF($G916="","",IF(H916&gt;0,IF(I916&gt;0,MIN(H916,I916),H916),IF(I916&gt;0,I916,تاريخ_الاحتساب)))</f>
        <v/>
      </c>
      <c r="K916" s="34" t="str">
        <f aca="false">IF($G916="","",IF(AND(H916=0,I916=0),"جارية","مغلقة"))</f>
        <v/>
      </c>
      <c r="L916" s="26" t="str">
        <f aca="false">IF($G916="","",MAX(0,NETWORKDAYS.INTL($E916,J916,رمز_العطلة,أيام_الأجازات)-1))</f>
        <v/>
      </c>
      <c r="M916" s="26" t="str">
        <f aca="false">IF($G916="","",MAX(0,L916-مهلة_المراجعة))</f>
        <v/>
      </c>
      <c r="N916" s="30" t="str">
        <f aca="false">IF($A916="",IF(OR($D916&lt;&gt;"",$E916&lt;&gt;""),"رقم المخرج ناقص",""),IF(ISNA(MATCH($A916,قائمة_المخرجات,0)),"رقم مخرج غير موجود",IF($D916="","نوع الحركة ناقص",IF(NOT(ISNUMBER($E916)),"التاريخ ناقص",IF($E916&gt;تاريخ_الاحتساب,"تاريخ بعد تاريخ الاحتساب",IF(AND($D916&lt;&gt;"تسليم",COUNTIFS($A$5:$A$1504,$A916,$D$5:$D$1504,"تسليم",$E$5:$E$1504,"&lt;="&amp;$E916)=0),"لا يوجد تسليم قبل الحركة دي",""))))))</f>
        <v/>
      </c>
    </row>
    <row r="917" customFormat="false" ht="15" hidden="false" customHeight="false" outlineLevel="0" collapsed="false">
      <c r="A917" s="20"/>
      <c r="B917" s="35" t="str">
        <f aca="false">IF($A917="","",IFERROR(INDEX(مخرج_البند,MATCH($A917,قائمة_المخرجات,0)),""))</f>
        <v/>
      </c>
      <c r="C917" s="30" t="str">
        <f aca="false">IF($A917="","",IFERROR(INDEX(مخرج_الوصف,MATCH($A917,قائمة_المخرجات,0)),""))</f>
        <v/>
      </c>
      <c r="D917" s="20"/>
      <c r="E917" s="31"/>
      <c r="F917" s="22"/>
      <c r="G917" s="36" t="str">
        <f aca="false">IF(OR($A917="",$D917&lt;&gt;"تسليم",NOT(ISNUMBER($E917))),"",COUNTIFS($A$5:$A$1504,$A917,$D$5:$D$1504,"تسليم",$E$5:$E$1504,"&lt;"&amp;$E917)+1)</f>
        <v/>
      </c>
      <c r="H917" s="33" t="str">
        <f aca="false">IF($G917="","",_xlfn.MINIFS($E$5:$E$1504,$A$5:$A$1504,$A917,$D$5:$D$1504,"&lt;&gt;تسليم",$E$5:$E$1504,"&gt;="&amp;$E917))</f>
        <v/>
      </c>
      <c r="I917" s="33" t="str">
        <f aca="false">IF($G917="","",_xlfn.MINIFS($E$5:$E$1504,$A$5:$A$1504,$A917,$D$5:$D$1504,"تسليم",$E$5:$E$1504,"&gt;"&amp;$E917))</f>
        <v/>
      </c>
      <c r="J917" s="33" t="str">
        <f aca="false">IF($G917="","",IF(H917&gt;0,IF(I917&gt;0,MIN(H917,I917),H917),IF(I917&gt;0,I917,تاريخ_الاحتساب)))</f>
        <v/>
      </c>
      <c r="K917" s="34" t="str">
        <f aca="false">IF($G917="","",IF(AND(H917=0,I917=0),"جارية","مغلقة"))</f>
        <v/>
      </c>
      <c r="L917" s="26" t="str">
        <f aca="false">IF($G917="","",MAX(0,NETWORKDAYS.INTL($E917,J917,رمز_العطلة,أيام_الأجازات)-1))</f>
        <v/>
      </c>
      <c r="M917" s="26" t="str">
        <f aca="false">IF($G917="","",MAX(0,L917-مهلة_المراجعة))</f>
        <v/>
      </c>
      <c r="N917" s="30" t="str">
        <f aca="false">IF($A917="",IF(OR($D917&lt;&gt;"",$E917&lt;&gt;""),"رقم المخرج ناقص",""),IF(ISNA(MATCH($A917,قائمة_المخرجات,0)),"رقم مخرج غير موجود",IF($D917="","نوع الحركة ناقص",IF(NOT(ISNUMBER($E917)),"التاريخ ناقص",IF($E917&gt;تاريخ_الاحتساب,"تاريخ بعد تاريخ الاحتساب",IF(AND($D917&lt;&gt;"تسليم",COUNTIFS($A$5:$A$1504,$A917,$D$5:$D$1504,"تسليم",$E$5:$E$1504,"&lt;="&amp;$E917)=0),"لا يوجد تسليم قبل الحركة دي",""))))))</f>
        <v/>
      </c>
    </row>
    <row r="918" customFormat="false" ht="15" hidden="false" customHeight="false" outlineLevel="0" collapsed="false">
      <c r="A918" s="20"/>
      <c r="B918" s="35" t="str">
        <f aca="false">IF($A918="","",IFERROR(INDEX(مخرج_البند,MATCH($A918,قائمة_المخرجات,0)),""))</f>
        <v/>
      </c>
      <c r="C918" s="30" t="str">
        <f aca="false">IF($A918="","",IFERROR(INDEX(مخرج_الوصف,MATCH($A918,قائمة_المخرجات,0)),""))</f>
        <v/>
      </c>
      <c r="D918" s="20"/>
      <c r="E918" s="31"/>
      <c r="F918" s="22"/>
      <c r="G918" s="36" t="str">
        <f aca="false">IF(OR($A918="",$D918&lt;&gt;"تسليم",NOT(ISNUMBER($E918))),"",COUNTIFS($A$5:$A$1504,$A918,$D$5:$D$1504,"تسليم",$E$5:$E$1504,"&lt;"&amp;$E918)+1)</f>
        <v/>
      </c>
      <c r="H918" s="33" t="str">
        <f aca="false">IF($G918="","",_xlfn.MINIFS($E$5:$E$1504,$A$5:$A$1504,$A918,$D$5:$D$1504,"&lt;&gt;تسليم",$E$5:$E$1504,"&gt;="&amp;$E918))</f>
        <v/>
      </c>
      <c r="I918" s="33" t="str">
        <f aca="false">IF($G918="","",_xlfn.MINIFS($E$5:$E$1504,$A$5:$A$1504,$A918,$D$5:$D$1504,"تسليم",$E$5:$E$1504,"&gt;"&amp;$E918))</f>
        <v/>
      </c>
      <c r="J918" s="33" t="str">
        <f aca="false">IF($G918="","",IF(H918&gt;0,IF(I918&gt;0,MIN(H918,I918),H918),IF(I918&gt;0,I918,تاريخ_الاحتساب)))</f>
        <v/>
      </c>
      <c r="K918" s="34" t="str">
        <f aca="false">IF($G918="","",IF(AND(H918=0,I918=0),"جارية","مغلقة"))</f>
        <v/>
      </c>
      <c r="L918" s="26" t="str">
        <f aca="false">IF($G918="","",MAX(0,NETWORKDAYS.INTL($E918,J918,رمز_العطلة,أيام_الأجازات)-1))</f>
        <v/>
      </c>
      <c r="M918" s="26" t="str">
        <f aca="false">IF($G918="","",MAX(0,L918-مهلة_المراجعة))</f>
        <v/>
      </c>
      <c r="N918" s="30" t="str">
        <f aca="false">IF($A918="",IF(OR($D918&lt;&gt;"",$E918&lt;&gt;""),"رقم المخرج ناقص",""),IF(ISNA(MATCH($A918,قائمة_المخرجات,0)),"رقم مخرج غير موجود",IF($D918="","نوع الحركة ناقص",IF(NOT(ISNUMBER($E918)),"التاريخ ناقص",IF($E918&gt;تاريخ_الاحتساب,"تاريخ بعد تاريخ الاحتساب",IF(AND($D918&lt;&gt;"تسليم",COUNTIFS($A$5:$A$1504,$A918,$D$5:$D$1504,"تسليم",$E$5:$E$1504,"&lt;="&amp;$E918)=0),"لا يوجد تسليم قبل الحركة دي",""))))))</f>
        <v/>
      </c>
    </row>
    <row r="919" customFormat="false" ht="15" hidden="false" customHeight="false" outlineLevel="0" collapsed="false">
      <c r="A919" s="20"/>
      <c r="B919" s="35" t="str">
        <f aca="false">IF($A919="","",IFERROR(INDEX(مخرج_البند,MATCH($A919,قائمة_المخرجات,0)),""))</f>
        <v/>
      </c>
      <c r="C919" s="30" t="str">
        <f aca="false">IF($A919="","",IFERROR(INDEX(مخرج_الوصف,MATCH($A919,قائمة_المخرجات,0)),""))</f>
        <v/>
      </c>
      <c r="D919" s="20"/>
      <c r="E919" s="31"/>
      <c r="F919" s="22"/>
      <c r="G919" s="36" t="str">
        <f aca="false">IF(OR($A919="",$D919&lt;&gt;"تسليم",NOT(ISNUMBER($E919))),"",COUNTIFS($A$5:$A$1504,$A919,$D$5:$D$1504,"تسليم",$E$5:$E$1504,"&lt;"&amp;$E919)+1)</f>
        <v/>
      </c>
      <c r="H919" s="33" t="str">
        <f aca="false">IF($G919="","",_xlfn.MINIFS($E$5:$E$1504,$A$5:$A$1504,$A919,$D$5:$D$1504,"&lt;&gt;تسليم",$E$5:$E$1504,"&gt;="&amp;$E919))</f>
        <v/>
      </c>
      <c r="I919" s="33" t="str">
        <f aca="false">IF($G919="","",_xlfn.MINIFS($E$5:$E$1504,$A$5:$A$1504,$A919,$D$5:$D$1504,"تسليم",$E$5:$E$1504,"&gt;"&amp;$E919))</f>
        <v/>
      </c>
      <c r="J919" s="33" t="str">
        <f aca="false">IF($G919="","",IF(H919&gt;0,IF(I919&gt;0,MIN(H919,I919),H919),IF(I919&gt;0,I919,تاريخ_الاحتساب)))</f>
        <v/>
      </c>
      <c r="K919" s="34" t="str">
        <f aca="false">IF($G919="","",IF(AND(H919=0,I919=0),"جارية","مغلقة"))</f>
        <v/>
      </c>
      <c r="L919" s="26" t="str">
        <f aca="false">IF($G919="","",MAX(0,NETWORKDAYS.INTL($E919,J919,رمز_العطلة,أيام_الأجازات)-1))</f>
        <v/>
      </c>
      <c r="M919" s="26" t="str">
        <f aca="false">IF($G919="","",MAX(0,L919-مهلة_المراجعة))</f>
        <v/>
      </c>
      <c r="N919" s="30" t="str">
        <f aca="false">IF($A919="",IF(OR($D919&lt;&gt;"",$E919&lt;&gt;""),"رقم المخرج ناقص",""),IF(ISNA(MATCH($A919,قائمة_المخرجات,0)),"رقم مخرج غير موجود",IF($D919="","نوع الحركة ناقص",IF(NOT(ISNUMBER($E919)),"التاريخ ناقص",IF($E919&gt;تاريخ_الاحتساب,"تاريخ بعد تاريخ الاحتساب",IF(AND($D919&lt;&gt;"تسليم",COUNTIFS($A$5:$A$1504,$A919,$D$5:$D$1504,"تسليم",$E$5:$E$1504,"&lt;="&amp;$E919)=0),"لا يوجد تسليم قبل الحركة دي",""))))))</f>
        <v/>
      </c>
    </row>
    <row r="920" customFormat="false" ht="15" hidden="false" customHeight="false" outlineLevel="0" collapsed="false">
      <c r="A920" s="20"/>
      <c r="B920" s="35" t="str">
        <f aca="false">IF($A920="","",IFERROR(INDEX(مخرج_البند,MATCH($A920,قائمة_المخرجات,0)),""))</f>
        <v/>
      </c>
      <c r="C920" s="30" t="str">
        <f aca="false">IF($A920="","",IFERROR(INDEX(مخرج_الوصف,MATCH($A920,قائمة_المخرجات,0)),""))</f>
        <v/>
      </c>
      <c r="D920" s="20"/>
      <c r="E920" s="31"/>
      <c r="F920" s="22"/>
      <c r="G920" s="36" t="str">
        <f aca="false">IF(OR($A920="",$D920&lt;&gt;"تسليم",NOT(ISNUMBER($E920))),"",COUNTIFS($A$5:$A$1504,$A920,$D$5:$D$1504,"تسليم",$E$5:$E$1504,"&lt;"&amp;$E920)+1)</f>
        <v/>
      </c>
      <c r="H920" s="33" t="str">
        <f aca="false">IF($G920="","",_xlfn.MINIFS($E$5:$E$1504,$A$5:$A$1504,$A920,$D$5:$D$1504,"&lt;&gt;تسليم",$E$5:$E$1504,"&gt;="&amp;$E920))</f>
        <v/>
      </c>
      <c r="I920" s="33" t="str">
        <f aca="false">IF($G920="","",_xlfn.MINIFS($E$5:$E$1504,$A$5:$A$1504,$A920,$D$5:$D$1504,"تسليم",$E$5:$E$1504,"&gt;"&amp;$E920))</f>
        <v/>
      </c>
      <c r="J920" s="33" t="str">
        <f aca="false">IF($G920="","",IF(H920&gt;0,IF(I920&gt;0,MIN(H920,I920),H920),IF(I920&gt;0,I920,تاريخ_الاحتساب)))</f>
        <v/>
      </c>
      <c r="K920" s="34" t="str">
        <f aca="false">IF($G920="","",IF(AND(H920=0,I920=0),"جارية","مغلقة"))</f>
        <v/>
      </c>
      <c r="L920" s="26" t="str">
        <f aca="false">IF($G920="","",MAX(0,NETWORKDAYS.INTL($E920,J920,رمز_العطلة,أيام_الأجازات)-1))</f>
        <v/>
      </c>
      <c r="M920" s="26" t="str">
        <f aca="false">IF($G920="","",MAX(0,L920-مهلة_المراجعة))</f>
        <v/>
      </c>
      <c r="N920" s="30" t="str">
        <f aca="false">IF($A920="",IF(OR($D920&lt;&gt;"",$E920&lt;&gt;""),"رقم المخرج ناقص",""),IF(ISNA(MATCH($A920,قائمة_المخرجات,0)),"رقم مخرج غير موجود",IF($D920="","نوع الحركة ناقص",IF(NOT(ISNUMBER($E920)),"التاريخ ناقص",IF($E920&gt;تاريخ_الاحتساب,"تاريخ بعد تاريخ الاحتساب",IF(AND($D920&lt;&gt;"تسليم",COUNTIFS($A$5:$A$1504,$A920,$D$5:$D$1504,"تسليم",$E$5:$E$1504,"&lt;="&amp;$E920)=0),"لا يوجد تسليم قبل الحركة دي",""))))))</f>
        <v/>
      </c>
    </row>
    <row r="921" customFormat="false" ht="15" hidden="false" customHeight="false" outlineLevel="0" collapsed="false">
      <c r="A921" s="20"/>
      <c r="B921" s="35" t="str">
        <f aca="false">IF($A921="","",IFERROR(INDEX(مخرج_البند,MATCH($A921,قائمة_المخرجات,0)),""))</f>
        <v/>
      </c>
      <c r="C921" s="30" t="str">
        <f aca="false">IF($A921="","",IFERROR(INDEX(مخرج_الوصف,MATCH($A921,قائمة_المخرجات,0)),""))</f>
        <v/>
      </c>
      <c r="D921" s="20"/>
      <c r="E921" s="31"/>
      <c r="F921" s="22"/>
      <c r="G921" s="36" t="str">
        <f aca="false">IF(OR($A921="",$D921&lt;&gt;"تسليم",NOT(ISNUMBER($E921))),"",COUNTIFS($A$5:$A$1504,$A921,$D$5:$D$1504,"تسليم",$E$5:$E$1504,"&lt;"&amp;$E921)+1)</f>
        <v/>
      </c>
      <c r="H921" s="33" t="str">
        <f aca="false">IF($G921="","",_xlfn.MINIFS($E$5:$E$1504,$A$5:$A$1504,$A921,$D$5:$D$1504,"&lt;&gt;تسليم",$E$5:$E$1504,"&gt;="&amp;$E921))</f>
        <v/>
      </c>
      <c r="I921" s="33" t="str">
        <f aca="false">IF($G921="","",_xlfn.MINIFS($E$5:$E$1504,$A$5:$A$1504,$A921,$D$5:$D$1504,"تسليم",$E$5:$E$1504,"&gt;"&amp;$E921))</f>
        <v/>
      </c>
      <c r="J921" s="33" t="str">
        <f aca="false">IF($G921="","",IF(H921&gt;0,IF(I921&gt;0,MIN(H921,I921),H921),IF(I921&gt;0,I921,تاريخ_الاحتساب)))</f>
        <v/>
      </c>
      <c r="K921" s="34" t="str">
        <f aca="false">IF($G921="","",IF(AND(H921=0,I921=0),"جارية","مغلقة"))</f>
        <v/>
      </c>
      <c r="L921" s="26" t="str">
        <f aca="false">IF($G921="","",MAX(0,NETWORKDAYS.INTL($E921,J921,رمز_العطلة,أيام_الأجازات)-1))</f>
        <v/>
      </c>
      <c r="M921" s="26" t="str">
        <f aca="false">IF($G921="","",MAX(0,L921-مهلة_المراجعة))</f>
        <v/>
      </c>
      <c r="N921" s="30" t="str">
        <f aca="false">IF($A921="",IF(OR($D921&lt;&gt;"",$E921&lt;&gt;""),"رقم المخرج ناقص",""),IF(ISNA(MATCH($A921,قائمة_المخرجات,0)),"رقم مخرج غير موجود",IF($D921="","نوع الحركة ناقص",IF(NOT(ISNUMBER($E921)),"التاريخ ناقص",IF($E921&gt;تاريخ_الاحتساب,"تاريخ بعد تاريخ الاحتساب",IF(AND($D921&lt;&gt;"تسليم",COUNTIFS($A$5:$A$1504,$A921,$D$5:$D$1504,"تسليم",$E$5:$E$1504,"&lt;="&amp;$E921)=0),"لا يوجد تسليم قبل الحركة دي",""))))))</f>
        <v/>
      </c>
    </row>
    <row r="922" customFormat="false" ht="15" hidden="false" customHeight="false" outlineLevel="0" collapsed="false">
      <c r="A922" s="20"/>
      <c r="B922" s="35" t="str">
        <f aca="false">IF($A922="","",IFERROR(INDEX(مخرج_البند,MATCH($A922,قائمة_المخرجات,0)),""))</f>
        <v/>
      </c>
      <c r="C922" s="30" t="str">
        <f aca="false">IF($A922="","",IFERROR(INDEX(مخرج_الوصف,MATCH($A922,قائمة_المخرجات,0)),""))</f>
        <v/>
      </c>
      <c r="D922" s="20"/>
      <c r="E922" s="31"/>
      <c r="F922" s="22"/>
      <c r="G922" s="36" t="str">
        <f aca="false">IF(OR($A922="",$D922&lt;&gt;"تسليم",NOT(ISNUMBER($E922))),"",COUNTIFS($A$5:$A$1504,$A922,$D$5:$D$1504,"تسليم",$E$5:$E$1504,"&lt;"&amp;$E922)+1)</f>
        <v/>
      </c>
      <c r="H922" s="33" t="str">
        <f aca="false">IF($G922="","",_xlfn.MINIFS($E$5:$E$1504,$A$5:$A$1504,$A922,$D$5:$D$1504,"&lt;&gt;تسليم",$E$5:$E$1504,"&gt;="&amp;$E922))</f>
        <v/>
      </c>
      <c r="I922" s="33" t="str">
        <f aca="false">IF($G922="","",_xlfn.MINIFS($E$5:$E$1504,$A$5:$A$1504,$A922,$D$5:$D$1504,"تسليم",$E$5:$E$1504,"&gt;"&amp;$E922))</f>
        <v/>
      </c>
      <c r="J922" s="33" t="str">
        <f aca="false">IF($G922="","",IF(H922&gt;0,IF(I922&gt;0,MIN(H922,I922),H922),IF(I922&gt;0,I922,تاريخ_الاحتساب)))</f>
        <v/>
      </c>
      <c r="K922" s="34" t="str">
        <f aca="false">IF($G922="","",IF(AND(H922=0,I922=0),"جارية","مغلقة"))</f>
        <v/>
      </c>
      <c r="L922" s="26" t="str">
        <f aca="false">IF($G922="","",MAX(0,NETWORKDAYS.INTL($E922,J922,رمز_العطلة,أيام_الأجازات)-1))</f>
        <v/>
      </c>
      <c r="M922" s="26" t="str">
        <f aca="false">IF($G922="","",MAX(0,L922-مهلة_المراجعة))</f>
        <v/>
      </c>
      <c r="N922" s="30" t="str">
        <f aca="false">IF($A922="",IF(OR($D922&lt;&gt;"",$E922&lt;&gt;""),"رقم المخرج ناقص",""),IF(ISNA(MATCH($A922,قائمة_المخرجات,0)),"رقم مخرج غير موجود",IF($D922="","نوع الحركة ناقص",IF(NOT(ISNUMBER($E922)),"التاريخ ناقص",IF($E922&gt;تاريخ_الاحتساب,"تاريخ بعد تاريخ الاحتساب",IF(AND($D922&lt;&gt;"تسليم",COUNTIFS($A$5:$A$1504,$A922,$D$5:$D$1504,"تسليم",$E$5:$E$1504,"&lt;="&amp;$E922)=0),"لا يوجد تسليم قبل الحركة دي",""))))))</f>
        <v/>
      </c>
    </row>
    <row r="923" customFormat="false" ht="15" hidden="false" customHeight="false" outlineLevel="0" collapsed="false">
      <c r="A923" s="20"/>
      <c r="B923" s="35" t="str">
        <f aca="false">IF($A923="","",IFERROR(INDEX(مخرج_البند,MATCH($A923,قائمة_المخرجات,0)),""))</f>
        <v/>
      </c>
      <c r="C923" s="30" t="str">
        <f aca="false">IF($A923="","",IFERROR(INDEX(مخرج_الوصف,MATCH($A923,قائمة_المخرجات,0)),""))</f>
        <v/>
      </c>
      <c r="D923" s="20"/>
      <c r="E923" s="31"/>
      <c r="F923" s="22"/>
      <c r="G923" s="36" t="str">
        <f aca="false">IF(OR($A923="",$D923&lt;&gt;"تسليم",NOT(ISNUMBER($E923))),"",COUNTIFS($A$5:$A$1504,$A923,$D$5:$D$1504,"تسليم",$E$5:$E$1504,"&lt;"&amp;$E923)+1)</f>
        <v/>
      </c>
      <c r="H923" s="33" t="str">
        <f aca="false">IF($G923="","",_xlfn.MINIFS($E$5:$E$1504,$A$5:$A$1504,$A923,$D$5:$D$1504,"&lt;&gt;تسليم",$E$5:$E$1504,"&gt;="&amp;$E923))</f>
        <v/>
      </c>
      <c r="I923" s="33" t="str">
        <f aca="false">IF($G923="","",_xlfn.MINIFS($E$5:$E$1504,$A$5:$A$1504,$A923,$D$5:$D$1504,"تسليم",$E$5:$E$1504,"&gt;"&amp;$E923))</f>
        <v/>
      </c>
      <c r="J923" s="33" t="str">
        <f aca="false">IF($G923="","",IF(H923&gt;0,IF(I923&gt;0,MIN(H923,I923),H923),IF(I923&gt;0,I923,تاريخ_الاحتساب)))</f>
        <v/>
      </c>
      <c r="K923" s="34" t="str">
        <f aca="false">IF($G923="","",IF(AND(H923=0,I923=0),"جارية","مغلقة"))</f>
        <v/>
      </c>
      <c r="L923" s="26" t="str">
        <f aca="false">IF($G923="","",MAX(0,NETWORKDAYS.INTL($E923,J923,رمز_العطلة,أيام_الأجازات)-1))</f>
        <v/>
      </c>
      <c r="M923" s="26" t="str">
        <f aca="false">IF($G923="","",MAX(0,L923-مهلة_المراجعة))</f>
        <v/>
      </c>
      <c r="N923" s="30" t="str">
        <f aca="false">IF($A923="",IF(OR($D923&lt;&gt;"",$E923&lt;&gt;""),"رقم المخرج ناقص",""),IF(ISNA(MATCH($A923,قائمة_المخرجات,0)),"رقم مخرج غير موجود",IF($D923="","نوع الحركة ناقص",IF(NOT(ISNUMBER($E923)),"التاريخ ناقص",IF($E923&gt;تاريخ_الاحتساب,"تاريخ بعد تاريخ الاحتساب",IF(AND($D923&lt;&gt;"تسليم",COUNTIFS($A$5:$A$1504,$A923,$D$5:$D$1504,"تسليم",$E$5:$E$1504,"&lt;="&amp;$E923)=0),"لا يوجد تسليم قبل الحركة دي",""))))))</f>
        <v/>
      </c>
    </row>
    <row r="924" customFormat="false" ht="15" hidden="false" customHeight="false" outlineLevel="0" collapsed="false">
      <c r="A924" s="20"/>
      <c r="B924" s="35" t="str">
        <f aca="false">IF($A924="","",IFERROR(INDEX(مخرج_البند,MATCH($A924,قائمة_المخرجات,0)),""))</f>
        <v/>
      </c>
      <c r="C924" s="30" t="str">
        <f aca="false">IF($A924="","",IFERROR(INDEX(مخرج_الوصف,MATCH($A924,قائمة_المخرجات,0)),""))</f>
        <v/>
      </c>
      <c r="D924" s="20"/>
      <c r="E924" s="31"/>
      <c r="F924" s="22"/>
      <c r="G924" s="36" t="str">
        <f aca="false">IF(OR($A924="",$D924&lt;&gt;"تسليم",NOT(ISNUMBER($E924))),"",COUNTIFS($A$5:$A$1504,$A924,$D$5:$D$1504,"تسليم",$E$5:$E$1504,"&lt;"&amp;$E924)+1)</f>
        <v/>
      </c>
      <c r="H924" s="33" t="str">
        <f aca="false">IF($G924="","",_xlfn.MINIFS($E$5:$E$1504,$A$5:$A$1504,$A924,$D$5:$D$1504,"&lt;&gt;تسليم",$E$5:$E$1504,"&gt;="&amp;$E924))</f>
        <v/>
      </c>
      <c r="I924" s="33" t="str">
        <f aca="false">IF($G924="","",_xlfn.MINIFS($E$5:$E$1504,$A$5:$A$1504,$A924,$D$5:$D$1504,"تسليم",$E$5:$E$1504,"&gt;"&amp;$E924))</f>
        <v/>
      </c>
      <c r="J924" s="33" t="str">
        <f aca="false">IF($G924="","",IF(H924&gt;0,IF(I924&gt;0,MIN(H924,I924),H924),IF(I924&gt;0,I924,تاريخ_الاحتساب)))</f>
        <v/>
      </c>
      <c r="K924" s="34" t="str">
        <f aca="false">IF($G924="","",IF(AND(H924=0,I924=0),"جارية","مغلقة"))</f>
        <v/>
      </c>
      <c r="L924" s="26" t="str">
        <f aca="false">IF($G924="","",MAX(0,NETWORKDAYS.INTL($E924,J924,رمز_العطلة,أيام_الأجازات)-1))</f>
        <v/>
      </c>
      <c r="M924" s="26" t="str">
        <f aca="false">IF($G924="","",MAX(0,L924-مهلة_المراجعة))</f>
        <v/>
      </c>
      <c r="N924" s="30" t="str">
        <f aca="false">IF($A924="",IF(OR($D924&lt;&gt;"",$E924&lt;&gt;""),"رقم المخرج ناقص",""),IF(ISNA(MATCH($A924,قائمة_المخرجات,0)),"رقم مخرج غير موجود",IF($D924="","نوع الحركة ناقص",IF(NOT(ISNUMBER($E924)),"التاريخ ناقص",IF($E924&gt;تاريخ_الاحتساب,"تاريخ بعد تاريخ الاحتساب",IF(AND($D924&lt;&gt;"تسليم",COUNTIFS($A$5:$A$1504,$A924,$D$5:$D$1504,"تسليم",$E$5:$E$1504,"&lt;="&amp;$E924)=0),"لا يوجد تسليم قبل الحركة دي",""))))))</f>
        <v/>
      </c>
    </row>
    <row r="925" customFormat="false" ht="15" hidden="false" customHeight="false" outlineLevel="0" collapsed="false">
      <c r="A925" s="20"/>
      <c r="B925" s="35" t="str">
        <f aca="false">IF($A925="","",IFERROR(INDEX(مخرج_البند,MATCH($A925,قائمة_المخرجات,0)),""))</f>
        <v/>
      </c>
      <c r="C925" s="30" t="str">
        <f aca="false">IF($A925="","",IFERROR(INDEX(مخرج_الوصف,MATCH($A925,قائمة_المخرجات,0)),""))</f>
        <v/>
      </c>
      <c r="D925" s="20"/>
      <c r="E925" s="31"/>
      <c r="F925" s="22"/>
      <c r="G925" s="36" t="str">
        <f aca="false">IF(OR($A925="",$D925&lt;&gt;"تسليم",NOT(ISNUMBER($E925))),"",COUNTIFS($A$5:$A$1504,$A925,$D$5:$D$1504,"تسليم",$E$5:$E$1504,"&lt;"&amp;$E925)+1)</f>
        <v/>
      </c>
      <c r="H925" s="33" t="str">
        <f aca="false">IF($G925="","",_xlfn.MINIFS($E$5:$E$1504,$A$5:$A$1504,$A925,$D$5:$D$1504,"&lt;&gt;تسليم",$E$5:$E$1504,"&gt;="&amp;$E925))</f>
        <v/>
      </c>
      <c r="I925" s="33" t="str">
        <f aca="false">IF($G925="","",_xlfn.MINIFS($E$5:$E$1504,$A$5:$A$1504,$A925,$D$5:$D$1504,"تسليم",$E$5:$E$1504,"&gt;"&amp;$E925))</f>
        <v/>
      </c>
      <c r="J925" s="33" t="str">
        <f aca="false">IF($G925="","",IF(H925&gt;0,IF(I925&gt;0,MIN(H925,I925),H925),IF(I925&gt;0,I925,تاريخ_الاحتساب)))</f>
        <v/>
      </c>
      <c r="K925" s="34" t="str">
        <f aca="false">IF($G925="","",IF(AND(H925=0,I925=0),"جارية","مغلقة"))</f>
        <v/>
      </c>
      <c r="L925" s="26" t="str">
        <f aca="false">IF($G925="","",MAX(0,NETWORKDAYS.INTL($E925,J925,رمز_العطلة,أيام_الأجازات)-1))</f>
        <v/>
      </c>
      <c r="M925" s="26" t="str">
        <f aca="false">IF($G925="","",MAX(0,L925-مهلة_المراجعة))</f>
        <v/>
      </c>
      <c r="N925" s="30" t="str">
        <f aca="false">IF($A925="",IF(OR($D925&lt;&gt;"",$E925&lt;&gt;""),"رقم المخرج ناقص",""),IF(ISNA(MATCH($A925,قائمة_المخرجات,0)),"رقم مخرج غير موجود",IF($D925="","نوع الحركة ناقص",IF(NOT(ISNUMBER($E925)),"التاريخ ناقص",IF($E925&gt;تاريخ_الاحتساب,"تاريخ بعد تاريخ الاحتساب",IF(AND($D925&lt;&gt;"تسليم",COUNTIFS($A$5:$A$1504,$A925,$D$5:$D$1504,"تسليم",$E$5:$E$1504,"&lt;="&amp;$E925)=0),"لا يوجد تسليم قبل الحركة دي",""))))))</f>
        <v/>
      </c>
    </row>
    <row r="926" customFormat="false" ht="15" hidden="false" customHeight="false" outlineLevel="0" collapsed="false">
      <c r="A926" s="20"/>
      <c r="B926" s="35" t="str">
        <f aca="false">IF($A926="","",IFERROR(INDEX(مخرج_البند,MATCH($A926,قائمة_المخرجات,0)),""))</f>
        <v/>
      </c>
      <c r="C926" s="30" t="str">
        <f aca="false">IF($A926="","",IFERROR(INDEX(مخرج_الوصف,MATCH($A926,قائمة_المخرجات,0)),""))</f>
        <v/>
      </c>
      <c r="D926" s="20"/>
      <c r="E926" s="31"/>
      <c r="F926" s="22"/>
      <c r="G926" s="36" t="str">
        <f aca="false">IF(OR($A926="",$D926&lt;&gt;"تسليم",NOT(ISNUMBER($E926))),"",COUNTIFS($A$5:$A$1504,$A926,$D$5:$D$1504,"تسليم",$E$5:$E$1504,"&lt;"&amp;$E926)+1)</f>
        <v/>
      </c>
      <c r="H926" s="33" t="str">
        <f aca="false">IF($G926="","",_xlfn.MINIFS($E$5:$E$1504,$A$5:$A$1504,$A926,$D$5:$D$1504,"&lt;&gt;تسليم",$E$5:$E$1504,"&gt;="&amp;$E926))</f>
        <v/>
      </c>
      <c r="I926" s="33" t="str">
        <f aca="false">IF($G926="","",_xlfn.MINIFS($E$5:$E$1504,$A$5:$A$1504,$A926,$D$5:$D$1504,"تسليم",$E$5:$E$1504,"&gt;"&amp;$E926))</f>
        <v/>
      </c>
      <c r="J926" s="33" t="str">
        <f aca="false">IF($G926="","",IF(H926&gt;0,IF(I926&gt;0,MIN(H926,I926),H926),IF(I926&gt;0,I926,تاريخ_الاحتساب)))</f>
        <v/>
      </c>
      <c r="K926" s="34" t="str">
        <f aca="false">IF($G926="","",IF(AND(H926=0,I926=0),"جارية","مغلقة"))</f>
        <v/>
      </c>
      <c r="L926" s="26" t="str">
        <f aca="false">IF($G926="","",MAX(0,NETWORKDAYS.INTL($E926,J926,رمز_العطلة,أيام_الأجازات)-1))</f>
        <v/>
      </c>
      <c r="M926" s="26" t="str">
        <f aca="false">IF($G926="","",MAX(0,L926-مهلة_المراجعة))</f>
        <v/>
      </c>
      <c r="N926" s="30" t="str">
        <f aca="false">IF($A926="",IF(OR($D926&lt;&gt;"",$E926&lt;&gt;""),"رقم المخرج ناقص",""),IF(ISNA(MATCH($A926,قائمة_المخرجات,0)),"رقم مخرج غير موجود",IF($D926="","نوع الحركة ناقص",IF(NOT(ISNUMBER($E926)),"التاريخ ناقص",IF($E926&gt;تاريخ_الاحتساب,"تاريخ بعد تاريخ الاحتساب",IF(AND($D926&lt;&gt;"تسليم",COUNTIFS($A$5:$A$1504,$A926,$D$5:$D$1504,"تسليم",$E$5:$E$1504,"&lt;="&amp;$E926)=0),"لا يوجد تسليم قبل الحركة دي",""))))))</f>
        <v/>
      </c>
    </row>
    <row r="927" customFormat="false" ht="15" hidden="false" customHeight="false" outlineLevel="0" collapsed="false">
      <c r="A927" s="20"/>
      <c r="B927" s="35" t="str">
        <f aca="false">IF($A927="","",IFERROR(INDEX(مخرج_البند,MATCH($A927,قائمة_المخرجات,0)),""))</f>
        <v/>
      </c>
      <c r="C927" s="30" t="str">
        <f aca="false">IF($A927="","",IFERROR(INDEX(مخرج_الوصف,MATCH($A927,قائمة_المخرجات,0)),""))</f>
        <v/>
      </c>
      <c r="D927" s="20"/>
      <c r="E927" s="31"/>
      <c r="F927" s="22"/>
      <c r="G927" s="36" t="str">
        <f aca="false">IF(OR($A927="",$D927&lt;&gt;"تسليم",NOT(ISNUMBER($E927))),"",COUNTIFS($A$5:$A$1504,$A927,$D$5:$D$1504,"تسليم",$E$5:$E$1504,"&lt;"&amp;$E927)+1)</f>
        <v/>
      </c>
      <c r="H927" s="33" t="str">
        <f aca="false">IF($G927="","",_xlfn.MINIFS($E$5:$E$1504,$A$5:$A$1504,$A927,$D$5:$D$1504,"&lt;&gt;تسليم",$E$5:$E$1504,"&gt;="&amp;$E927))</f>
        <v/>
      </c>
      <c r="I927" s="33" t="str">
        <f aca="false">IF($G927="","",_xlfn.MINIFS($E$5:$E$1504,$A$5:$A$1504,$A927,$D$5:$D$1504,"تسليم",$E$5:$E$1504,"&gt;"&amp;$E927))</f>
        <v/>
      </c>
      <c r="J927" s="33" t="str">
        <f aca="false">IF($G927="","",IF(H927&gt;0,IF(I927&gt;0,MIN(H927,I927),H927),IF(I927&gt;0,I927,تاريخ_الاحتساب)))</f>
        <v/>
      </c>
      <c r="K927" s="34" t="str">
        <f aca="false">IF($G927="","",IF(AND(H927=0,I927=0),"جارية","مغلقة"))</f>
        <v/>
      </c>
      <c r="L927" s="26" t="str">
        <f aca="false">IF($G927="","",MAX(0,NETWORKDAYS.INTL($E927,J927,رمز_العطلة,أيام_الأجازات)-1))</f>
        <v/>
      </c>
      <c r="M927" s="26" t="str">
        <f aca="false">IF($G927="","",MAX(0,L927-مهلة_المراجعة))</f>
        <v/>
      </c>
      <c r="N927" s="30" t="str">
        <f aca="false">IF($A927="",IF(OR($D927&lt;&gt;"",$E927&lt;&gt;""),"رقم المخرج ناقص",""),IF(ISNA(MATCH($A927,قائمة_المخرجات,0)),"رقم مخرج غير موجود",IF($D927="","نوع الحركة ناقص",IF(NOT(ISNUMBER($E927)),"التاريخ ناقص",IF($E927&gt;تاريخ_الاحتساب,"تاريخ بعد تاريخ الاحتساب",IF(AND($D927&lt;&gt;"تسليم",COUNTIFS($A$5:$A$1504,$A927,$D$5:$D$1504,"تسليم",$E$5:$E$1504,"&lt;="&amp;$E927)=0),"لا يوجد تسليم قبل الحركة دي",""))))))</f>
        <v/>
      </c>
    </row>
    <row r="928" customFormat="false" ht="15" hidden="false" customHeight="false" outlineLevel="0" collapsed="false">
      <c r="A928" s="20"/>
      <c r="B928" s="35" t="str">
        <f aca="false">IF($A928="","",IFERROR(INDEX(مخرج_البند,MATCH($A928,قائمة_المخرجات,0)),""))</f>
        <v/>
      </c>
      <c r="C928" s="30" t="str">
        <f aca="false">IF($A928="","",IFERROR(INDEX(مخرج_الوصف,MATCH($A928,قائمة_المخرجات,0)),""))</f>
        <v/>
      </c>
      <c r="D928" s="20"/>
      <c r="E928" s="31"/>
      <c r="F928" s="22"/>
      <c r="G928" s="36" t="str">
        <f aca="false">IF(OR($A928="",$D928&lt;&gt;"تسليم",NOT(ISNUMBER($E928))),"",COUNTIFS($A$5:$A$1504,$A928,$D$5:$D$1504,"تسليم",$E$5:$E$1504,"&lt;"&amp;$E928)+1)</f>
        <v/>
      </c>
      <c r="H928" s="33" t="str">
        <f aca="false">IF($G928="","",_xlfn.MINIFS($E$5:$E$1504,$A$5:$A$1504,$A928,$D$5:$D$1504,"&lt;&gt;تسليم",$E$5:$E$1504,"&gt;="&amp;$E928))</f>
        <v/>
      </c>
      <c r="I928" s="33" t="str">
        <f aca="false">IF($G928="","",_xlfn.MINIFS($E$5:$E$1504,$A$5:$A$1504,$A928,$D$5:$D$1504,"تسليم",$E$5:$E$1504,"&gt;"&amp;$E928))</f>
        <v/>
      </c>
      <c r="J928" s="33" t="str">
        <f aca="false">IF($G928="","",IF(H928&gt;0,IF(I928&gt;0,MIN(H928,I928),H928),IF(I928&gt;0,I928,تاريخ_الاحتساب)))</f>
        <v/>
      </c>
      <c r="K928" s="34" t="str">
        <f aca="false">IF($G928="","",IF(AND(H928=0,I928=0),"جارية","مغلقة"))</f>
        <v/>
      </c>
      <c r="L928" s="26" t="str">
        <f aca="false">IF($G928="","",MAX(0,NETWORKDAYS.INTL($E928,J928,رمز_العطلة,أيام_الأجازات)-1))</f>
        <v/>
      </c>
      <c r="M928" s="26" t="str">
        <f aca="false">IF($G928="","",MAX(0,L928-مهلة_المراجعة))</f>
        <v/>
      </c>
      <c r="N928" s="30" t="str">
        <f aca="false">IF($A928="",IF(OR($D928&lt;&gt;"",$E928&lt;&gt;""),"رقم المخرج ناقص",""),IF(ISNA(MATCH($A928,قائمة_المخرجات,0)),"رقم مخرج غير موجود",IF($D928="","نوع الحركة ناقص",IF(NOT(ISNUMBER($E928)),"التاريخ ناقص",IF($E928&gt;تاريخ_الاحتساب,"تاريخ بعد تاريخ الاحتساب",IF(AND($D928&lt;&gt;"تسليم",COUNTIFS($A$5:$A$1504,$A928,$D$5:$D$1504,"تسليم",$E$5:$E$1504,"&lt;="&amp;$E928)=0),"لا يوجد تسليم قبل الحركة دي",""))))))</f>
        <v/>
      </c>
    </row>
    <row r="929" customFormat="false" ht="15" hidden="false" customHeight="false" outlineLevel="0" collapsed="false">
      <c r="A929" s="20"/>
      <c r="B929" s="35" t="str">
        <f aca="false">IF($A929="","",IFERROR(INDEX(مخرج_البند,MATCH($A929,قائمة_المخرجات,0)),""))</f>
        <v/>
      </c>
      <c r="C929" s="30" t="str">
        <f aca="false">IF($A929="","",IFERROR(INDEX(مخرج_الوصف,MATCH($A929,قائمة_المخرجات,0)),""))</f>
        <v/>
      </c>
      <c r="D929" s="20"/>
      <c r="E929" s="31"/>
      <c r="F929" s="22"/>
      <c r="G929" s="36" t="str">
        <f aca="false">IF(OR($A929="",$D929&lt;&gt;"تسليم",NOT(ISNUMBER($E929))),"",COUNTIFS($A$5:$A$1504,$A929,$D$5:$D$1504,"تسليم",$E$5:$E$1504,"&lt;"&amp;$E929)+1)</f>
        <v/>
      </c>
      <c r="H929" s="33" t="str">
        <f aca="false">IF($G929="","",_xlfn.MINIFS($E$5:$E$1504,$A$5:$A$1504,$A929,$D$5:$D$1504,"&lt;&gt;تسليم",$E$5:$E$1504,"&gt;="&amp;$E929))</f>
        <v/>
      </c>
      <c r="I929" s="33" t="str">
        <f aca="false">IF($G929="","",_xlfn.MINIFS($E$5:$E$1504,$A$5:$A$1504,$A929,$D$5:$D$1504,"تسليم",$E$5:$E$1504,"&gt;"&amp;$E929))</f>
        <v/>
      </c>
      <c r="J929" s="33" t="str">
        <f aca="false">IF($G929="","",IF(H929&gt;0,IF(I929&gt;0,MIN(H929,I929),H929),IF(I929&gt;0,I929,تاريخ_الاحتساب)))</f>
        <v/>
      </c>
      <c r="K929" s="34" t="str">
        <f aca="false">IF($G929="","",IF(AND(H929=0,I929=0),"جارية","مغلقة"))</f>
        <v/>
      </c>
      <c r="L929" s="26" t="str">
        <f aca="false">IF($G929="","",MAX(0,NETWORKDAYS.INTL($E929,J929,رمز_العطلة,أيام_الأجازات)-1))</f>
        <v/>
      </c>
      <c r="M929" s="26" t="str">
        <f aca="false">IF($G929="","",MAX(0,L929-مهلة_المراجعة))</f>
        <v/>
      </c>
      <c r="N929" s="30" t="str">
        <f aca="false">IF($A929="",IF(OR($D929&lt;&gt;"",$E929&lt;&gt;""),"رقم المخرج ناقص",""),IF(ISNA(MATCH($A929,قائمة_المخرجات,0)),"رقم مخرج غير موجود",IF($D929="","نوع الحركة ناقص",IF(NOT(ISNUMBER($E929)),"التاريخ ناقص",IF($E929&gt;تاريخ_الاحتساب,"تاريخ بعد تاريخ الاحتساب",IF(AND($D929&lt;&gt;"تسليم",COUNTIFS($A$5:$A$1504,$A929,$D$5:$D$1504,"تسليم",$E$5:$E$1504,"&lt;="&amp;$E929)=0),"لا يوجد تسليم قبل الحركة دي",""))))))</f>
        <v/>
      </c>
    </row>
    <row r="930" customFormat="false" ht="15" hidden="false" customHeight="false" outlineLevel="0" collapsed="false">
      <c r="A930" s="20"/>
      <c r="B930" s="35" t="str">
        <f aca="false">IF($A930="","",IFERROR(INDEX(مخرج_البند,MATCH($A930,قائمة_المخرجات,0)),""))</f>
        <v/>
      </c>
      <c r="C930" s="30" t="str">
        <f aca="false">IF($A930="","",IFERROR(INDEX(مخرج_الوصف,MATCH($A930,قائمة_المخرجات,0)),""))</f>
        <v/>
      </c>
      <c r="D930" s="20"/>
      <c r="E930" s="31"/>
      <c r="F930" s="22"/>
      <c r="G930" s="36" t="str">
        <f aca="false">IF(OR($A930="",$D930&lt;&gt;"تسليم",NOT(ISNUMBER($E930))),"",COUNTIFS($A$5:$A$1504,$A930,$D$5:$D$1504,"تسليم",$E$5:$E$1504,"&lt;"&amp;$E930)+1)</f>
        <v/>
      </c>
      <c r="H930" s="33" t="str">
        <f aca="false">IF($G930="","",_xlfn.MINIFS($E$5:$E$1504,$A$5:$A$1504,$A930,$D$5:$D$1504,"&lt;&gt;تسليم",$E$5:$E$1504,"&gt;="&amp;$E930))</f>
        <v/>
      </c>
      <c r="I930" s="33" t="str">
        <f aca="false">IF($G930="","",_xlfn.MINIFS($E$5:$E$1504,$A$5:$A$1504,$A930,$D$5:$D$1504,"تسليم",$E$5:$E$1504,"&gt;"&amp;$E930))</f>
        <v/>
      </c>
      <c r="J930" s="33" t="str">
        <f aca="false">IF($G930="","",IF(H930&gt;0,IF(I930&gt;0,MIN(H930,I930),H930),IF(I930&gt;0,I930,تاريخ_الاحتساب)))</f>
        <v/>
      </c>
      <c r="K930" s="34" t="str">
        <f aca="false">IF($G930="","",IF(AND(H930=0,I930=0),"جارية","مغلقة"))</f>
        <v/>
      </c>
      <c r="L930" s="26" t="str">
        <f aca="false">IF($G930="","",MAX(0,NETWORKDAYS.INTL($E930,J930,رمز_العطلة,أيام_الأجازات)-1))</f>
        <v/>
      </c>
      <c r="M930" s="26" t="str">
        <f aca="false">IF($G930="","",MAX(0,L930-مهلة_المراجعة))</f>
        <v/>
      </c>
      <c r="N930" s="30" t="str">
        <f aca="false">IF($A930="",IF(OR($D930&lt;&gt;"",$E930&lt;&gt;""),"رقم المخرج ناقص",""),IF(ISNA(MATCH($A930,قائمة_المخرجات,0)),"رقم مخرج غير موجود",IF($D930="","نوع الحركة ناقص",IF(NOT(ISNUMBER($E930)),"التاريخ ناقص",IF($E930&gt;تاريخ_الاحتساب,"تاريخ بعد تاريخ الاحتساب",IF(AND($D930&lt;&gt;"تسليم",COUNTIFS($A$5:$A$1504,$A930,$D$5:$D$1504,"تسليم",$E$5:$E$1504,"&lt;="&amp;$E930)=0),"لا يوجد تسليم قبل الحركة دي",""))))))</f>
        <v/>
      </c>
    </row>
    <row r="931" customFormat="false" ht="15" hidden="false" customHeight="false" outlineLevel="0" collapsed="false">
      <c r="A931" s="20"/>
      <c r="B931" s="35" t="str">
        <f aca="false">IF($A931="","",IFERROR(INDEX(مخرج_البند,MATCH($A931,قائمة_المخرجات,0)),""))</f>
        <v/>
      </c>
      <c r="C931" s="30" t="str">
        <f aca="false">IF($A931="","",IFERROR(INDEX(مخرج_الوصف,MATCH($A931,قائمة_المخرجات,0)),""))</f>
        <v/>
      </c>
      <c r="D931" s="20"/>
      <c r="E931" s="31"/>
      <c r="F931" s="22"/>
      <c r="G931" s="36" t="str">
        <f aca="false">IF(OR($A931="",$D931&lt;&gt;"تسليم",NOT(ISNUMBER($E931))),"",COUNTIFS($A$5:$A$1504,$A931,$D$5:$D$1504,"تسليم",$E$5:$E$1504,"&lt;"&amp;$E931)+1)</f>
        <v/>
      </c>
      <c r="H931" s="33" t="str">
        <f aca="false">IF($G931="","",_xlfn.MINIFS($E$5:$E$1504,$A$5:$A$1504,$A931,$D$5:$D$1504,"&lt;&gt;تسليم",$E$5:$E$1504,"&gt;="&amp;$E931))</f>
        <v/>
      </c>
      <c r="I931" s="33" t="str">
        <f aca="false">IF($G931="","",_xlfn.MINIFS($E$5:$E$1504,$A$5:$A$1504,$A931,$D$5:$D$1504,"تسليم",$E$5:$E$1504,"&gt;"&amp;$E931))</f>
        <v/>
      </c>
      <c r="J931" s="33" t="str">
        <f aca="false">IF($G931="","",IF(H931&gt;0,IF(I931&gt;0,MIN(H931,I931),H931),IF(I931&gt;0,I931,تاريخ_الاحتساب)))</f>
        <v/>
      </c>
      <c r="K931" s="34" t="str">
        <f aca="false">IF($G931="","",IF(AND(H931=0,I931=0),"جارية","مغلقة"))</f>
        <v/>
      </c>
      <c r="L931" s="26" t="str">
        <f aca="false">IF($G931="","",MAX(0,NETWORKDAYS.INTL($E931,J931,رمز_العطلة,أيام_الأجازات)-1))</f>
        <v/>
      </c>
      <c r="M931" s="26" t="str">
        <f aca="false">IF($G931="","",MAX(0,L931-مهلة_المراجعة))</f>
        <v/>
      </c>
      <c r="N931" s="30" t="str">
        <f aca="false">IF($A931="",IF(OR($D931&lt;&gt;"",$E931&lt;&gt;""),"رقم المخرج ناقص",""),IF(ISNA(MATCH($A931,قائمة_المخرجات,0)),"رقم مخرج غير موجود",IF($D931="","نوع الحركة ناقص",IF(NOT(ISNUMBER($E931)),"التاريخ ناقص",IF($E931&gt;تاريخ_الاحتساب,"تاريخ بعد تاريخ الاحتساب",IF(AND($D931&lt;&gt;"تسليم",COUNTIFS($A$5:$A$1504,$A931,$D$5:$D$1504,"تسليم",$E$5:$E$1504,"&lt;="&amp;$E931)=0),"لا يوجد تسليم قبل الحركة دي",""))))))</f>
        <v/>
      </c>
    </row>
    <row r="932" customFormat="false" ht="15" hidden="false" customHeight="false" outlineLevel="0" collapsed="false">
      <c r="A932" s="20"/>
      <c r="B932" s="35" t="str">
        <f aca="false">IF($A932="","",IFERROR(INDEX(مخرج_البند,MATCH($A932,قائمة_المخرجات,0)),""))</f>
        <v/>
      </c>
      <c r="C932" s="30" t="str">
        <f aca="false">IF($A932="","",IFERROR(INDEX(مخرج_الوصف,MATCH($A932,قائمة_المخرجات,0)),""))</f>
        <v/>
      </c>
      <c r="D932" s="20"/>
      <c r="E932" s="31"/>
      <c r="F932" s="22"/>
      <c r="G932" s="36" t="str">
        <f aca="false">IF(OR($A932="",$D932&lt;&gt;"تسليم",NOT(ISNUMBER($E932))),"",COUNTIFS($A$5:$A$1504,$A932,$D$5:$D$1504,"تسليم",$E$5:$E$1504,"&lt;"&amp;$E932)+1)</f>
        <v/>
      </c>
      <c r="H932" s="33" t="str">
        <f aca="false">IF($G932="","",_xlfn.MINIFS($E$5:$E$1504,$A$5:$A$1504,$A932,$D$5:$D$1504,"&lt;&gt;تسليم",$E$5:$E$1504,"&gt;="&amp;$E932))</f>
        <v/>
      </c>
      <c r="I932" s="33" t="str">
        <f aca="false">IF($G932="","",_xlfn.MINIFS($E$5:$E$1504,$A$5:$A$1504,$A932,$D$5:$D$1504,"تسليم",$E$5:$E$1504,"&gt;"&amp;$E932))</f>
        <v/>
      </c>
      <c r="J932" s="33" t="str">
        <f aca="false">IF($G932="","",IF(H932&gt;0,IF(I932&gt;0,MIN(H932,I932),H932),IF(I932&gt;0,I932,تاريخ_الاحتساب)))</f>
        <v/>
      </c>
      <c r="K932" s="34" t="str">
        <f aca="false">IF($G932="","",IF(AND(H932=0,I932=0),"جارية","مغلقة"))</f>
        <v/>
      </c>
      <c r="L932" s="26" t="str">
        <f aca="false">IF($G932="","",MAX(0,NETWORKDAYS.INTL($E932,J932,رمز_العطلة,أيام_الأجازات)-1))</f>
        <v/>
      </c>
      <c r="M932" s="26" t="str">
        <f aca="false">IF($G932="","",MAX(0,L932-مهلة_المراجعة))</f>
        <v/>
      </c>
      <c r="N932" s="30" t="str">
        <f aca="false">IF($A932="",IF(OR($D932&lt;&gt;"",$E932&lt;&gt;""),"رقم المخرج ناقص",""),IF(ISNA(MATCH($A932,قائمة_المخرجات,0)),"رقم مخرج غير موجود",IF($D932="","نوع الحركة ناقص",IF(NOT(ISNUMBER($E932)),"التاريخ ناقص",IF($E932&gt;تاريخ_الاحتساب,"تاريخ بعد تاريخ الاحتساب",IF(AND($D932&lt;&gt;"تسليم",COUNTIFS($A$5:$A$1504,$A932,$D$5:$D$1504,"تسليم",$E$5:$E$1504,"&lt;="&amp;$E932)=0),"لا يوجد تسليم قبل الحركة دي",""))))))</f>
        <v/>
      </c>
    </row>
    <row r="933" customFormat="false" ht="15" hidden="false" customHeight="false" outlineLevel="0" collapsed="false">
      <c r="A933" s="20"/>
      <c r="B933" s="35" t="str">
        <f aca="false">IF($A933="","",IFERROR(INDEX(مخرج_البند,MATCH($A933,قائمة_المخرجات,0)),""))</f>
        <v/>
      </c>
      <c r="C933" s="30" t="str">
        <f aca="false">IF($A933="","",IFERROR(INDEX(مخرج_الوصف,MATCH($A933,قائمة_المخرجات,0)),""))</f>
        <v/>
      </c>
      <c r="D933" s="20"/>
      <c r="E933" s="31"/>
      <c r="F933" s="22"/>
      <c r="G933" s="36" t="str">
        <f aca="false">IF(OR($A933="",$D933&lt;&gt;"تسليم",NOT(ISNUMBER($E933))),"",COUNTIFS($A$5:$A$1504,$A933,$D$5:$D$1504,"تسليم",$E$5:$E$1504,"&lt;"&amp;$E933)+1)</f>
        <v/>
      </c>
      <c r="H933" s="33" t="str">
        <f aca="false">IF($G933="","",_xlfn.MINIFS($E$5:$E$1504,$A$5:$A$1504,$A933,$D$5:$D$1504,"&lt;&gt;تسليم",$E$5:$E$1504,"&gt;="&amp;$E933))</f>
        <v/>
      </c>
      <c r="I933" s="33" t="str">
        <f aca="false">IF($G933="","",_xlfn.MINIFS($E$5:$E$1504,$A$5:$A$1504,$A933,$D$5:$D$1504,"تسليم",$E$5:$E$1504,"&gt;"&amp;$E933))</f>
        <v/>
      </c>
      <c r="J933" s="33" t="str">
        <f aca="false">IF($G933="","",IF(H933&gt;0,IF(I933&gt;0,MIN(H933,I933),H933),IF(I933&gt;0,I933,تاريخ_الاحتساب)))</f>
        <v/>
      </c>
      <c r="K933" s="34" t="str">
        <f aca="false">IF($G933="","",IF(AND(H933=0,I933=0),"جارية","مغلقة"))</f>
        <v/>
      </c>
      <c r="L933" s="26" t="str">
        <f aca="false">IF($G933="","",MAX(0,NETWORKDAYS.INTL($E933,J933,رمز_العطلة,أيام_الأجازات)-1))</f>
        <v/>
      </c>
      <c r="M933" s="26" t="str">
        <f aca="false">IF($G933="","",MAX(0,L933-مهلة_المراجعة))</f>
        <v/>
      </c>
      <c r="N933" s="30" t="str">
        <f aca="false">IF($A933="",IF(OR($D933&lt;&gt;"",$E933&lt;&gt;""),"رقم المخرج ناقص",""),IF(ISNA(MATCH($A933,قائمة_المخرجات,0)),"رقم مخرج غير موجود",IF($D933="","نوع الحركة ناقص",IF(NOT(ISNUMBER($E933)),"التاريخ ناقص",IF($E933&gt;تاريخ_الاحتساب,"تاريخ بعد تاريخ الاحتساب",IF(AND($D933&lt;&gt;"تسليم",COUNTIFS($A$5:$A$1504,$A933,$D$5:$D$1504,"تسليم",$E$5:$E$1504,"&lt;="&amp;$E933)=0),"لا يوجد تسليم قبل الحركة دي",""))))))</f>
        <v/>
      </c>
    </row>
    <row r="934" customFormat="false" ht="15" hidden="false" customHeight="false" outlineLevel="0" collapsed="false">
      <c r="A934" s="20"/>
      <c r="B934" s="35" t="str">
        <f aca="false">IF($A934="","",IFERROR(INDEX(مخرج_البند,MATCH($A934,قائمة_المخرجات,0)),""))</f>
        <v/>
      </c>
      <c r="C934" s="30" t="str">
        <f aca="false">IF($A934="","",IFERROR(INDEX(مخرج_الوصف,MATCH($A934,قائمة_المخرجات,0)),""))</f>
        <v/>
      </c>
      <c r="D934" s="20"/>
      <c r="E934" s="31"/>
      <c r="F934" s="22"/>
      <c r="G934" s="36" t="str">
        <f aca="false">IF(OR($A934="",$D934&lt;&gt;"تسليم",NOT(ISNUMBER($E934))),"",COUNTIFS($A$5:$A$1504,$A934,$D$5:$D$1504,"تسليم",$E$5:$E$1504,"&lt;"&amp;$E934)+1)</f>
        <v/>
      </c>
      <c r="H934" s="33" t="str">
        <f aca="false">IF($G934="","",_xlfn.MINIFS($E$5:$E$1504,$A$5:$A$1504,$A934,$D$5:$D$1504,"&lt;&gt;تسليم",$E$5:$E$1504,"&gt;="&amp;$E934))</f>
        <v/>
      </c>
      <c r="I934" s="33" t="str">
        <f aca="false">IF($G934="","",_xlfn.MINIFS($E$5:$E$1504,$A$5:$A$1504,$A934,$D$5:$D$1504,"تسليم",$E$5:$E$1504,"&gt;"&amp;$E934))</f>
        <v/>
      </c>
      <c r="J934" s="33" t="str">
        <f aca="false">IF($G934="","",IF(H934&gt;0,IF(I934&gt;0,MIN(H934,I934),H934),IF(I934&gt;0,I934,تاريخ_الاحتساب)))</f>
        <v/>
      </c>
      <c r="K934" s="34" t="str">
        <f aca="false">IF($G934="","",IF(AND(H934=0,I934=0),"جارية","مغلقة"))</f>
        <v/>
      </c>
      <c r="L934" s="26" t="str">
        <f aca="false">IF($G934="","",MAX(0,NETWORKDAYS.INTL($E934,J934,رمز_العطلة,أيام_الأجازات)-1))</f>
        <v/>
      </c>
      <c r="M934" s="26" t="str">
        <f aca="false">IF($G934="","",MAX(0,L934-مهلة_المراجعة))</f>
        <v/>
      </c>
      <c r="N934" s="30" t="str">
        <f aca="false">IF($A934="",IF(OR($D934&lt;&gt;"",$E934&lt;&gt;""),"رقم المخرج ناقص",""),IF(ISNA(MATCH($A934,قائمة_المخرجات,0)),"رقم مخرج غير موجود",IF($D934="","نوع الحركة ناقص",IF(NOT(ISNUMBER($E934)),"التاريخ ناقص",IF($E934&gt;تاريخ_الاحتساب,"تاريخ بعد تاريخ الاحتساب",IF(AND($D934&lt;&gt;"تسليم",COUNTIFS($A$5:$A$1504,$A934,$D$5:$D$1504,"تسليم",$E$5:$E$1504,"&lt;="&amp;$E934)=0),"لا يوجد تسليم قبل الحركة دي",""))))))</f>
        <v/>
      </c>
    </row>
    <row r="935" customFormat="false" ht="15" hidden="false" customHeight="false" outlineLevel="0" collapsed="false">
      <c r="A935" s="20"/>
      <c r="B935" s="35" t="str">
        <f aca="false">IF($A935="","",IFERROR(INDEX(مخرج_البند,MATCH($A935,قائمة_المخرجات,0)),""))</f>
        <v/>
      </c>
      <c r="C935" s="30" t="str">
        <f aca="false">IF($A935="","",IFERROR(INDEX(مخرج_الوصف,MATCH($A935,قائمة_المخرجات,0)),""))</f>
        <v/>
      </c>
      <c r="D935" s="20"/>
      <c r="E935" s="31"/>
      <c r="F935" s="22"/>
      <c r="G935" s="36" t="str">
        <f aca="false">IF(OR($A935="",$D935&lt;&gt;"تسليم",NOT(ISNUMBER($E935))),"",COUNTIFS($A$5:$A$1504,$A935,$D$5:$D$1504,"تسليم",$E$5:$E$1504,"&lt;"&amp;$E935)+1)</f>
        <v/>
      </c>
      <c r="H935" s="33" t="str">
        <f aca="false">IF($G935="","",_xlfn.MINIFS($E$5:$E$1504,$A$5:$A$1504,$A935,$D$5:$D$1504,"&lt;&gt;تسليم",$E$5:$E$1504,"&gt;="&amp;$E935))</f>
        <v/>
      </c>
      <c r="I935" s="33" t="str">
        <f aca="false">IF($G935="","",_xlfn.MINIFS($E$5:$E$1504,$A$5:$A$1504,$A935,$D$5:$D$1504,"تسليم",$E$5:$E$1504,"&gt;"&amp;$E935))</f>
        <v/>
      </c>
      <c r="J935" s="33" t="str">
        <f aca="false">IF($G935="","",IF(H935&gt;0,IF(I935&gt;0,MIN(H935,I935),H935),IF(I935&gt;0,I935,تاريخ_الاحتساب)))</f>
        <v/>
      </c>
      <c r="K935" s="34" t="str">
        <f aca="false">IF($G935="","",IF(AND(H935=0,I935=0),"جارية","مغلقة"))</f>
        <v/>
      </c>
      <c r="L935" s="26" t="str">
        <f aca="false">IF($G935="","",MAX(0,NETWORKDAYS.INTL($E935,J935,رمز_العطلة,أيام_الأجازات)-1))</f>
        <v/>
      </c>
      <c r="M935" s="26" t="str">
        <f aca="false">IF($G935="","",MAX(0,L935-مهلة_المراجعة))</f>
        <v/>
      </c>
      <c r="N935" s="30" t="str">
        <f aca="false">IF($A935="",IF(OR($D935&lt;&gt;"",$E935&lt;&gt;""),"رقم المخرج ناقص",""),IF(ISNA(MATCH($A935,قائمة_المخرجات,0)),"رقم مخرج غير موجود",IF($D935="","نوع الحركة ناقص",IF(NOT(ISNUMBER($E935)),"التاريخ ناقص",IF($E935&gt;تاريخ_الاحتساب,"تاريخ بعد تاريخ الاحتساب",IF(AND($D935&lt;&gt;"تسليم",COUNTIFS($A$5:$A$1504,$A935,$D$5:$D$1504,"تسليم",$E$5:$E$1504,"&lt;="&amp;$E935)=0),"لا يوجد تسليم قبل الحركة دي",""))))))</f>
        <v/>
      </c>
    </row>
    <row r="936" customFormat="false" ht="15" hidden="false" customHeight="false" outlineLevel="0" collapsed="false">
      <c r="A936" s="20"/>
      <c r="B936" s="35" t="str">
        <f aca="false">IF($A936="","",IFERROR(INDEX(مخرج_البند,MATCH($A936,قائمة_المخرجات,0)),""))</f>
        <v/>
      </c>
      <c r="C936" s="30" t="str">
        <f aca="false">IF($A936="","",IFERROR(INDEX(مخرج_الوصف,MATCH($A936,قائمة_المخرجات,0)),""))</f>
        <v/>
      </c>
      <c r="D936" s="20"/>
      <c r="E936" s="31"/>
      <c r="F936" s="22"/>
      <c r="G936" s="36" t="str">
        <f aca="false">IF(OR($A936="",$D936&lt;&gt;"تسليم",NOT(ISNUMBER($E936))),"",COUNTIFS($A$5:$A$1504,$A936,$D$5:$D$1504,"تسليم",$E$5:$E$1504,"&lt;"&amp;$E936)+1)</f>
        <v/>
      </c>
      <c r="H936" s="33" t="str">
        <f aca="false">IF($G936="","",_xlfn.MINIFS($E$5:$E$1504,$A$5:$A$1504,$A936,$D$5:$D$1504,"&lt;&gt;تسليم",$E$5:$E$1504,"&gt;="&amp;$E936))</f>
        <v/>
      </c>
      <c r="I936" s="33" t="str">
        <f aca="false">IF($G936="","",_xlfn.MINIFS($E$5:$E$1504,$A$5:$A$1504,$A936,$D$5:$D$1504,"تسليم",$E$5:$E$1504,"&gt;"&amp;$E936))</f>
        <v/>
      </c>
      <c r="J936" s="33" t="str">
        <f aca="false">IF($G936="","",IF(H936&gt;0,IF(I936&gt;0,MIN(H936,I936),H936),IF(I936&gt;0,I936,تاريخ_الاحتساب)))</f>
        <v/>
      </c>
      <c r="K936" s="34" t="str">
        <f aca="false">IF($G936="","",IF(AND(H936=0,I936=0),"جارية","مغلقة"))</f>
        <v/>
      </c>
      <c r="L936" s="26" t="str">
        <f aca="false">IF($G936="","",MAX(0,NETWORKDAYS.INTL($E936,J936,رمز_العطلة,أيام_الأجازات)-1))</f>
        <v/>
      </c>
      <c r="M936" s="26" t="str">
        <f aca="false">IF($G936="","",MAX(0,L936-مهلة_المراجعة))</f>
        <v/>
      </c>
      <c r="N936" s="30" t="str">
        <f aca="false">IF($A936="",IF(OR($D936&lt;&gt;"",$E936&lt;&gt;""),"رقم المخرج ناقص",""),IF(ISNA(MATCH($A936,قائمة_المخرجات,0)),"رقم مخرج غير موجود",IF($D936="","نوع الحركة ناقص",IF(NOT(ISNUMBER($E936)),"التاريخ ناقص",IF($E936&gt;تاريخ_الاحتساب,"تاريخ بعد تاريخ الاحتساب",IF(AND($D936&lt;&gt;"تسليم",COUNTIFS($A$5:$A$1504,$A936,$D$5:$D$1504,"تسليم",$E$5:$E$1504,"&lt;="&amp;$E936)=0),"لا يوجد تسليم قبل الحركة دي",""))))))</f>
        <v/>
      </c>
    </row>
    <row r="937" customFormat="false" ht="15" hidden="false" customHeight="false" outlineLevel="0" collapsed="false">
      <c r="A937" s="20"/>
      <c r="B937" s="35" t="str">
        <f aca="false">IF($A937="","",IFERROR(INDEX(مخرج_البند,MATCH($A937,قائمة_المخرجات,0)),""))</f>
        <v/>
      </c>
      <c r="C937" s="30" t="str">
        <f aca="false">IF($A937="","",IFERROR(INDEX(مخرج_الوصف,MATCH($A937,قائمة_المخرجات,0)),""))</f>
        <v/>
      </c>
      <c r="D937" s="20"/>
      <c r="E937" s="31"/>
      <c r="F937" s="22"/>
      <c r="G937" s="36" t="str">
        <f aca="false">IF(OR($A937="",$D937&lt;&gt;"تسليم",NOT(ISNUMBER($E937))),"",COUNTIFS($A$5:$A$1504,$A937,$D$5:$D$1504,"تسليم",$E$5:$E$1504,"&lt;"&amp;$E937)+1)</f>
        <v/>
      </c>
      <c r="H937" s="33" t="str">
        <f aca="false">IF($G937="","",_xlfn.MINIFS($E$5:$E$1504,$A$5:$A$1504,$A937,$D$5:$D$1504,"&lt;&gt;تسليم",$E$5:$E$1504,"&gt;="&amp;$E937))</f>
        <v/>
      </c>
      <c r="I937" s="33" t="str">
        <f aca="false">IF($G937="","",_xlfn.MINIFS($E$5:$E$1504,$A$5:$A$1504,$A937,$D$5:$D$1504,"تسليم",$E$5:$E$1504,"&gt;"&amp;$E937))</f>
        <v/>
      </c>
      <c r="J937" s="33" t="str">
        <f aca="false">IF($G937="","",IF(H937&gt;0,IF(I937&gt;0,MIN(H937,I937),H937),IF(I937&gt;0,I937,تاريخ_الاحتساب)))</f>
        <v/>
      </c>
      <c r="K937" s="34" t="str">
        <f aca="false">IF($G937="","",IF(AND(H937=0,I937=0),"جارية","مغلقة"))</f>
        <v/>
      </c>
      <c r="L937" s="26" t="str">
        <f aca="false">IF($G937="","",MAX(0,NETWORKDAYS.INTL($E937,J937,رمز_العطلة,أيام_الأجازات)-1))</f>
        <v/>
      </c>
      <c r="M937" s="26" t="str">
        <f aca="false">IF($G937="","",MAX(0,L937-مهلة_المراجعة))</f>
        <v/>
      </c>
      <c r="N937" s="30" t="str">
        <f aca="false">IF($A937="",IF(OR($D937&lt;&gt;"",$E937&lt;&gt;""),"رقم المخرج ناقص",""),IF(ISNA(MATCH($A937,قائمة_المخرجات,0)),"رقم مخرج غير موجود",IF($D937="","نوع الحركة ناقص",IF(NOT(ISNUMBER($E937)),"التاريخ ناقص",IF($E937&gt;تاريخ_الاحتساب,"تاريخ بعد تاريخ الاحتساب",IF(AND($D937&lt;&gt;"تسليم",COUNTIFS($A$5:$A$1504,$A937,$D$5:$D$1504,"تسليم",$E$5:$E$1504,"&lt;="&amp;$E937)=0),"لا يوجد تسليم قبل الحركة دي",""))))))</f>
        <v/>
      </c>
    </row>
    <row r="938" customFormat="false" ht="15" hidden="false" customHeight="false" outlineLevel="0" collapsed="false">
      <c r="A938" s="20"/>
      <c r="B938" s="35" t="str">
        <f aca="false">IF($A938="","",IFERROR(INDEX(مخرج_البند,MATCH($A938,قائمة_المخرجات,0)),""))</f>
        <v/>
      </c>
      <c r="C938" s="30" t="str">
        <f aca="false">IF($A938="","",IFERROR(INDEX(مخرج_الوصف,MATCH($A938,قائمة_المخرجات,0)),""))</f>
        <v/>
      </c>
      <c r="D938" s="20"/>
      <c r="E938" s="31"/>
      <c r="F938" s="22"/>
      <c r="G938" s="36" t="str">
        <f aca="false">IF(OR($A938="",$D938&lt;&gt;"تسليم",NOT(ISNUMBER($E938))),"",COUNTIFS($A$5:$A$1504,$A938,$D$5:$D$1504,"تسليم",$E$5:$E$1504,"&lt;"&amp;$E938)+1)</f>
        <v/>
      </c>
      <c r="H938" s="33" t="str">
        <f aca="false">IF($G938="","",_xlfn.MINIFS($E$5:$E$1504,$A$5:$A$1504,$A938,$D$5:$D$1504,"&lt;&gt;تسليم",$E$5:$E$1504,"&gt;="&amp;$E938))</f>
        <v/>
      </c>
      <c r="I938" s="33" t="str">
        <f aca="false">IF($G938="","",_xlfn.MINIFS($E$5:$E$1504,$A$5:$A$1504,$A938,$D$5:$D$1504,"تسليم",$E$5:$E$1504,"&gt;"&amp;$E938))</f>
        <v/>
      </c>
      <c r="J938" s="33" t="str">
        <f aca="false">IF($G938="","",IF(H938&gt;0,IF(I938&gt;0,MIN(H938,I938),H938),IF(I938&gt;0,I938,تاريخ_الاحتساب)))</f>
        <v/>
      </c>
      <c r="K938" s="34" t="str">
        <f aca="false">IF($G938="","",IF(AND(H938=0,I938=0),"جارية","مغلقة"))</f>
        <v/>
      </c>
      <c r="L938" s="26" t="str">
        <f aca="false">IF($G938="","",MAX(0,NETWORKDAYS.INTL($E938,J938,رمز_العطلة,أيام_الأجازات)-1))</f>
        <v/>
      </c>
      <c r="M938" s="26" t="str">
        <f aca="false">IF($G938="","",MAX(0,L938-مهلة_المراجعة))</f>
        <v/>
      </c>
      <c r="N938" s="30" t="str">
        <f aca="false">IF($A938="",IF(OR($D938&lt;&gt;"",$E938&lt;&gt;""),"رقم المخرج ناقص",""),IF(ISNA(MATCH($A938,قائمة_المخرجات,0)),"رقم مخرج غير موجود",IF($D938="","نوع الحركة ناقص",IF(NOT(ISNUMBER($E938)),"التاريخ ناقص",IF($E938&gt;تاريخ_الاحتساب,"تاريخ بعد تاريخ الاحتساب",IF(AND($D938&lt;&gt;"تسليم",COUNTIFS($A$5:$A$1504,$A938,$D$5:$D$1504,"تسليم",$E$5:$E$1504,"&lt;="&amp;$E938)=0),"لا يوجد تسليم قبل الحركة دي",""))))))</f>
        <v/>
      </c>
    </row>
    <row r="939" customFormat="false" ht="15" hidden="false" customHeight="false" outlineLevel="0" collapsed="false">
      <c r="A939" s="20"/>
      <c r="B939" s="35" t="str">
        <f aca="false">IF($A939="","",IFERROR(INDEX(مخرج_البند,MATCH($A939,قائمة_المخرجات,0)),""))</f>
        <v/>
      </c>
      <c r="C939" s="30" t="str">
        <f aca="false">IF($A939="","",IFERROR(INDEX(مخرج_الوصف,MATCH($A939,قائمة_المخرجات,0)),""))</f>
        <v/>
      </c>
      <c r="D939" s="20"/>
      <c r="E939" s="31"/>
      <c r="F939" s="22"/>
      <c r="G939" s="36" t="str">
        <f aca="false">IF(OR($A939="",$D939&lt;&gt;"تسليم",NOT(ISNUMBER($E939))),"",COUNTIFS($A$5:$A$1504,$A939,$D$5:$D$1504,"تسليم",$E$5:$E$1504,"&lt;"&amp;$E939)+1)</f>
        <v/>
      </c>
      <c r="H939" s="33" t="str">
        <f aca="false">IF($G939="","",_xlfn.MINIFS($E$5:$E$1504,$A$5:$A$1504,$A939,$D$5:$D$1504,"&lt;&gt;تسليم",$E$5:$E$1504,"&gt;="&amp;$E939))</f>
        <v/>
      </c>
      <c r="I939" s="33" t="str">
        <f aca="false">IF($G939="","",_xlfn.MINIFS($E$5:$E$1504,$A$5:$A$1504,$A939,$D$5:$D$1504,"تسليم",$E$5:$E$1504,"&gt;"&amp;$E939))</f>
        <v/>
      </c>
      <c r="J939" s="33" t="str">
        <f aca="false">IF($G939="","",IF(H939&gt;0,IF(I939&gt;0,MIN(H939,I939),H939),IF(I939&gt;0,I939,تاريخ_الاحتساب)))</f>
        <v/>
      </c>
      <c r="K939" s="34" t="str">
        <f aca="false">IF($G939="","",IF(AND(H939=0,I939=0),"جارية","مغلقة"))</f>
        <v/>
      </c>
      <c r="L939" s="26" t="str">
        <f aca="false">IF($G939="","",MAX(0,NETWORKDAYS.INTL($E939,J939,رمز_العطلة,أيام_الأجازات)-1))</f>
        <v/>
      </c>
      <c r="M939" s="26" t="str">
        <f aca="false">IF($G939="","",MAX(0,L939-مهلة_المراجعة))</f>
        <v/>
      </c>
      <c r="N939" s="30" t="str">
        <f aca="false">IF($A939="",IF(OR($D939&lt;&gt;"",$E939&lt;&gt;""),"رقم المخرج ناقص",""),IF(ISNA(MATCH($A939,قائمة_المخرجات,0)),"رقم مخرج غير موجود",IF($D939="","نوع الحركة ناقص",IF(NOT(ISNUMBER($E939)),"التاريخ ناقص",IF($E939&gt;تاريخ_الاحتساب,"تاريخ بعد تاريخ الاحتساب",IF(AND($D939&lt;&gt;"تسليم",COUNTIFS($A$5:$A$1504,$A939,$D$5:$D$1504,"تسليم",$E$5:$E$1504,"&lt;="&amp;$E939)=0),"لا يوجد تسليم قبل الحركة دي",""))))))</f>
        <v/>
      </c>
    </row>
    <row r="940" customFormat="false" ht="15" hidden="false" customHeight="false" outlineLevel="0" collapsed="false">
      <c r="A940" s="20"/>
      <c r="B940" s="35" t="str">
        <f aca="false">IF($A940="","",IFERROR(INDEX(مخرج_البند,MATCH($A940,قائمة_المخرجات,0)),""))</f>
        <v/>
      </c>
      <c r="C940" s="30" t="str">
        <f aca="false">IF($A940="","",IFERROR(INDEX(مخرج_الوصف,MATCH($A940,قائمة_المخرجات,0)),""))</f>
        <v/>
      </c>
      <c r="D940" s="20"/>
      <c r="E940" s="31"/>
      <c r="F940" s="22"/>
      <c r="G940" s="36" t="str">
        <f aca="false">IF(OR($A940="",$D940&lt;&gt;"تسليم",NOT(ISNUMBER($E940))),"",COUNTIFS($A$5:$A$1504,$A940,$D$5:$D$1504,"تسليم",$E$5:$E$1504,"&lt;"&amp;$E940)+1)</f>
        <v/>
      </c>
      <c r="H940" s="33" t="str">
        <f aca="false">IF($G940="","",_xlfn.MINIFS($E$5:$E$1504,$A$5:$A$1504,$A940,$D$5:$D$1504,"&lt;&gt;تسليم",$E$5:$E$1504,"&gt;="&amp;$E940))</f>
        <v/>
      </c>
      <c r="I940" s="33" t="str">
        <f aca="false">IF($G940="","",_xlfn.MINIFS($E$5:$E$1504,$A$5:$A$1504,$A940,$D$5:$D$1504,"تسليم",$E$5:$E$1504,"&gt;"&amp;$E940))</f>
        <v/>
      </c>
      <c r="J940" s="33" t="str">
        <f aca="false">IF($G940="","",IF(H940&gt;0,IF(I940&gt;0,MIN(H940,I940),H940),IF(I940&gt;0,I940,تاريخ_الاحتساب)))</f>
        <v/>
      </c>
      <c r="K940" s="34" t="str">
        <f aca="false">IF($G940="","",IF(AND(H940=0,I940=0),"جارية","مغلقة"))</f>
        <v/>
      </c>
      <c r="L940" s="26" t="str">
        <f aca="false">IF($G940="","",MAX(0,NETWORKDAYS.INTL($E940,J940,رمز_العطلة,أيام_الأجازات)-1))</f>
        <v/>
      </c>
      <c r="M940" s="26" t="str">
        <f aca="false">IF($G940="","",MAX(0,L940-مهلة_المراجعة))</f>
        <v/>
      </c>
      <c r="N940" s="30" t="str">
        <f aca="false">IF($A940="",IF(OR($D940&lt;&gt;"",$E940&lt;&gt;""),"رقم المخرج ناقص",""),IF(ISNA(MATCH($A940,قائمة_المخرجات,0)),"رقم مخرج غير موجود",IF($D940="","نوع الحركة ناقص",IF(NOT(ISNUMBER($E940)),"التاريخ ناقص",IF($E940&gt;تاريخ_الاحتساب,"تاريخ بعد تاريخ الاحتساب",IF(AND($D940&lt;&gt;"تسليم",COUNTIFS($A$5:$A$1504,$A940,$D$5:$D$1504,"تسليم",$E$5:$E$1504,"&lt;="&amp;$E940)=0),"لا يوجد تسليم قبل الحركة دي",""))))))</f>
        <v/>
      </c>
    </row>
    <row r="941" customFormat="false" ht="15" hidden="false" customHeight="false" outlineLevel="0" collapsed="false">
      <c r="A941" s="20"/>
      <c r="B941" s="35" t="str">
        <f aca="false">IF($A941="","",IFERROR(INDEX(مخرج_البند,MATCH($A941,قائمة_المخرجات,0)),""))</f>
        <v/>
      </c>
      <c r="C941" s="30" t="str">
        <f aca="false">IF($A941="","",IFERROR(INDEX(مخرج_الوصف,MATCH($A941,قائمة_المخرجات,0)),""))</f>
        <v/>
      </c>
      <c r="D941" s="20"/>
      <c r="E941" s="31"/>
      <c r="F941" s="22"/>
      <c r="G941" s="36" t="str">
        <f aca="false">IF(OR($A941="",$D941&lt;&gt;"تسليم",NOT(ISNUMBER($E941))),"",COUNTIFS($A$5:$A$1504,$A941,$D$5:$D$1504,"تسليم",$E$5:$E$1504,"&lt;"&amp;$E941)+1)</f>
        <v/>
      </c>
      <c r="H941" s="33" t="str">
        <f aca="false">IF($G941="","",_xlfn.MINIFS($E$5:$E$1504,$A$5:$A$1504,$A941,$D$5:$D$1504,"&lt;&gt;تسليم",$E$5:$E$1504,"&gt;="&amp;$E941))</f>
        <v/>
      </c>
      <c r="I941" s="33" t="str">
        <f aca="false">IF($G941="","",_xlfn.MINIFS($E$5:$E$1504,$A$5:$A$1504,$A941,$D$5:$D$1504,"تسليم",$E$5:$E$1504,"&gt;"&amp;$E941))</f>
        <v/>
      </c>
      <c r="J941" s="33" t="str">
        <f aca="false">IF($G941="","",IF(H941&gt;0,IF(I941&gt;0,MIN(H941,I941),H941),IF(I941&gt;0,I941,تاريخ_الاحتساب)))</f>
        <v/>
      </c>
      <c r="K941" s="34" t="str">
        <f aca="false">IF($G941="","",IF(AND(H941=0,I941=0),"جارية","مغلقة"))</f>
        <v/>
      </c>
      <c r="L941" s="26" t="str">
        <f aca="false">IF($G941="","",MAX(0,NETWORKDAYS.INTL($E941,J941,رمز_العطلة,أيام_الأجازات)-1))</f>
        <v/>
      </c>
      <c r="M941" s="26" t="str">
        <f aca="false">IF($G941="","",MAX(0,L941-مهلة_المراجعة))</f>
        <v/>
      </c>
      <c r="N941" s="30" t="str">
        <f aca="false">IF($A941="",IF(OR($D941&lt;&gt;"",$E941&lt;&gt;""),"رقم المخرج ناقص",""),IF(ISNA(MATCH($A941,قائمة_المخرجات,0)),"رقم مخرج غير موجود",IF($D941="","نوع الحركة ناقص",IF(NOT(ISNUMBER($E941)),"التاريخ ناقص",IF($E941&gt;تاريخ_الاحتساب,"تاريخ بعد تاريخ الاحتساب",IF(AND($D941&lt;&gt;"تسليم",COUNTIFS($A$5:$A$1504,$A941,$D$5:$D$1504,"تسليم",$E$5:$E$1504,"&lt;="&amp;$E941)=0),"لا يوجد تسليم قبل الحركة دي",""))))))</f>
        <v/>
      </c>
    </row>
    <row r="942" customFormat="false" ht="15" hidden="false" customHeight="false" outlineLevel="0" collapsed="false">
      <c r="A942" s="20"/>
      <c r="B942" s="35" t="str">
        <f aca="false">IF($A942="","",IFERROR(INDEX(مخرج_البند,MATCH($A942,قائمة_المخرجات,0)),""))</f>
        <v/>
      </c>
      <c r="C942" s="30" t="str">
        <f aca="false">IF($A942="","",IFERROR(INDEX(مخرج_الوصف,MATCH($A942,قائمة_المخرجات,0)),""))</f>
        <v/>
      </c>
      <c r="D942" s="20"/>
      <c r="E942" s="31"/>
      <c r="F942" s="22"/>
      <c r="G942" s="36" t="str">
        <f aca="false">IF(OR($A942="",$D942&lt;&gt;"تسليم",NOT(ISNUMBER($E942))),"",COUNTIFS($A$5:$A$1504,$A942,$D$5:$D$1504,"تسليم",$E$5:$E$1504,"&lt;"&amp;$E942)+1)</f>
        <v/>
      </c>
      <c r="H942" s="33" t="str">
        <f aca="false">IF($G942="","",_xlfn.MINIFS($E$5:$E$1504,$A$5:$A$1504,$A942,$D$5:$D$1504,"&lt;&gt;تسليم",$E$5:$E$1504,"&gt;="&amp;$E942))</f>
        <v/>
      </c>
      <c r="I942" s="33" t="str">
        <f aca="false">IF($G942="","",_xlfn.MINIFS($E$5:$E$1504,$A$5:$A$1504,$A942,$D$5:$D$1504,"تسليم",$E$5:$E$1504,"&gt;"&amp;$E942))</f>
        <v/>
      </c>
      <c r="J942" s="33" t="str">
        <f aca="false">IF($G942="","",IF(H942&gt;0,IF(I942&gt;0,MIN(H942,I942),H942),IF(I942&gt;0,I942,تاريخ_الاحتساب)))</f>
        <v/>
      </c>
      <c r="K942" s="34" t="str">
        <f aca="false">IF($G942="","",IF(AND(H942=0,I942=0),"جارية","مغلقة"))</f>
        <v/>
      </c>
      <c r="L942" s="26" t="str">
        <f aca="false">IF($G942="","",MAX(0,NETWORKDAYS.INTL($E942,J942,رمز_العطلة,أيام_الأجازات)-1))</f>
        <v/>
      </c>
      <c r="M942" s="26" t="str">
        <f aca="false">IF($G942="","",MAX(0,L942-مهلة_المراجعة))</f>
        <v/>
      </c>
      <c r="N942" s="30" t="str">
        <f aca="false">IF($A942="",IF(OR($D942&lt;&gt;"",$E942&lt;&gt;""),"رقم المخرج ناقص",""),IF(ISNA(MATCH($A942,قائمة_المخرجات,0)),"رقم مخرج غير موجود",IF($D942="","نوع الحركة ناقص",IF(NOT(ISNUMBER($E942)),"التاريخ ناقص",IF($E942&gt;تاريخ_الاحتساب,"تاريخ بعد تاريخ الاحتساب",IF(AND($D942&lt;&gt;"تسليم",COUNTIFS($A$5:$A$1504,$A942,$D$5:$D$1504,"تسليم",$E$5:$E$1504,"&lt;="&amp;$E942)=0),"لا يوجد تسليم قبل الحركة دي",""))))))</f>
        <v/>
      </c>
    </row>
    <row r="943" customFormat="false" ht="15" hidden="false" customHeight="false" outlineLevel="0" collapsed="false">
      <c r="A943" s="20"/>
      <c r="B943" s="35" t="str">
        <f aca="false">IF($A943="","",IFERROR(INDEX(مخرج_البند,MATCH($A943,قائمة_المخرجات,0)),""))</f>
        <v/>
      </c>
      <c r="C943" s="30" t="str">
        <f aca="false">IF($A943="","",IFERROR(INDEX(مخرج_الوصف,MATCH($A943,قائمة_المخرجات,0)),""))</f>
        <v/>
      </c>
      <c r="D943" s="20"/>
      <c r="E943" s="31"/>
      <c r="F943" s="22"/>
      <c r="G943" s="36" t="str">
        <f aca="false">IF(OR($A943="",$D943&lt;&gt;"تسليم",NOT(ISNUMBER($E943))),"",COUNTIFS($A$5:$A$1504,$A943,$D$5:$D$1504,"تسليم",$E$5:$E$1504,"&lt;"&amp;$E943)+1)</f>
        <v/>
      </c>
      <c r="H943" s="33" t="str">
        <f aca="false">IF($G943="","",_xlfn.MINIFS($E$5:$E$1504,$A$5:$A$1504,$A943,$D$5:$D$1504,"&lt;&gt;تسليم",$E$5:$E$1504,"&gt;="&amp;$E943))</f>
        <v/>
      </c>
      <c r="I943" s="33" t="str">
        <f aca="false">IF($G943="","",_xlfn.MINIFS($E$5:$E$1504,$A$5:$A$1504,$A943,$D$5:$D$1504,"تسليم",$E$5:$E$1504,"&gt;"&amp;$E943))</f>
        <v/>
      </c>
      <c r="J943" s="33" t="str">
        <f aca="false">IF($G943="","",IF(H943&gt;0,IF(I943&gt;0,MIN(H943,I943),H943),IF(I943&gt;0,I943,تاريخ_الاحتساب)))</f>
        <v/>
      </c>
      <c r="K943" s="34" t="str">
        <f aca="false">IF($G943="","",IF(AND(H943=0,I943=0),"جارية","مغلقة"))</f>
        <v/>
      </c>
      <c r="L943" s="26" t="str">
        <f aca="false">IF($G943="","",MAX(0,NETWORKDAYS.INTL($E943,J943,رمز_العطلة,أيام_الأجازات)-1))</f>
        <v/>
      </c>
      <c r="M943" s="26" t="str">
        <f aca="false">IF($G943="","",MAX(0,L943-مهلة_المراجعة))</f>
        <v/>
      </c>
      <c r="N943" s="30" t="str">
        <f aca="false">IF($A943="",IF(OR($D943&lt;&gt;"",$E943&lt;&gt;""),"رقم المخرج ناقص",""),IF(ISNA(MATCH($A943,قائمة_المخرجات,0)),"رقم مخرج غير موجود",IF($D943="","نوع الحركة ناقص",IF(NOT(ISNUMBER($E943)),"التاريخ ناقص",IF($E943&gt;تاريخ_الاحتساب,"تاريخ بعد تاريخ الاحتساب",IF(AND($D943&lt;&gt;"تسليم",COUNTIFS($A$5:$A$1504,$A943,$D$5:$D$1504,"تسليم",$E$5:$E$1504,"&lt;="&amp;$E943)=0),"لا يوجد تسليم قبل الحركة دي",""))))))</f>
        <v/>
      </c>
    </row>
    <row r="944" customFormat="false" ht="15" hidden="false" customHeight="false" outlineLevel="0" collapsed="false">
      <c r="A944" s="20"/>
      <c r="B944" s="35" t="str">
        <f aca="false">IF($A944="","",IFERROR(INDEX(مخرج_البند,MATCH($A944,قائمة_المخرجات,0)),""))</f>
        <v/>
      </c>
      <c r="C944" s="30" t="str">
        <f aca="false">IF($A944="","",IFERROR(INDEX(مخرج_الوصف,MATCH($A944,قائمة_المخرجات,0)),""))</f>
        <v/>
      </c>
      <c r="D944" s="20"/>
      <c r="E944" s="31"/>
      <c r="F944" s="22"/>
      <c r="G944" s="36" t="str">
        <f aca="false">IF(OR($A944="",$D944&lt;&gt;"تسليم",NOT(ISNUMBER($E944))),"",COUNTIFS($A$5:$A$1504,$A944,$D$5:$D$1504,"تسليم",$E$5:$E$1504,"&lt;"&amp;$E944)+1)</f>
        <v/>
      </c>
      <c r="H944" s="33" t="str">
        <f aca="false">IF($G944="","",_xlfn.MINIFS($E$5:$E$1504,$A$5:$A$1504,$A944,$D$5:$D$1504,"&lt;&gt;تسليم",$E$5:$E$1504,"&gt;="&amp;$E944))</f>
        <v/>
      </c>
      <c r="I944" s="33" t="str">
        <f aca="false">IF($G944="","",_xlfn.MINIFS($E$5:$E$1504,$A$5:$A$1504,$A944,$D$5:$D$1504,"تسليم",$E$5:$E$1504,"&gt;"&amp;$E944))</f>
        <v/>
      </c>
      <c r="J944" s="33" t="str">
        <f aca="false">IF($G944="","",IF(H944&gt;0,IF(I944&gt;0,MIN(H944,I944),H944),IF(I944&gt;0,I944,تاريخ_الاحتساب)))</f>
        <v/>
      </c>
      <c r="K944" s="34" t="str">
        <f aca="false">IF($G944="","",IF(AND(H944=0,I944=0),"جارية","مغلقة"))</f>
        <v/>
      </c>
      <c r="L944" s="26" t="str">
        <f aca="false">IF($G944="","",MAX(0,NETWORKDAYS.INTL($E944,J944,رمز_العطلة,أيام_الأجازات)-1))</f>
        <v/>
      </c>
      <c r="M944" s="26" t="str">
        <f aca="false">IF($G944="","",MAX(0,L944-مهلة_المراجعة))</f>
        <v/>
      </c>
      <c r="N944" s="30" t="str">
        <f aca="false">IF($A944="",IF(OR($D944&lt;&gt;"",$E944&lt;&gt;""),"رقم المخرج ناقص",""),IF(ISNA(MATCH($A944,قائمة_المخرجات,0)),"رقم مخرج غير موجود",IF($D944="","نوع الحركة ناقص",IF(NOT(ISNUMBER($E944)),"التاريخ ناقص",IF($E944&gt;تاريخ_الاحتساب,"تاريخ بعد تاريخ الاحتساب",IF(AND($D944&lt;&gt;"تسليم",COUNTIFS($A$5:$A$1504,$A944,$D$5:$D$1504,"تسليم",$E$5:$E$1504,"&lt;="&amp;$E944)=0),"لا يوجد تسليم قبل الحركة دي",""))))))</f>
        <v/>
      </c>
    </row>
    <row r="945" customFormat="false" ht="15" hidden="false" customHeight="false" outlineLevel="0" collapsed="false">
      <c r="A945" s="20"/>
      <c r="B945" s="35" t="str">
        <f aca="false">IF($A945="","",IFERROR(INDEX(مخرج_البند,MATCH($A945,قائمة_المخرجات,0)),""))</f>
        <v/>
      </c>
      <c r="C945" s="30" t="str">
        <f aca="false">IF($A945="","",IFERROR(INDEX(مخرج_الوصف,MATCH($A945,قائمة_المخرجات,0)),""))</f>
        <v/>
      </c>
      <c r="D945" s="20"/>
      <c r="E945" s="31"/>
      <c r="F945" s="22"/>
      <c r="G945" s="36" t="str">
        <f aca="false">IF(OR($A945="",$D945&lt;&gt;"تسليم",NOT(ISNUMBER($E945))),"",COUNTIFS($A$5:$A$1504,$A945,$D$5:$D$1504,"تسليم",$E$5:$E$1504,"&lt;"&amp;$E945)+1)</f>
        <v/>
      </c>
      <c r="H945" s="33" t="str">
        <f aca="false">IF($G945="","",_xlfn.MINIFS($E$5:$E$1504,$A$5:$A$1504,$A945,$D$5:$D$1504,"&lt;&gt;تسليم",$E$5:$E$1504,"&gt;="&amp;$E945))</f>
        <v/>
      </c>
      <c r="I945" s="33" t="str">
        <f aca="false">IF($G945="","",_xlfn.MINIFS($E$5:$E$1504,$A$5:$A$1504,$A945,$D$5:$D$1504,"تسليم",$E$5:$E$1504,"&gt;"&amp;$E945))</f>
        <v/>
      </c>
      <c r="J945" s="33" t="str">
        <f aca="false">IF($G945="","",IF(H945&gt;0,IF(I945&gt;0,MIN(H945,I945),H945),IF(I945&gt;0,I945,تاريخ_الاحتساب)))</f>
        <v/>
      </c>
      <c r="K945" s="34" t="str">
        <f aca="false">IF($G945="","",IF(AND(H945=0,I945=0),"جارية","مغلقة"))</f>
        <v/>
      </c>
      <c r="L945" s="26" t="str">
        <f aca="false">IF($G945="","",MAX(0,NETWORKDAYS.INTL($E945,J945,رمز_العطلة,أيام_الأجازات)-1))</f>
        <v/>
      </c>
      <c r="M945" s="26" t="str">
        <f aca="false">IF($G945="","",MAX(0,L945-مهلة_المراجعة))</f>
        <v/>
      </c>
      <c r="N945" s="30" t="str">
        <f aca="false">IF($A945="",IF(OR($D945&lt;&gt;"",$E945&lt;&gt;""),"رقم المخرج ناقص",""),IF(ISNA(MATCH($A945,قائمة_المخرجات,0)),"رقم مخرج غير موجود",IF($D945="","نوع الحركة ناقص",IF(NOT(ISNUMBER($E945)),"التاريخ ناقص",IF($E945&gt;تاريخ_الاحتساب,"تاريخ بعد تاريخ الاحتساب",IF(AND($D945&lt;&gt;"تسليم",COUNTIFS($A$5:$A$1504,$A945,$D$5:$D$1504,"تسليم",$E$5:$E$1504,"&lt;="&amp;$E945)=0),"لا يوجد تسليم قبل الحركة دي",""))))))</f>
        <v/>
      </c>
    </row>
    <row r="946" customFormat="false" ht="15" hidden="false" customHeight="false" outlineLevel="0" collapsed="false">
      <c r="A946" s="20"/>
      <c r="B946" s="35" t="str">
        <f aca="false">IF($A946="","",IFERROR(INDEX(مخرج_البند,MATCH($A946,قائمة_المخرجات,0)),""))</f>
        <v/>
      </c>
      <c r="C946" s="30" t="str">
        <f aca="false">IF($A946="","",IFERROR(INDEX(مخرج_الوصف,MATCH($A946,قائمة_المخرجات,0)),""))</f>
        <v/>
      </c>
      <c r="D946" s="20"/>
      <c r="E946" s="31"/>
      <c r="F946" s="22"/>
      <c r="G946" s="36" t="str">
        <f aca="false">IF(OR($A946="",$D946&lt;&gt;"تسليم",NOT(ISNUMBER($E946))),"",COUNTIFS($A$5:$A$1504,$A946,$D$5:$D$1504,"تسليم",$E$5:$E$1504,"&lt;"&amp;$E946)+1)</f>
        <v/>
      </c>
      <c r="H946" s="33" t="str">
        <f aca="false">IF($G946="","",_xlfn.MINIFS($E$5:$E$1504,$A$5:$A$1504,$A946,$D$5:$D$1504,"&lt;&gt;تسليم",$E$5:$E$1504,"&gt;="&amp;$E946))</f>
        <v/>
      </c>
      <c r="I946" s="33" t="str">
        <f aca="false">IF($G946="","",_xlfn.MINIFS($E$5:$E$1504,$A$5:$A$1504,$A946,$D$5:$D$1504,"تسليم",$E$5:$E$1504,"&gt;"&amp;$E946))</f>
        <v/>
      </c>
      <c r="J946" s="33" t="str">
        <f aca="false">IF($G946="","",IF(H946&gt;0,IF(I946&gt;0,MIN(H946,I946),H946),IF(I946&gt;0,I946,تاريخ_الاحتساب)))</f>
        <v/>
      </c>
      <c r="K946" s="34" t="str">
        <f aca="false">IF($G946="","",IF(AND(H946=0,I946=0),"جارية","مغلقة"))</f>
        <v/>
      </c>
      <c r="L946" s="26" t="str">
        <f aca="false">IF($G946="","",MAX(0,NETWORKDAYS.INTL($E946,J946,رمز_العطلة,أيام_الأجازات)-1))</f>
        <v/>
      </c>
      <c r="M946" s="26" t="str">
        <f aca="false">IF($G946="","",MAX(0,L946-مهلة_المراجعة))</f>
        <v/>
      </c>
      <c r="N946" s="30" t="str">
        <f aca="false">IF($A946="",IF(OR($D946&lt;&gt;"",$E946&lt;&gt;""),"رقم المخرج ناقص",""),IF(ISNA(MATCH($A946,قائمة_المخرجات,0)),"رقم مخرج غير موجود",IF($D946="","نوع الحركة ناقص",IF(NOT(ISNUMBER($E946)),"التاريخ ناقص",IF($E946&gt;تاريخ_الاحتساب,"تاريخ بعد تاريخ الاحتساب",IF(AND($D946&lt;&gt;"تسليم",COUNTIFS($A$5:$A$1504,$A946,$D$5:$D$1504,"تسليم",$E$5:$E$1504,"&lt;="&amp;$E946)=0),"لا يوجد تسليم قبل الحركة دي",""))))))</f>
        <v/>
      </c>
    </row>
    <row r="947" customFormat="false" ht="15" hidden="false" customHeight="false" outlineLevel="0" collapsed="false">
      <c r="A947" s="20"/>
      <c r="B947" s="35" t="str">
        <f aca="false">IF($A947="","",IFERROR(INDEX(مخرج_البند,MATCH($A947,قائمة_المخرجات,0)),""))</f>
        <v/>
      </c>
      <c r="C947" s="30" t="str">
        <f aca="false">IF($A947="","",IFERROR(INDEX(مخرج_الوصف,MATCH($A947,قائمة_المخرجات,0)),""))</f>
        <v/>
      </c>
      <c r="D947" s="20"/>
      <c r="E947" s="31"/>
      <c r="F947" s="22"/>
      <c r="G947" s="36" t="str">
        <f aca="false">IF(OR($A947="",$D947&lt;&gt;"تسليم",NOT(ISNUMBER($E947))),"",COUNTIFS($A$5:$A$1504,$A947,$D$5:$D$1504,"تسليم",$E$5:$E$1504,"&lt;"&amp;$E947)+1)</f>
        <v/>
      </c>
      <c r="H947" s="33" t="str">
        <f aca="false">IF($G947="","",_xlfn.MINIFS($E$5:$E$1504,$A$5:$A$1504,$A947,$D$5:$D$1504,"&lt;&gt;تسليم",$E$5:$E$1504,"&gt;="&amp;$E947))</f>
        <v/>
      </c>
      <c r="I947" s="33" t="str">
        <f aca="false">IF($G947="","",_xlfn.MINIFS($E$5:$E$1504,$A$5:$A$1504,$A947,$D$5:$D$1504,"تسليم",$E$5:$E$1504,"&gt;"&amp;$E947))</f>
        <v/>
      </c>
      <c r="J947" s="33" t="str">
        <f aca="false">IF($G947="","",IF(H947&gt;0,IF(I947&gt;0,MIN(H947,I947),H947),IF(I947&gt;0,I947,تاريخ_الاحتساب)))</f>
        <v/>
      </c>
      <c r="K947" s="34" t="str">
        <f aca="false">IF($G947="","",IF(AND(H947=0,I947=0),"جارية","مغلقة"))</f>
        <v/>
      </c>
      <c r="L947" s="26" t="str">
        <f aca="false">IF($G947="","",MAX(0,NETWORKDAYS.INTL($E947,J947,رمز_العطلة,أيام_الأجازات)-1))</f>
        <v/>
      </c>
      <c r="M947" s="26" t="str">
        <f aca="false">IF($G947="","",MAX(0,L947-مهلة_المراجعة))</f>
        <v/>
      </c>
      <c r="N947" s="30" t="str">
        <f aca="false">IF($A947="",IF(OR($D947&lt;&gt;"",$E947&lt;&gt;""),"رقم المخرج ناقص",""),IF(ISNA(MATCH($A947,قائمة_المخرجات,0)),"رقم مخرج غير موجود",IF($D947="","نوع الحركة ناقص",IF(NOT(ISNUMBER($E947)),"التاريخ ناقص",IF($E947&gt;تاريخ_الاحتساب,"تاريخ بعد تاريخ الاحتساب",IF(AND($D947&lt;&gt;"تسليم",COUNTIFS($A$5:$A$1504,$A947,$D$5:$D$1504,"تسليم",$E$5:$E$1504,"&lt;="&amp;$E947)=0),"لا يوجد تسليم قبل الحركة دي",""))))))</f>
        <v/>
      </c>
    </row>
    <row r="948" customFormat="false" ht="15" hidden="false" customHeight="false" outlineLevel="0" collapsed="false">
      <c r="A948" s="20"/>
      <c r="B948" s="35" t="str">
        <f aca="false">IF($A948="","",IFERROR(INDEX(مخرج_البند,MATCH($A948,قائمة_المخرجات,0)),""))</f>
        <v/>
      </c>
      <c r="C948" s="30" t="str">
        <f aca="false">IF($A948="","",IFERROR(INDEX(مخرج_الوصف,MATCH($A948,قائمة_المخرجات,0)),""))</f>
        <v/>
      </c>
      <c r="D948" s="20"/>
      <c r="E948" s="31"/>
      <c r="F948" s="22"/>
      <c r="G948" s="36" t="str">
        <f aca="false">IF(OR($A948="",$D948&lt;&gt;"تسليم",NOT(ISNUMBER($E948))),"",COUNTIFS($A$5:$A$1504,$A948,$D$5:$D$1504,"تسليم",$E$5:$E$1504,"&lt;"&amp;$E948)+1)</f>
        <v/>
      </c>
      <c r="H948" s="33" t="str">
        <f aca="false">IF($G948="","",_xlfn.MINIFS($E$5:$E$1504,$A$5:$A$1504,$A948,$D$5:$D$1504,"&lt;&gt;تسليم",$E$5:$E$1504,"&gt;="&amp;$E948))</f>
        <v/>
      </c>
      <c r="I948" s="33" t="str">
        <f aca="false">IF($G948="","",_xlfn.MINIFS($E$5:$E$1504,$A$5:$A$1504,$A948,$D$5:$D$1504,"تسليم",$E$5:$E$1504,"&gt;"&amp;$E948))</f>
        <v/>
      </c>
      <c r="J948" s="33" t="str">
        <f aca="false">IF($G948="","",IF(H948&gt;0,IF(I948&gt;0,MIN(H948,I948),H948),IF(I948&gt;0,I948,تاريخ_الاحتساب)))</f>
        <v/>
      </c>
      <c r="K948" s="34" t="str">
        <f aca="false">IF($G948="","",IF(AND(H948=0,I948=0),"جارية","مغلقة"))</f>
        <v/>
      </c>
      <c r="L948" s="26" t="str">
        <f aca="false">IF($G948="","",MAX(0,NETWORKDAYS.INTL($E948,J948,رمز_العطلة,أيام_الأجازات)-1))</f>
        <v/>
      </c>
      <c r="M948" s="26" t="str">
        <f aca="false">IF($G948="","",MAX(0,L948-مهلة_المراجعة))</f>
        <v/>
      </c>
      <c r="N948" s="30" t="str">
        <f aca="false">IF($A948="",IF(OR($D948&lt;&gt;"",$E948&lt;&gt;""),"رقم المخرج ناقص",""),IF(ISNA(MATCH($A948,قائمة_المخرجات,0)),"رقم مخرج غير موجود",IF($D948="","نوع الحركة ناقص",IF(NOT(ISNUMBER($E948)),"التاريخ ناقص",IF($E948&gt;تاريخ_الاحتساب,"تاريخ بعد تاريخ الاحتساب",IF(AND($D948&lt;&gt;"تسليم",COUNTIFS($A$5:$A$1504,$A948,$D$5:$D$1504,"تسليم",$E$5:$E$1504,"&lt;="&amp;$E948)=0),"لا يوجد تسليم قبل الحركة دي",""))))))</f>
        <v/>
      </c>
    </row>
    <row r="949" customFormat="false" ht="15" hidden="false" customHeight="false" outlineLevel="0" collapsed="false">
      <c r="A949" s="20"/>
      <c r="B949" s="35" t="str">
        <f aca="false">IF($A949="","",IFERROR(INDEX(مخرج_البند,MATCH($A949,قائمة_المخرجات,0)),""))</f>
        <v/>
      </c>
      <c r="C949" s="30" t="str">
        <f aca="false">IF($A949="","",IFERROR(INDEX(مخرج_الوصف,MATCH($A949,قائمة_المخرجات,0)),""))</f>
        <v/>
      </c>
      <c r="D949" s="20"/>
      <c r="E949" s="31"/>
      <c r="F949" s="22"/>
      <c r="G949" s="36" t="str">
        <f aca="false">IF(OR($A949="",$D949&lt;&gt;"تسليم",NOT(ISNUMBER($E949))),"",COUNTIFS($A$5:$A$1504,$A949,$D$5:$D$1504,"تسليم",$E$5:$E$1504,"&lt;"&amp;$E949)+1)</f>
        <v/>
      </c>
      <c r="H949" s="33" t="str">
        <f aca="false">IF($G949="","",_xlfn.MINIFS($E$5:$E$1504,$A$5:$A$1504,$A949,$D$5:$D$1504,"&lt;&gt;تسليم",$E$5:$E$1504,"&gt;="&amp;$E949))</f>
        <v/>
      </c>
      <c r="I949" s="33" t="str">
        <f aca="false">IF($G949="","",_xlfn.MINIFS($E$5:$E$1504,$A$5:$A$1504,$A949,$D$5:$D$1504,"تسليم",$E$5:$E$1504,"&gt;"&amp;$E949))</f>
        <v/>
      </c>
      <c r="J949" s="33" t="str">
        <f aca="false">IF($G949="","",IF(H949&gt;0,IF(I949&gt;0,MIN(H949,I949),H949),IF(I949&gt;0,I949,تاريخ_الاحتساب)))</f>
        <v/>
      </c>
      <c r="K949" s="34" t="str">
        <f aca="false">IF($G949="","",IF(AND(H949=0,I949=0),"جارية","مغلقة"))</f>
        <v/>
      </c>
      <c r="L949" s="26" t="str">
        <f aca="false">IF($G949="","",MAX(0,NETWORKDAYS.INTL($E949,J949,رمز_العطلة,أيام_الأجازات)-1))</f>
        <v/>
      </c>
      <c r="M949" s="26" t="str">
        <f aca="false">IF($G949="","",MAX(0,L949-مهلة_المراجعة))</f>
        <v/>
      </c>
      <c r="N949" s="30" t="str">
        <f aca="false">IF($A949="",IF(OR($D949&lt;&gt;"",$E949&lt;&gt;""),"رقم المخرج ناقص",""),IF(ISNA(MATCH($A949,قائمة_المخرجات,0)),"رقم مخرج غير موجود",IF($D949="","نوع الحركة ناقص",IF(NOT(ISNUMBER($E949)),"التاريخ ناقص",IF($E949&gt;تاريخ_الاحتساب,"تاريخ بعد تاريخ الاحتساب",IF(AND($D949&lt;&gt;"تسليم",COUNTIFS($A$5:$A$1504,$A949,$D$5:$D$1504,"تسليم",$E$5:$E$1504,"&lt;="&amp;$E949)=0),"لا يوجد تسليم قبل الحركة دي",""))))))</f>
        <v/>
      </c>
    </row>
    <row r="950" customFormat="false" ht="15" hidden="false" customHeight="false" outlineLevel="0" collapsed="false">
      <c r="A950" s="20"/>
      <c r="B950" s="35" t="str">
        <f aca="false">IF($A950="","",IFERROR(INDEX(مخرج_البند,MATCH($A950,قائمة_المخرجات,0)),""))</f>
        <v/>
      </c>
      <c r="C950" s="30" t="str">
        <f aca="false">IF($A950="","",IFERROR(INDEX(مخرج_الوصف,MATCH($A950,قائمة_المخرجات,0)),""))</f>
        <v/>
      </c>
      <c r="D950" s="20"/>
      <c r="E950" s="31"/>
      <c r="F950" s="22"/>
      <c r="G950" s="36" t="str">
        <f aca="false">IF(OR($A950="",$D950&lt;&gt;"تسليم",NOT(ISNUMBER($E950))),"",COUNTIFS($A$5:$A$1504,$A950,$D$5:$D$1504,"تسليم",$E$5:$E$1504,"&lt;"&amp;$E950)+1)</f>
        <v/>
      </c>
      <c r="H950" s="33" t="str">
        <f aca="false">IF($G950="","",_xlfn.MINIFS($E$5:$E$1504,$A$5:$A$1504,$A950,$D$5:$D$1504,"&lt;&gt;تسليم",$E$5:$E$1504,"&gt;="&amp;$E950))</f>
        <v/>
      </c>
      <c r="I950" s="33" t="str">
        <f aca="false">IF($G950="","",_xlfn.MINIFS($E$5:$E$1504,$A$5:$A$1504,$A950,$D$5:$D$1504,"تسليم",$E$5:$E$1504,"&gt;"&amp;$E950))</f>
        <v/>
      </c>
      <c r="J950" s="33" t="str">
        <f aca="false">IF($G950="","",IF(H950&gt;0,IF(I950&gt;0,MIN(H950,I950),H950),IF(I950&gt;0,I950,تاريخ_الاحتساب)))</f>
        <v/>
      </c>
      <c r="K950" s="34" t="str">
        <f aca="false">IF($G950="","",IF(AND(H950=0,I950=0),"جارية","مغلقة"))</f>
        <v/>
      </c>
      <c r="L950" s="26" t="str">
        <f aca="false">IF($G950="","",MAX(0,NETWORKDAYS.INTL($E950,J950,رمز_العطلة,أيام_الأجازات)-1))</f>
        <v/>
      </c>
      <c r="M950" s="26" t="str">
        <f aca="false">IF($G950="","",MAX(0,L950-مهلة_المراجعة))</f>
        <v/>
      </c>
      <c r="N950" s="30" t="str">
        <f aca="false">IF($A950="",IF(OR($D950&lt;&gt;"",$E950&lt;&gt;""),"رقم المخرج ناقص",""),IF(ISNA(MATCH($A950,قائمة_المخرجات,0)),"رقم مخرج غير موجود",IF($D950="","نوع الحركة ناقص",IF(NOT(ISNUMBER($E950)),"التاريخ ناقص",IF($E950&gt;تاريخ_الاحتساب,"تاريخ بعد تاريخ الاحتساب",IF(AND($D950&lt;&gt;"تسليم",COUNTIFS($A$5:$A$1504,$A950,$D$5:$D$1504,"تسليم",$E$5:$E$1504,"&lt;="&amp;$E950)=0),"لا يوجد تسليم قبل الحركة دي",""))))))</f>
        <v/>
      </c>
    </row>
    <row r="951" customFormat="false" ht="15" hidden="false" customHeight="false" outlineLevel="0" collapsed="false">
      <c r="A951" s="20"/>
      <c r="B951" s="35" t="str">
        <f aca="false">IF($A951="","",IFERROR(INDEX(مخرج_البند,MATCH($A951,قائمة_المخرجات,0)),""))</f>
        <v/>
      </c>
      <c r="C951" s="30" t="str">
        <f aca="false">IF($A951="","",IFERROR(INDEX(مخرج_الوصف,MATCH($A951,قائمة_المخرجات,0)),""))</f>
        <v/>
      </c>
      <c r="D951" s="20"/>
      <c r="E951" s="31"/>
      <c r="F951" s="22"/>
      <c r="G951" s="36" t="str">
        <f aca="false">IF(OR($A951="",$D951&lt;&gt;"تسليم",NOT(ISNUMBER($E951))),"",COUNTIFS($A$5:$A$1504,$A951,$D$5:$D$1504,"تسليم",$E$5:$E$1504,"&lt;"&amp;$E951)+1)</f>
        <v/>
      </c>
      <c r="H951" s="33" t="str">
        <f aca="false">IF($G951="","",_xlfn.MINIFS($E$5:$E$1504,$A$5:$A$1504,$A951,$D$5:$D$1504,"&lt;&gt;تسليم",$E$5:$E$1504,"&gt;="&amp;$E951))</f>
        <v/>
      </c>
      <c r="I951" s="33" t="str">
        <f aca="false">IF($G951="","",_xlfn.MINIFS($E$5:$E$1504,$A$5:$A$1504,$A951,$D$5:$D$1504,"تسليم",$E$5:$E$1504,"&gt;"&amp;$E951))</f>
        <v/>
      </c>
      <c r="J951" s="33" t="str">
        <f aca="false">IF($G951="","",IF(H951&gt;0,IF(I951&gt;0,MIN(H951,I951),H951),IF(I951&gt;0,I951,تاريخ_الاحتساب)))</f>
        <v/>
      </c>
      <c r="K951" s="34" t="str">
        <f aca="false">IF($G951="","",IF(AND(H951=0,I951=0),"جارية","مغلقة"))</f>
        <v/>
      </c>
      <c r="L951" s="26" t="str">
        <f aca="false">IF($G951="","",MAX(0,NETWORKDAYS.INTL($E951,J951,رمز_العطلة,أيام_الأجازات)-1))</f>
        <v/>
      </c>
      <c r="M951" s="26" t="str">
        <f aca="false">IF($G951="","",MAX(0,L951-مهلة_المراجعة))</f>
        <v/>
      </c>
      <c r="N951" s="30" t="str">
        <f aca="false">IF($A951="",IF(OR($D951&lt;&gt;"",$E951&lt;&gt;""),"رقم المخرج ناقص",""),IF(ISNA(MATCH($A951,قائمة_المخرجات,0)),"رقم مخرج غير موجود",IF($D951="","نوع الحركة ناقص",IF(NOT(ISNUMBER($E951)),"التاريخ ناقص",IF($E951&gt;تاريخ_الاحتساب,"تاريخ بعد تاريخ الاحتساب",IF(AND($D951&lt;&gt;"تسليم",COUNTIFS($A$5:$A$1504,$A951,$D$5:$D$1504,"تسليم",$E$5:$E$1504,"&lt;="&amp;$E951)=0),"لا يوجد تسليم قبل الحركة دي",""))))))</f>
        <v/>
      </c>
    </row>
    <row r="952" customFormat="false" ht="15" hidden="false" customHeight="false" outlineLevel="0" collapsed="false">
      <c r="A952" s="20"/>
      <c r="B952" s="35" t="str">
        <f aca="false">IF($A952="","",IFERROR(INDEX(مخرج_البند,MATCH($A952,قائمة_المخرجات,0)),""))</f>
        <v/>
      </c>
      <c r="C952" s="30" t="str">
        <f aca="false">IF($A952="","",IFERROR(INDEX(مخرج_الوصف,MATCH($A952,قائمة_المخرجات,0)),""))</f>
        <v/>
      </c>
      <c r="D952" s="20"/>
      <c r="E952" s="31"/>
      <c r="F952" s="22"/>
      <c r="G952" s="36" t="str">
        <f aca="false">IF(OR($A952="",$D952&lt;&gt;"تسليم",NOT(ISNUMBER($E952))),"",COUNTIFS($A$5:$A$1504,$A952,$D$5:$D$1504,"تسليم",$E$5:$E$1504,"&lt;"&amp;$E952)+1)</f>
        <v/>
      </c>
      <c r="H952" s="33" t="str">
        <f aca="false">IF($G952="","",_xlfn.MINIFS($E$5:$E$1504,$A$5:$A$1504,$A952,$D$5:$D$1504,"&lt;&gt;تسليم",$E$5:$E$1504,"&gt;="&amp;$E952))</f>
        <v/>
      </c>
      <c r="I952" s="33" t="str">
        <f aca="false">IF($G952="","",_xlfn.MINIFS($E$5:$E$1504,$A$5:$A$1504,$A952,$D$5:$D$1504,"تسليم",$E$5:$E$1504,"&gt;"&amp;$E952))</f>
        <v/>
      </c>
      <c r="J952" s="33" t="str">
        <f aca="false">IF($G952="","",IF(H952&gt;0,IF(I952&gt;0,MIN(H952,I952),H952),IF(I952&gt;0,I952,تاريخ_الاحتساب)))</f>
        <v/>
      </c>
      <c r="K952" s="34" t="str">
        <f aca="false">IF($G952="","",IF(AND(H952=0,I952=0),"جارية","مغلقة"))</f>
        <v/>
      </c>
      <c r="L952" s="26" t="str">
        <f aca="false">IF($G952="","",MAX(0,NETWORKDAYS.INTL($E952,J952,رمز_العطلة,أيام_الأجازات)-1))</f>
        <v/>
      </c>
      <c r="M952" s="26" t="str">
        <f aca="false">IF($G952="","",MAX(0,L952-مهلة_المراجعة))</f>
        <v/>
      </c>
      <c r="N952" s="30" t="str">
        <f aca="false">IF($A952="",IF(OR($D952&lt;&gt;"",$E952&lt;&gt;""),"رقم المخرج ناقص",""),IF(ISNA(MATCH($A952,قائمة_المخرجات,0)),"رقم مخرج غير موجود",IF($D952="","نوع الحركة ناقص",IF(NOT(ISNUMBER($E952)),"التاريخ ناقص",IF($E952&gt;تاريخ_الاحتساب,"تاريخ بعد تاريخ الاحتساب",IF(AND($D952&lt;&gt;"تسليم",COUNTIFS($A$5:$A$1504,$A952,$D$5:$D$1504,"تسليم",$E$5:$E$1504,"&lt;="&amp;$E952)=0),"لا يوجد تسليم قبل الحركة دي",""))))))</f>
        <v/>
      </c>
    </row>
    <row r="953" customFormat="false" ht="15" hidden="false" customHeight="false" outlineLevel="0" collapsed="false">
      <c r="A953" s="20"/>
      <c r="B953" s="35" t="str">
        <f aca="false">IF($A953="","",IFERROR(INDEX(مخرج_البند,MATCH($A953,قائمة_المخرجات,0)),""))</f>
        <v/>
      </c>
      <c r="C953" s="30" t="str">
        <f aca="false">IF($A953="","",IFERROR(INDEX(مخرج_الوصف,MATCH($A953,قائمة_المخرجات,0)),""))</f>
        <v/>
      </c>
      <c r="D953" s="20"/>
      <c r="E953" s="31"/>
      <c r="F953" s="22"/>
      <c r="G953" s="36" t="str">
        <f aca="false">IF(OR($A953="",$D953&lt;&gt;"تسليم",NOT(ISNUMBER($E953))),"",COUNTIFS($A$5:$A$1504,$A953,$D$5:$D$1504,"تسليم",$E$5:$E$1504,"&lt;"&amp;$E953)+1)</f>
        <v/>
      </c>
      <c r="H953" s="33" t="str">
        <f aca="false">IF($G953="","",_xlfn.MINIFS($E$5:$E$1504,$A$5:$A$1504,$A953,$D$5:$D$1504,"&lt;&gt;تسليم",$E$5:$E$1504,"&gt;="&amp;$E953))</f>
        <v/>
      </c>
      <c r="I953" s="33" t="str">
        <f aca="false">IF($G953="","",_xlfn.MINIFS($E$5:$E$1504,$A$5:$A$1504,$A953,$D$5:$D$1504,"تسليم",$E$5:$E$1504,"&gt;"&amp;$E953))</f>
        <v/>
      </c>
      <c r="J953" s="33" t="str">
        <f aca="false">IF($G953="","",IF(H953&gt;0,IF(I953&gt;0,MIN(H953,I953),H953),IF(I953&gt;0,I953,تاريخ_الاحتساب)))</f>
        <v/>
      </c>
      <c r="K953" s="34" t="str">
        <f aca="false">IF($G953="","",IF(AND(H953=0,I953=0),"جارية","مغلقة"))</f>
        <v/>
      </c>
      <c r="L953" s="26" t="str">
        <f aca="false">IF($G953="","",MAX(0,NETWORKDAYS.INTL($E953,J953,رمز_العطلة,أيام_الأجازات)-1))</f>
        <v/>
      </c>
      <c r="M953" s="26" t="str">
        <f aca="false">IF($G953="","",MAX(0,L953-مهلة_المراجعة))</f>
        <v/>
      </c>
      <c r="N953" s="30" t="str">
        <f aca="false">IF($A953="",IF(OR($D953&lt;&gt;"",$E953&lt;&gt;""),"رقم المخرج ناقص",""),IF(ISNA(MATCH($A953,قائمة_المخرجات,0)),"رقم مخرج غير موجود",IF($D953="","نوع الحركة ناقص",IF(NOT(ISNUMBER($E953)),"التاريخ ناقص",IF($E953&gt;تاريخ_الاحتساب,"تاريخ بعد تاريخ الاحتساب",IF(AND($D953&lt;&gt;"تسليم",COUNTIFS($A$5:$A$1504,$A953,$D$5:$D$1504,"تسليم",$E$5:$E$1504,"&lt;="&amp;$E953)=0),"لا يوجد تسليم قبل الحركة دي",""))))))</f>
        <v/>
      </c>
    </row>
    <row r="954" customFormat="false" ht="15" hidden="false" customHeight="false" outlineLevel="0" collapsed="false">
      <c r="A954" s="20"/>
      <c r="B954" s="35" t="str">
        <f aca="false">IF($A954="","",IFERROR(INDEX(مخرج_البند,MATCH($A954,قائمة_المخرجات,0)),""))</f>
        <v/>
      </c>
      <c r="C954" s="30" t="str">
        <f aca="false">IF($A954="","",IFERROR(INDEX(مخرج_الوصف,MATCH($A954,قائمة_المخرجات,0)),""))</f>
        <v/>
      </c>
      <c r="D954" s="20"/>
      <c r="E954" s="31"/>
      <c r="F954" s="22"/>
      <c r="G954" s="36" t="str">
        <f aca="false">IF(OR($A954="",$D954&lt;&gt;"تسليم",NOT(ISNUMBER($E954))),"",COUNTIFS($A$5:$A$1504,$A954,$D$5:$D$1504,"تسليم",$E$5:$E$1504,"&lt;"&amp;$E954)+1)</f>
        <v/>
      </c>
      <c r="H954" s="33" t="str">
        <f aca="false">IF($G954="","",_xlfn.MINIFS($E$5:$E$1504,$A$5:$A$1504,$A954,$D$5:$D$1504,"&lt;&gt;تسليم",$E$5:$E$1504,"&gt;="&amp;$E954))</f>
        <v/>
      </c>
      <c r="I954" s="33" t="str">
        <f aca="false">IF($G954="","",_xlfn.MINIFS($E$5:$E$1504,$A$5:$A$1504,$A954,$D$5:$D$1504,"تسليم",$E$5:$E$1504,"&gt;"&amp;$E954))</f>
        <v/>
      </c>
      <c r="J954" s="33" t="str">
        <f aca="false">IF($G954="","",IF(H954&gt;0,IF(I954&gt;0,MIN(H954,I954),H954),IF(I954&gt;0,I954,تاريخ_الاحتساب)))</f>
        <v/>
      </c>
      <c r="K954" s="34" t="str">
        <f aca="false">IF($G954="","",IF(AND(H954=0,I954=0),"جارية","مغلقة"))</f>
        <v/>
      </c>
      <c r="L954" s="26" t="str">
        <f aca="false">IF($G954="","",MAX(0,NETWORKDAYS.INTL($E954,J954,رمز_العطلة,أيام_الأجازات)-1))</f>
        <v/>
      </c>
      <c r="M954" s="26" t="str">
        <f aca="false">IF($G954="","",MAX(0,L954-مهلة_المراجعة))</f>
        <v/>
      </c>
      <c r="N954" s="30" t="str">
        <f aca="false">IF($A954="",IF(OR($D954&lt;&gt;"",$E954&lt;&gt;""),"رقم المخرج ناقص",""),IF(ISNA(MATCH($A954,قائمة_المخرجات,0)),"رقم مخرج غير موجود",IF($D954="","نوع الحركة ناقص",IF(NOT(ISNUMBER($E954)),"التاريخ ناقص",IF($E954&gt;تاريخ_الاحتساب,"تاريخ بعد تاريخ الاحتساب",IF(AND($D954&lt;&gt;"تسليم",COUNTIFS($A$5:$A$1504,$A954,$D$5:$D$1504,"تسليم",$E$5:$E$1504,"&lt;="&amp;$E954)=0),"لا يوجد تسليم قبل الحركة دي",""))))))</f>
        <v/>
      </c>
    </row>
    <row r="955" customFormat="false" ht="15" hidden="false" customHeight="false" outlineLevel="0" collapsed="false">
      <c r="A955" s="20"/>
      <c r="B955" s="35" t="str">
        <f aca="false">IF($A955="","",IFERROR(INDEX(مخرج_البند,MATCH($A955,قائمة_المخرجات,0)),""))</f>
        <v/>
      </c>
      <c r="C955" s="30" t="str">
        <f aca="false">IF($A955="","",IFERROR(INDEX(مخرج_الوصف,MATCH($A955,قائمة_المخرجات,0)),""))</f>
        <v/>
      </c>
      <c r="D955" s="20"/>
      <c r="E955" s="31"/>
      <c r="F955" s="22"/>
      <c r="G955" s="36" t="str">
        <f aca="false">IF(OR($A955="",$D955&lt;&gt;"تسليم",NOT(ISNUMBER($E955))),"",COUNTIFS($A$5:$A$1504,$A955,$D$5:$D$1504,"تسليم",$E$5:$E$1504,"&lt;"&amp;$E955)+1)</f>
        <v/>
      </c>
      <c r="H955" s="33" t="str">
        <f aca="false">IF($G955="","",_xlfn.MINIFS($E$5:$E$1504,$A$5:$A$1504,$A955,$D$5:$D$1504,"&lt;&gt;تسليم",$E$5:$E$1504,"&gt;="&amp;$E955))</f>
        <v/>
      </c>
      <c r="I955" s="33" t="str">
        <f aca="false">IF($G955="","",_xlfn.MINIFS($E$5:$E$1504,$A$5:$A$1504,$A955,$D$5:$D$1504,"تسليم",$E$5:$E$1504,"&gt;"&amp;$E955))</f>
        <v/>
      </c>
      <c r="J955" s="33" t="str">
        <f aca="false">IF($G955="","",IF(H955&gt;0,IF(I955&gt;0,MIN(H955,I955),H955),IF(I955&gt;0,I955,تاريخ_الاحتساب)))</f>
        <v/>
      </c>
      <c r="K955" s="34" t="str">
        <f aca="false">IF($G955="","",IF(AND(H955=0,I955=0),"جارية","مغلقة"))</f>
        <v/>
      </c>
      <c r="L955" s="26" t="str">
        <f aca="false">IF($G955="","",MAX(0,NETWORKDAYS.INTL($E955,J955,رمز_العطلة,أيام_الأجازات)-1))</f>
        <v/>
      </c>
      <c r="M955" s="26" t="str">
        <f aca="false">IF($G955="","",MAX(0,L955-مهلة_المراجعة))</f>
        <v/>
      </c>
      <c r="N955" s="30" t="str">
        <f aca="false">IF($A955="",IF(OR($D955&lt;&gt;"",$E955&lt;&gt;""),"رقم المخرج ناقص",""),IF(ISNA(MATCH($A955,قائمة_المخرجات,0)),"رقم مخرج غير موجود",IF($D955="","نوع الحركة ناقص",IF(NOT(ISNUMBER($E955)),"التاريخ ناقص",IF($E955&gt;تاريخ_الاحتساب,"تاريخ بعد تاريخ الاحتساب",IF(AND($D955&lt;&gt;"تسليم",COUNTIFS($A$5:$A$1504,$A955,$D$5:$D$1504,"تسليم",$E$5:$E$1504,"&lt;="&amp;$E955)=0),"لا يوجد تسليم قبل الحركة دي",""))))))</f>
        <v/>
      </c>
    </row>
    <row r="956" customFormat="false" ht="15" hidden="false" customHeight="false" outlineLevel="0" collapsed="false">
      <c r="A956" s="20"/>
      <c r="B956" s="35" t="str">
        <f aca="false">IF($A956="","",IFERROR(INDEX(مخرج_البند,MATCH($A956,قائمة_المخرجات,0)),""))</f>
        <v/>
      </c>
      <c r="C956" s="30" t="str">
        <f aca="false">IF($A956="","",IFERROR(INDEX(مخرج_الوصف,MATCH($A956,قائمة_المخرجات,0)),""))</f>
        <v/>
      </c>
      <c r="D956" s="20"/>
      <c r="E956" s="31"/>
      <c r="F956" s="22"/>
      <c r="G956" s="36" t="str">
        <f aca="false">IF(OR($A956="",$D956&lt;&gt;"تسليم",NOT(ISNUMBER($E956))),"",COUNTIFS($A$5:$A$1504,$A956,$D$5:$D$1504,"تسليم",$E$5:$E$1504,"&lt;"&amp;$E956)+1)</f>
        <v/>
      </c>
      <c r="H956" s="33" t="str">
        <f aca="false">IF($G956="","",_xlfn.MINIFS($E$5:$E$1504,$A$5:$A$1504,$A956,$D$5:$D$1504,"&lt;&gt;تسليم",$E$5:$E$1504,"&gt;="&amp;$E956))</f>
        <v/>
      </c>
      <c r="I956" s="33" t="str">
        <f aca="false">IF($G956="","",_xlfn.MINIFS($E$5:$E$1504,$A$5:$A$1504,$A956,$D$5:$D$1504,"تسليم",$E$5:$E$1504,"&gt;"&amp;$E956))</f>
        <v/>
      </c>
      <c r="J956" s="33" t="str">
        <f aca="false">IF($G956="","",IF(H956&gt;0,IF(I956&gt;0,MIN(H956,I956),H956),IF(I956&gt;0,I956,تاريخ_الاحتساب)))</f>
        <v/>
      </c>
      <c r="K956" s="34" t="str">
        <f aca="false">IF($G956="","",IF(AND(H956=0,I956=0),"جارية","مغلقة"))</f>
        <v/>
      </c>
      <c r="L956" s="26" t="str">
        <f aca="false">IF($G956="","",MAX(0,NETWORKDAYS.INTL($E956,J956,رمز_العطلة,أيام_الأجازات)-1))</f>
        <v/>
      </c>
      <c r="M956" s="26" t="str">
        <f aca="false">IF($G956="","",MAX(0,L956-مهلة_المراجعة))</f>
        <v/>
      </c>
      <c r="N956" s="30" t="str">
        <f aca="false">IF($A956="",IF(OR($D956&lt;&gt;"",$E956&lt;&gt;""),"رقم المخرج ناقص",""),IF(ISNA(MATCH($A956,قائمة_المخرجات,0)),"رقم مخرج غير موجود",IF($D956="","نوع الحركة ناقص",IF(NOT(ISNUMBER($E956)),"التاريخ ناقص",IF($E956&gt;تاريخ_الاحتساب,"تاريخ بعد تاريخ الاحتساب",IF(AND($D956&lt;&gt;"تسليم",COUNTIFS($A$5:$A$1504,$A956,$D$5:$D$1504,"تسليم",$E$5:$E$1504,"&lt;="&amp;$E956)=0),"لا يوجد تسليم قبل الحركة دي",""))))))</f>
        <v/>
      </c>
    </row>
    <row r="957" customFormat="false" ht="15" hidden="false" customHeight="false" outlineLevel="0" collapsed="false">
      <c r="A957" s="20"/>
      <c r="B957" s="35" t="str">
        <f aca="false">IF($A957="","",IFERROR(INDEX(مخرج_البند,MATCH($A957,قائمة_المخرجات,0)),""))</f>
        <v/>
      </c>
      <c r="C957" s="30" t="str">
        <f aca="false">IF($A957="","",IFERROR(INDEX(مخرج_الوصف,MATCH($A957,قائمة_المخرجات,0)),""))</f>
        <v/>
      </c>
      <c r="D957" s="20"/>
      <c r="E957" s="31"/>
      <c r="F957" s="22"/>
      <c r="G957" s="36" t="str">
        <f aca="false">IF(OR($A957="",$D957&lt;&gt;"تسليم",NOT(ISNUMBER($E957))),"",COUNTIFS($A$5:$A$1504,$A957,$D$5:$D$1504,"تسليم",$E$5:$E$1504,"&lt;"&amp;$E957)+1)</f>
        <v/>
      </c>
      <c r="H957" s="33" t="str">
        <f aca="false">IF($G957="","",_xlfn.MINIFS($E$5:$E$1504,$A$5:$A$1504,$A957,$D$5:$D$1504,"&lt;&gt;تسليم",$E$5:$E$1504,"&gt;="&amp;$E957))</f>
        <v/>
      </c>
      <c r="I957" s="33" t="str">
        <f aca="false">IF($G957="","",_xlfn.MINIFS($E$5:$E$1504,$A$5:$A$1504,$A957,$D$5:$D$1504,"تسليم",$E$5:$E$1504,"&gt;"&amp;$E957))</f>
        <v/>
      </c>
      <c r="J957" s="33" t="str">
        <f aca="false">IF($G957="","",IF(H957&gt;0,IF(I957&gt;0,MIN(H957,I957),H957),IF(I957&gt;0,I957,تاريخ_الاحتساب)))</f>
        <v/>
      </c>
      <c r="K957" s="34" t="str">
        <f aca="false">IF($G957="","",IF(AND(H957=0,I957=0),"جارية","مغلقة"))</f>
        <v/>
      </c>
      <c r="L957" s="26" t="str">
        <f aca="false">IF($G957="","",MAX(0,NETWORKDAYS.INTL($E957,J957,رمز_العطلة,أيام_الأجازات)-1))</f>
        <v/>
      </c>
      <c r="M957" s="26" t="str">
        <f aca="false">IF($G957="","",MAX(0,L957-مهلة_المراجعة))</f>
        <v/>
      </c>
      <c r="N957" s="30" t="str">
        <f aca="false">IF($A957="",IF(OR($D957&lt;&gt;"",$E957&lt;&gt;""),"رقم المخرج ناقص",""),IF(ISNA(MATCH($A957,قائمة_المخرجات,0)),"رقم مخرج غير موجود",IF($D957="","نوع الحركة ناقص",IF(NOT(ISNUMBER($E957)),"التاريخ ناقص",IF($E957&gt;تاريخ_الاحتساب,"تاريخ بعد تاريخ الاحتساب",IF(AND($D957&lt;&gt;"تسليم",COUNTIFS($A$5:$A$1504,$A957,$D$5:$D$1504,"تسليم",$E$5:$E$1504,"&lt;="&amp;$E957)=0),"لا يوجد تسليم قبل الحركة دي",""))))))</f>
        <v/>
      </c>
    </row>
    <row r="958" customFormat="false" ht="15" hidden="false" customHeight="false" outlineLevel="0" collapsed="false">
      <c r="A958" s="20"/>
      <c r="B958" s="35" t="str">
        <f aca="false">IF($A958="","",IFERROR(INDEX(مخرج_البند,MATCH($A958,قائمة_المخرجات,0)),""))</f>
        <v/>
      </c>
      <c r="C958" s="30" t="str">
        <f aca="false">IF($A958="","",IFERROR(INDEX(مخرج_الوصف,MATCH($A958,قائمة_المخرجات,0)),""))</f>
        <v/>
      </c>
      <c r="D958" s="20"/>
      <c r="E958" s="31"/>
      <c r="F958" s="22"/>
      <c r="G958" s="36" t="str">
        <f aca="false">IF(OR($A958="",$D958&lt;&gt;"تسليم",NOT(ISNUMBER($E958))),"",COUNTIFS($A$5:$A$1504,$A958,$D$5:$D$1504,"تسليم",$E$5:$E$1504,"&lt;"&amp;$E958)+1)</f>
        <v/>
      </c>
      <c r="H958" s="33" t="str">
        <f aca="false">IF($G958="","",_xlfn.MINIFS($E$5:$E$1504,$A$5:$A$1504,$A958,$D$5:$D$1504,"&lt;&gt;تسليم",$E$5:$E$1504,"&gt;="&amp;$E958))</f>
        <v/>
      </c>
      <c r="I958" s="33" t="str">
        <f aca="false">IF($G958="","",_xlfn.MINIFS($E$5:$E$1504,$A$5:$A$1504,$A958,$D$5:$D$1504,"تسليم",$E$5:$E$1504,"&gt;"&amp;$E958))</f>
        <v/>
      </c>
      <c r="J958" s="33" t="str">
        <f aca="false">IF($G958="","",IF(H958&gt;0,IF(I958&gt;0,MIN(H958,I958),H958),IF(I958&gt;0,I958,تاريخ_الاحتساب)))</f>
        <v/>
      </c>
      <c r="K958" s="34" t="str">
        <f aca="false">IF($G958="","",IF(AND(H958=0,I958=0),"جارية","مغلقة"))</f>
        <v/>
      </c>
      <c r="L958" s="26" t="str">
        <f aca="false">IF($G958="","",MAX(0,NETWORKDAYS.INTL($E958,J958,رمز_العطلة,أيام_الأجازات)-1))</f>
        <v/>
      </c>
      <c r="M958" s="26" t="str">
        <f aca="false">IF($G958="","",MAX(0,L958-مهلة_المراجعة))</f>
        <v/>
      </c>
      <c r="N958" s="30" t="str">
        <f aca="false">IF($A958="",IF(OR($D958&lt;&gt;"",$E958&lt;&gt;""),"رقم المخرج ناقص",""),IF(ISNA(MATCH($A958,قائمة_المخرجات,0)),"رقم مخرج غير موجود",IF($D958="","نوع الحركة ناقص",IF(NOT(ISNUMBER($E958)),"التاريخ ناقص",IF($E958&gt;تاريخ_الاحتساب,"تاريخ بعد تاريخ الاحتساب",IF(AND($D958&lt;&gt;"تسليم",COUNTIFS($A$5:$A$1504,$A958,$D$5:$D$1504,"تسليم",$E$5:$E$1504,"&lt;="&amp;$E958)=0),"لا يوجد تسليم قبل الحركة دي",""))))))</f>
        <v/>
      </c>
    </row>
    <row r="959" customFormat="false" ht="15" hidden="false" customHeight="false" outlineLevel="0" collapsed="false">
      <c r="A959" s="20"/>
      <c r="B959" s="35" t="str">
        <f aca="false">IF($A959="","",IFERROR(INDEX(مخرج_البند,MATCH($A959,قائمة_المخرجات,0)),""))</f>
        <v/>
      </c>
      <c r="C959" s="30" t="str">
        <f aca="false">IF($A959="","",IFERROR(INDEX(مخرج_الوصف,MATCH($A959,قائمة_المخرجات,0)),""))</f>
        <v/>
      </c>
      <c r="D959" s="20"/>
      <c r="E959" s="31"/>
      <c r="F959" s="22"/>
      <c r="G959" s="36" t="str">
        <f aca="false">IF(OR($A959="",$D959&lt;&gt;"تسليم",NOT(ISNUMBER($E959))),"",COUNTIFS($A$5:$A$1504,$A959,$D$5:$D$1504,"تسليم",$E$5:$E$1504,"&lt;"&amp;$E959)+1)</f>
        <v/>
      </c>
      <c r="H959" s="33" t="str">
        <f aca="false">IF($G959="","",_xlfn.MINIFS($E$5:$E$1504,$A$5:$A$1504,$A959,$D$5:$D$1504,"&lt;&gt;تسليم",$E$5:$E$1504,"&gt;="&amp;$E959))</f>
        <v/>
      </c>
      <c r="I959" s="33" t="str">
        <f aca="false">IF($G959="","",_xlfn.MINIFS($E$5:$E$1504,$A$5:$A$1504,$A959,$D$5:$D$1504,"تسليم",$E$5:$E$1504,"&gt;"&amp;$E959))</f>
        <v/>
      </c>
      <c r="J959" s="33" t="str">
        <f aca="false">IF($G959="","",IF(H959&gt;0,IF(I959&gt;0,MIN(H959,I959),H959),IF(I959&gt;0,I959,تاريخ_الاحتساب)))</f>
        <v/>
      </c>
      <c r="K959" s="34" t="str">
        <f aca="false">IF($G959="","",IF(AND(H959=0,I959=0),"جارية","مغلقة"))</f>
        <v/>
      </c>
      <c r="L959" s="26" t="str">
        <f aca="false">IF($G959="","",MAX(0,NETWORKDAYS.INTL($E959,J959,رمز_العطلة,أيام_الأجازات)-1))</f>
        <v/>
      </c>
      <c r="M959" s="26" t="str">
        <f aca="false">IF($G959="","",MAX(0,L959-مهلة_المراجعة))</f>
        <v/>
      </c>
      <c r="N959" s="30" t="str">
        <f aca="false">IF($A959="",IF(OR($D959&lt;&gt;"",$E959&lt;&gt;""),"رقم المخرج ناقص",""),IF(ISNA(MATCH($A959,قائمة_المخرجات,0)),"رقم مخرج غير موجود",IF($D959="","نوع الحركة ناقص",IF(NOT(ISNUMBER($E959)),"التاريخ ناقص",IF($E959&gt;تاريخ_الاحتساب,"تاريخ بعد تاريخ الاحتساب",IF(AND($D959&lt;&gt;"تسليم",COUNTIFS($A$5:$A$1504,$A959,$D$5:$D$1504,"تسليم",$E$5:$E$1504,"&lt;="&amp;$E959)=0),"لا يوجد تسليم قبل الحركة دي",""))))))</f>
        <v/>
      </c>
    </row>
    <row r="960" customFormat="false" ht="15" hidden="false" customHeight="false" outlineLevel="0" collapsed="false">
      <c r="A960" s="20"/>
      <c r="B960" s="35" t="str">
        <f aca="false">IF($A960="","",IFERROR(INDEX(مخرج_البند,MATCH($A960,قائمة_المخرجات,0)),""))</f>
        <v/>
      </c>
      <c r="C960" s="30" t="str">
        <f aca="false">IF($A960="","",IFERROR(INDEX(مخرج_الوصف,MATCH($A960,قائمة_المخرجات,0)),""))</f>
        <v/>
      </c>
      <c r="D960" s="20"/>
      <c r="E960" s="31"/>
      <c r="F960" s="22"/>
      <c r="G960" s="36" t="str">
        <f aca="false">IF(OR($A960="",$D960&lt;&gt;"تسليم",NOT(ISNUMBER($E960))),"",COUNTIFS($A$5:$A$1504,$A960,$D$5:$D$1504,"تسليم",$E$5:$E$1504,"&lt;"&amp;$E960)+1)</f>
        <v/>
      </c>
      <c r="H960" s="33" t="str">
        <f aca="false">IF($G960="","",_xlfn.MINIFS($E$5:$E$1504,$A$5:$A$1504,$A960,$D$5:$D$1504,"&lt;&gt;تسليم",$E$5:$E$1504,"&gt;="&amp;$E960))</f>
        <v/>
      </c>
      <c r="I960" s="33" t="str">
        <f aca="false">IF($G960="","",_xlfn.MINIFS($E$5:$E$1504,$A$5:$A$1504,$A960,$D$5:$D$1504,"تسليم",$E$5:$E$1504,"&gt;"&amp;$E960))</f>
        <v/>
      </c>
      <c r="J960" s="33" t="str">
        <f aca="false">IF($G960="","",IF(H960&gt;0,IF(I960&gt;0,MIN(H960,I960),H960),IF(I960&gt;0,I960,تاريخ_الاحتساب)))</f>
        <v/>
      </c>
      <c r="K960" s="34" t="str">
        <f aca="false">IF($G960="","",IF(AND(H960=0,I960=0),"جارية","مغلقة"))</f>
        <v/>
      </c>
      <c r="L960" s="26" t="str">
        <f aca="false">IF($G960="","",MAX(0,NETWORKDAYS.INTL($E960,J960,رمز_العطلة,أيام_الأجازات)-1))</f>
        <v/>
      </c>
      <c r="M960" s="26" t="str">
        <f aca="false">IF($G960="","",MAX(0,L960-مهلة_المراجعة))</f>
        <v/>
      </c>
      <c r="N960" s="30" t="str">
        <f aca="false">IF($A960="",IF(OR($D960&lt;&gt;"",$E960&lt;&gt;""),"رقم المخرج ناقص",""),IF(ISNA(MATCH($A960,قائمة_المخرجات,0)),"رقم مخرج غير موجود",IF($D960="","نوع الحركة ناقص",IF(NOT(ISNUMBER($E960)),"التاريخ ناقص",IF($E960&gt;تاريخ_الاحتساب,"تاريخ بعد تاريخ الاحتساب",IF(AND($D960&lt;&gt;"تسليم",COUNTIFS($A$5:$A$1504,$A960,$D$5:$D$1504,"تسليم",$E$5:$E$1504,"&lt;="&amp;$E960)=0),"لا يوجد تسليم قبل الحركة دي",""))))))</f>
        <v/>
      </c>
    </row>
    <row r="961" customFormat="false" ht="15" hidden="false" customHeight="false" outlineLevel="0" collapsed="false">
      <c r="A961" s="20"/>
      <c r="B961" s="35" t="str">
        <f aca="false">IF($A961="","",IFERROR(INDEX(مخرج_البند,MATCH($A961,قائمة_المخرجات,0)),""))</f>
        <v/>
      </c>
      <c r="C961" s="30" t="str">
        <f aca="false">IF($A961="","",IFERROR(INDEX(مخرج_الوصف,MATCH($A961,قائمة_المخرجات,0)),""))</f>
        <v/>
      </c>
      <c r="D961" s="20"/>
      <c r="E961" s="31"/>
      <c r="F961" s="22"/>
      <c r="G961" s="36" t="str">
        <f aca="false">IF(OR($A961="",$D961&lt;&gt;"تسليم",NOT(ISNUMBER($E961))),"",COUNTIFS($A$5:$A$1504,$A961,$D$5:$D$1504,"تسليم",$E$5:$E$1504,"&lt;"&amp;$E961)+1)</f>
        <v/>
      </c>
      <c r="H961" s="33" t="str">
        <f aca="false">IF($G961="","",_xlfn.MINIFS($E$5:$E$1504,$A$5:$A$1504,$A961,$D$5:$D$1504,"&lt;&gt;تسليم",$E$5:$E$1504,"&gt;="&amp;$E961))</f>
        <v/>
      </c>
      <c r="I961" s="33" t="str">
        <f aca="false">IF($G961="","",_xlfn.MINIFS($E$5:$E$1504,$A$5:$A$1504,$A961,$D$5:$D$1504,"تسليم",$E$5:$E$1504,"&gt;"&amp;$E961))</f>
        <v/>
      </c>
      <c r="J961" s="33" t="str">
        <f aca="false">IF($G961="","",IF(H961&gt;0,IF(I961&gt;0,MIN(H961,I961),H961),IF(I961&gt;0,I961,تاريخ_الاحتساب)))</f>
        <v/>
      </c>
      <c r="K961" s="34" t="str">
        <f aca="false">IF($G961="","",IF(AND(H961=0,I961=0),"جارية","مغلقة"))</f>
        <v/>
      </c>
      <c r="L961" s="26" t="str">
        <f aca="false">IF($G961="","",MAX(0,NETWORKDAYS.INTL($E961,J961,رمز_العطلة,أيام_الأجازات)-1))</f>
        <v/>
      </c>
      <c r="M961" s="26" t="str">
        <f aca="false">IF($G961="","",MAX(0,L961-مهلة_المراجعة))</f>
        <v/>
      </c>
      <c r="N961" s="30" t="str">
        <f aca="false">IF($A961="",IF(OR($D961&lt;&gt;"",$E961&lt;&gt;""),"رقم المخرج ناقص",""),IF(ISNA(MATCH($A961,قائمة_المخرجات,0)),"رقم مخرج غير موجود",IF($D961="","نوع الحركة ناقص",IF(NOT(ISNUMBER($E961)),"التاريخ ناقص",IF($E961&gt;تاريخ_الاحتساب,"تاريخ بعد تاريخ الاحتساب",IF(AND($D961&lt;&gt;"تسليم",COUNTIFS($A$5:$A$1504,$A961,$D$5:$D$1504,"تسليم",$E$5:$E$1504,"&lt;="&amp;$E961)=0),"لا يوجد تسليم قبل الحركة دي",""))))))</f>
        <v/>
      </c>
    </row>
    <row r="962" customFormat="false" ht="15" hidden="false" customHeight="false" outlineLevel="0" collapsed="false">
      <c r="A962" s="20"/>
      <c r="B962" s="35" t="str">
        <f aca="false">IF($A962="","",IFERROR(INDEX(مخرج_البند,MATCH($A962,قائمة_المخرجات,0)),""))</f>
        <v/>
      </c>
      <c r="C962" s="30" t="str">
        <f aca="false">IF($A962="","",IFERROR(INDEX(مخرج_الوصف,MATCH($A962,قائمة_المخرجات,0)),""))</f>
        <v/>
      </c>
      <c r="D962" s="20"/>
      <c r="E962" s="31"/>
      <c r="F962" s="22"/>
      <c r="G962" s="36" t="str">
        <f aca="false">IF(OR($A962="",$D962&lt;&gt;"تسليم",NOT(ISNUMBER($E962))),"",COUNTIFS($A$5:$A$1504,$A962,$D$5:$D$1504,"تسليم",$E$5:$E$1504,"&lt;"&amp;$E962)+1)</f>
        <v/>
      </c>
      <c r="H962" s="33" t="str">
        <f aca="false">IF($G962="","",_xlfn.MINIFS($E$5:$E$1504,$A$5:$A$1504,$A962,$D$5:$D$1504,"&lt;&gt;تسليم",$E$5:$E$1504,"&gt;="&amp;$E962))</f>
        <v/>
      </c>
      <c r="I962" s="33" t="str">
        <f aca="false">IF($G962="","",_xlfn.MINIFS($E$5:$E$1504,$A$5:$A$1504,$A962,$D$5:$D$1504,"تسليم",$E$5:$E$1504,"&gt;"&amp;$E962))</f>
        <v/>
      </c>
      <c r="J962" s="33" t="str">
        <f aca="false">IF($G962="","",IF(H962&gt;0,IF(I962&gt;0,MIN(H962,I962),H962),IF(I962&gt;0,I962,تاريخ_الاحتساب)))</f>
        <v/>
      </c>
      <c r="K962" s="34" t="str">
        <f aca="false">IF($G962="","",IF(AND(H962=0,I962=0),"جارية","مغلقة"))</f>
        <v/>
      </c>
      <c r="L962" s="26" t="str">
        <f aca="false">IF($G962="","",MAX(0,NETWORKDAYS.INTL($E962,J962,رمز_العطلة,أيام_الأجازات)-1))</f>
        <v/>
      </c>
      <c r="M962" s="26" t="str">
        <f aca="false">IF($G962="","",MAX(0,L962-مهلة_المراجعة))</f>
        <v/>
      </c>
      <c r="N962" s="30" t="str">
        <f aca="false">IF($A962="",IF(OR($D962&lt;&gt;"",$E962&lt;&gt;""),"رقم المخرج ناقص",""),IF(ISNA(MATCH($A962,قائمة_المخرجات,0)),"رقم مخرج غير موجود",IF($D962="","نوع الحركة ناقص",IF(NOT(ISNUMBER($E962)),"التاريخ ناقص",IF($E962&gt;تاريخ_الاحتساب,"تاريخ بعد تاريخ الاحتساب",IF(AND($D962&lt;&gt;"تسليم",COUNTIFS($A$5:$A$1504,$A962,$D$5:$D$1504,"تسليم",$E$5:$E$1504,"&lt;="&amp;$E962)=0),"لا يوجد تسليم قبل الحركة دي",""))))))</f>
        <v/>
      </c>
    </row>
    <row r="963" customFormat="false" ht="15" hidden="false" customHeight="false" outlineLevel="0" collapsed="false">
      <c r="A963" s="20"/>
      <c r="B963" s="35" t="str">
        <f aca="false">IF($A963="","",IFERROR(INDEX(مخرج_البند,MATCH($A963,قائمة_المخرجات,0)),""))</f>
        <v/>
      </c>
      <c r="C963" s="30" t="str">
        <f aca="false">IF($A963="","",IFERROR(INDEX(مخرج_الوصف,MATCH($A963,قائمة_المخرجات,0)),""))</f>
        <v/>
      </c>
      <c r="D963" s="20"/>
      <c r="E963" s="31"/>
      <c r="F963" s="22"/>
      <c r="G963" s="36" t="str">
        <f aca="false">IF(OR($A963="",$D963&lt;&gt;"تسليم",NOT(ISNUMBER($E963))),"",COUNTIFS($A$5:$A$1504,$A963,$D$5:$D$1504,"تسليم",$E$5:$E$1504,"&lt;"&amp;$E963)+1)</f>
        <v/>
      </c>
      <c r="H963" s="33" t="str">
        <f aca="false">IF($G963="","",_xlfn.MINIFS($E$5:$E$1504,$A$5:$A$1504,$A963,$D$5:$D$1504,"&lt;&gt;تسليم",$E$5:$E$1504,"&gt;="&amp;$E963))</f>
        <v/>
      </c>
      <c r="I963" s="33" t="str">
        <f aca="false">IF($G963="","",_xlfn.MINIFS($E$5:$E$1504,$A$5:$A$1504,$A963,$D$5:$D$1504,"تسليم",$E$5:$E$1504,"&gt;"&amp;$E963))</f>
        <v/>
      </c>
      <c r="J963" s="33" t="str">
        <f aca="false">IF($G963="","",IF(H963&gt;0,IF(I963&gt;0,MIN(H963,I963),H963),IF(I963&gt;0,I963,تاريخ_الاحتساب)))</f>
        <v/>
      </c>
      <c r="K963" s="34" t="str">
        <f aca="false">IF($G963="","",IF(AND(H963=0,I963=0),"جارية","مغلقة"))</f>
        <v/>
      </c>
      <c r="L963" s="26" t="str">
        <f aca="false">IF($G963="","",MAX(0,NETWORKDAYS.INTL($E963,J963,رمز_العطلة,أيام_الأجازات)-1))</f>
        <v/>
      </c>
      <c r="M963" s="26" t="str">
        <f aca="false">IF($G963="","",MAX(0,L963-مهلة_المراجعة))</f>
        <v/>
      </c>
      <c r="N963" s="30" t="str">
        <f aca="false">IF($A963="",IF(OR($D963&lt;&gt;"",$E963&lt;&gt;""),"رقم المخرج ناقص",""),IF(ISNA(MATCH($A963,قائمة_المخرجات,0)),"رقم مخرج غير موجود",IF($D963="","نوع الحركة ناقص",IF(NOT(ISNUMBER($E963)),"التاريخ ناقص",IF($E963&gt;تاريخ_الاحتساب,"تاريخ بعد تاريخ الاحتساب",IF(AND($D963&lt;&gt;"تسليم",COUNTIFS($A$5:$A$1504,$A963,$D$5:$D$1504,"تسليم",$E$5:$E$1504,"&lt;="&amp;$E963)=0),"لا يوجد تسليم قبل الحركة دي",""))))))</f>
        <v/>
      </c>
    </row>
    <row r="964" customFormat="false" ht="15" hidden="false" customHeight="false" outlineLevel="0" collapsed="false">
      <c r="A964" s="20"/>
      <c r="B964" s="35" t="str">
        <f aca="false">IF($A964="","",IFERROR(INDEX(مخرج_البند,MATCH($A964,قائمة_المخرجات,0)),""))</f>
        <v/>
      </c>
      <c r="C964" s="30" t="str">
        <f aca="false">IF($A964="","",IFERROR(INDEX(مخرج_الوصف,MATCH($A964,قائمة_المخرجات,0)),""))</f>
        <v/>
      </c>
      <c r="D964" s="20"/>
      <c r="E964" s="31"/>
      <c r="F964" s="22"/>
      <c r="G964" s="36" t="str">
        <f aca="false">IF(OR($A964="",$D964&lt;&gt;"تسليم",NOT(ISNUMBER($E964))),"",COUNTIFS($A$5:$A$1504,$A964,$D$5:$D$1504,"تسليم",$E$5:$E$1504,"&lt;"&amp;$E964)+1)</f>
        <v/>
      </c>
      <c r="H964" s="33" t="str">
        <f aca="false">IF($G964="","",_xlfn.MINIFS($E$5:$E$1504,$A$5:$A$1504,$A964,$D$5:$D$1504,"&lt;&gt;تسليم",$E$5:$E$1504,"&gt;="&amp;$E964))</f>
        <v/>
      </c>
      <c r="I964" s="33" t="str">
        <f aca="false">IF($G964="","",_xlfn.MINIFS($E$5:$E$1504,$A$5:$A$1504,$A964,$D$5:$D$1504,"تسليم",$E$5:$E$1504,"&gt;"&amp;$E964))</f>
        <v/>
      </c>
      <c r="J964" s="33" t="str">
        <f aca="false">IF($G964="","",IF(H964&gt;0,IF(I964&gt;0,MIN(H964,I964),H964),IF(I964&gt;0,I964,تاريخ_الاحتساب)))</f>
        <v/>
      </c>
      <c r="K964" s="34" t="str">
        <f aca="false">IF($G964="","",IF(AND(H964=0,I964=0),"جارية","مغلقة"))</f>
        <v/>
      </c>
      <c r="L964" s="26" t="str">
        <f aca="false">IF($G964="","",MAX(0,NETWORKDAYS.INTL($E964,J964,رمز_العطلة,أيام_الأجازات)-1))</f>
        <v/>
      </c>
      <c r="M964" s="26" t="str">
        <f aca="false">IF($G964="","",MAX(0,L964-مهلة_المراجعة))</f>
        <v/>
      </c>
      <c r="N964" s="30" t="str">
        <f aca="false">IF($A964="",IF(OR($D964&lt;&gt;"",$E964&lt;&gt;""),"رقم المخرج ناقص",""),IF(ISNA(MATCH($A964,قائمة_المخرجات,0)),"رقم مخرج غير موجود",IF($D964="","نوع الحركة ناقص",IF(NOT(ISNUMBER($E964)),"التاريخ ناقص",IF($E964&gt;تاريخ_الاحتساب,"تاريخ بعد تاريخ الاحتساب",IF(AND($D964&lt;&gt;"تسليم",COUNTIFS($A$5:$A$1504,$A964,$D$5:$D$1504,"تسليم",$E$5:$E$1504,"&lt;="&amp;$E964)=0),"لا يوجد تسليم قبل الحركة دي",""))))))</f>
        <v/>
      </c>
    </row>
    <row r="965" customFormat="false" ht="15" hidden="false" customHeight="false" outlineLevel="0" collapsed="false">
      <c r="A965" s="20"/>
      <c r="B965" s="35" t="str">
        <f aca="false">IF($A965="","",IFERROR(INDEX(مخرج_البند,MATCH($A965,قائمة_المخرجات,0)),""))</f>
        <v/>
      </c>
      <c r="C965" s="30" t="str">
        <f aca="false">IF($A965="","",IFERROR(INDEX(مخرج_الوصف,MATCH($A965,قائمة_المخرجات,0)),""))</f>
        <v/>
      </c>
      <c r="D965" s="20"/>
      <c r="E965" s="31"/>
      <c r="F965" s="22"/>
      <c r="G965" s="36" t="str">
        <f aca="false">IF(OR($A965="",$D965&lt;&gt;"تسليم",NOT(ISNUMBER($E965))),"",COUNTIFS($A$5:$A$1504,$A965,$D$5:$D$1504,"تسليم",$E$5:$E$1504,"&lt;"&amp;$E965)+1)</f>
        <v/>
      </c>
      <c r="H965" s="33" t="str">
        <f aca="false">IF($G965="","",_xlfn.MINIFS($E$5:$E$1504,$A$5:$A$1504,$A965,$D$5:$D$1504,"&lt;&gt;تسليم",$E$5:$E$1504,"&gt;="&amp;$E965))</f>
        <v/>
      </c>
      <c r="I965" s="33" t="str">
        <f aca="false">IF($G965="","",_xlfn.MINIFS($E$5:$E$1504,$A$5:$A$1504,$A965,$D$5:$D$1504,"تسليم",$E$5:$E$1504,"&gt;"&amp;$E965))</f>
        <v/>
      </c>
      <c r="J965" s="33" t="str">
        <f aca="false">IF($G965="","",IF(H965&gt;0,IF(I965&gt;0,MIN(H965,I965),H965),IF(I965&gt;0,I965,تاريخ_الاحتساب)))</f>
        <v/>
      </c>
      <c r="K965" s="34" t="str">
        <f aca="false">IF($G965="","",IF(AND(H965=0,I965=0),"جارية","مغلقة"))</f>
        <v/>
      </c>
      <c r="L965" s="26" t="str">
        <f aca="false">IF($G965="","",MAX(0,NETWORKDAYS.INTL($E965,J965,رمز_العطلة,أيام_الأجازات)-1))</f>
        <v/>
      </c>
      <c r="M965" s="26" t="str">
        <f aca="false">IF($G965="","",MAX(0,L965-مهلة_المراجعة))</f>
        <v/>
      </c>
      <c r="N965" s="30" t="str">
        <f aca="false">IF($A965="",IF(OR($D965&lt;&gt;"",$E965&lt;&gt;""),"رقم المخرج ناقص",""),IF(ISNA(MATCH($A965,قائمة_المخرجات,0)),"رقم مخرج غير موجود",IF($D965="","نوع الحركة ناقص",IF(NOT(ISNUMBER($E965)),"التاريخ ناقص",IF($E965&gt;تاريخ_الاحتساب,"تاريخ بعد تاريخ الاحتساب",IF(AND($D965&lt;&gt;"تسليم",COUNTIFS($A$5:$A$1504,$A965,$D$5:$D$1504,"تسليم",$E$5:$E$1504,"&lt;="&amp;$E965)=0),"لا يوجد تسليم قبل الحركة دي",""))))))</f>
        <v/>
      </c>
    </row>
    <row r="966" customFormat="false" ht="15" hidden="false" customHeight="false" outlineLevel="0" collapsed="false">
      <c r="A966" s="20"/>
      <c r="B966" s="35" t="str">
        <f aca="false">IF($A966="","",IFERROR(INDEX(مخرج_البند,MATCH($A966,قائمة_المخرجات,0)),""))</f>
        <v/>
      </c>
      <c r="C966" s="30" t="str">
        <f aca="false">IF($A966="","",IFERROR(INDEX(مخرج_الوصف,MATCH($A966,قائمة_المخرجات,0)),""))</f>
        <v/>
      </c>
      <c r="D966" s="20"/>
      <c r="E966" s="31"/>
      <c r="F966" s="22"/>
      <c r="G966" s="36" t="str">
        <f aca="false">IF(OR($A966="",$D966&lt;&gt;"تسليم",NOT(ISNUMBER($E966))),"",COUNTIFS($A$5:$A$1504,$A966,$D$5:$D$1504,"تسليم",$E$5:$E$1504,"&lt;"&amp;$E966)+1)</f>
        <v/>
      </c>
      <c r="H966" s="33" t="str">
        <f aca="false">IF($G966="","",_xlfn.MINIFS($E$5:$E$1504,$A$5:$A$1504,$A966,$D$5:$D$1504,"&lt;&gt;تسليم",$E$5:$E$1504,"&gt;="&amp;$E966))</f>
        <v/>
      </c>
      <c r="I966" s="33" t="str">
        <f aca="false">IF($G966="","",_xlfn.MINIFS($E$5:$E$1504,$A$5:$A$1504,$A966,$D$5:$D$1504,"تسليم",$E$5:$E$1504,"&gt;"&amp;$E966))</f>
        <v/>
      </c>
      <c r="J966" s="33" t="str">
        <f aca="false">IF($G966="","",IF(H966&gt;0,IF(I966&gt;0,MIN(H966,I966),H966),IF(I966&gt;0,I966,تاريخ_الاحتساب)))</f>
        <v/>
      </c>
      <c r="K966" s="34" t="str">
        <f aca="false">IF($G966="","",IF(AND(H966=0,I966=0),"جارية","مغلقة"))</f>
        <v/>
      </c>
      <c r="L966" s="26" t="str">
        <f aca="false">IF($G966="","",MAX(0,NETWORKDAYS.INTL($E966,J966,رمز_العطلة,أيام_الأجازات)-1))</f>
        <v/>
      </c>
      <c r="M966" s="26" t="str">
        <f aca="false">IF($G966="","",MAX(0,L966-مهلة_المراجعة))</f>
        <v/>
      </c>
      <c r="N966" s="30" t="str">
        <f aca="false">IF($A966="",IF(OR($D966&lt;&gt;"",$E966&lt;&gt;""),"رقم المخرج ناقص",""),IF(ISNA(MATCH($A966,قائمة_المخرجات,0)),"رقم مخرج غير موجود",IF($D966="","نوع الحركة ناقص",IF(NOT(ISNUMBER($E966)),"التاريخ ناقص",IF($E966&gt;تاريخ_الاحتساب,"تاريخ بعد تاريخ الاحتساب",IF(AND($D966&lt;&gt;"تسليم",COUNTIFS($A$5:$A$1504,$A966,$D$5:$D$1504,"تسليم",$E$5:$E$1504,"&lt;="&amp;$E966)=0),"لا يوجد تسليم قبل الحركة دي",""))))))</f>
        <v/>
      </c>
    </row>
    <row r="967" customFormat="false" ht="15" hidden="false" customHeight="false" outlineLevel="0" collapsed="false">
      <c r="A967" s="20"/>
      <c r="B967" s="35" t="str">
        <f aca="false">IF($A967="","",IFERROR(INDEX(مخرج_البند,MATCH($A967,قائمة_المخرجات,0)),""))</f>
        <v/>
      </c>
      <c r="C967" s="30" t="str">
        <f aca="false">IF($A967="","",IFERROR(INDEX(مخرج_الوصف,MATCH($A967,قائمة_المخرجات,0)),""))</f>
        <v/>
      </c>
      <c r="D967" s="20"/>
      <c r="E967" s="31"/>
      <c r="F967" s="22"/>
      <c r="G967" s="36" t="str">
        <f aca="false">IF(OR($A967="",$D967&lt;&gt;"تسليم",NOT(ISNUMBER($E967))),"",COUNTIFS($A$5:$A$1504,$A967,$D$5:$D$1504,"تسليم",$E$5:$E$1504,"&lt;"&amp;$E967)+1)</f>
        <v/>
      </c>
      <c r="H967" s="33" t="str">
        <f aca="false">IF($G967="","",_xlfn.MINIFS($E$5:$E$1504,$A$5:$A$1504,$A967,$D$5:$D$1504,"&lt;&gt;تسليم",$E$5:$E$1504,"&gt;="&amp;$E967))</f>
        <v/>
      </c>
      <c r="I967" s="33" t="str">
        <f aca="false">IF($G967="","",_xlfn.MINIFS($E$5:$E$1504,$A$5:$A$1504,$A967,$D$5:$D$1504,"تسليم",$E$5:$E$1504,"&gt;"&amp;$E967))</f>
        <v/>
      </c>
      <c r="J967" s="33" t="str">
        <f aca="false">IF($G967="","",IF(H967&gt;0,IF(I967&gt;0,MIN(H967,I967),H967),IF(I967&gt;0,I967,تاريخ_الاحتساب)))</f>
        <v/>
      </c>
      <c r="K967" s="34" t="str">
        <f aca="false">IF($G967="","",IF(AND(H967=0,I967=0),"جارية","مغلقة"))</f>
        <v/>
      </c>
      <c r="L967" s="26" t="str">
        <f aca="false">IF($G967="","",MAX(0,NETWORKDAYS.INTL($E967,J967,رمز_العطلة,أيام_الأجازات)-1))</f>
        <v/>
      </c>
      <c r="M967" s="26" t="str">
        <f aca="false">IF($G967="","",MAX(0,L967-مهلة_المراجعة))</f>
        <v/>
      </c>
      <c r="N967" s="30" t="str">
        <f aca="false">IF($A967="",IF(OR($D967&lt;&gt;"",$E967&lt;&gt;""),"رقم المخرج ناقص",""),IF(ISNA(MATCH($A967,قائمة_المخرجات,0)),"رقم مخرج غير موجود",IF($D967="","نوع الحركة ناقص",IF(NOT(ISNUMBER($E967)),"التاريخ ناقص",IF($E967&gt;تاريخ_الاحتساب,"تاريخ بعد تاريخ الاحتساب",IF(AND($D967&lt;&gt;"تسليم",COUNTIFS($A$5:$A$1504,$A967,$D$5:$D$1504,"تسليم",$E$5:$E$1504,"&lt;="&amp;$E967)=0),"لا يوجد تسليم قبل الحركة دي",""))))))</f>
        <v/>
      </c>
    </row>
    <row r="968" customFormat="false" ht="15" hidden="false" customHeight="false" outlineLevel="0" collapsed="false">
      <c r="A968" s="20"/>
      <c r="B968" s="35" t="str">
        <f aca="false">IF($A968="","",IFERROR(INDEX(مخرج_البند,MATCH($A968,قائمة_المخرجات,0)),""))</f>
        <v/>
      </c>
      <c r="C968" s="30" t="str">
        <f aca="false">IF($A968="","",IFERROR(INDEX(مخرج_الوصف,MATCH($A968,قائمة_المخرجات,0)),""))</f>
        <v/>
      </c>
      <c r="D968" s="20"/>
      <c r="E968" s="31"/>
      <c r="F968" s="22"/>
      <c r="G968" s="36" t="str">
        <f aca="false">IF(OR($A968="",$D968&lt;&gt;"تسليم",NOT(ISNUMBER($E968))),"",COUNTIFS($A$5:$A$1504,$A968,$D$5:$D$1504,"تسليم",$E$5:$E$1504,"&lt;"&amp;$E968)+1)</f>
        <v/>
      </c>
      <c r="H968" s="33" t="str">
        <f aca="false">IF($G968="","",_xlfn.MINIFS($E$5:$E$1504,$A$5:$A$1504,$A968,$D$5:$D$1504,"&lt;&gt;تسليم",$E$5:$E$1504,"&gt;="&amp;$E968))</f>
        <v/>
      </c>
      <c r="I968" s="33" t="str">
        <f aca="false">IF($G968="","",_xlfn.MINIFS($E$5:$E$1504,$A$5:$A$1504,$A968,$D$5:$D$1504,"تسليم",$E$5:$E$1504,"&gt;"&amp;$E968))</f>
        <v/>
      </c>
      <c r="J968" s="33" t="str">
        <f aca="false">IF($G968="","",IF(H968&gt;0,IF(I968&gt;0,MIN(H968,I968),H968),IF(I968&gt;0,I968,تاريخ_الاحتساب)))</f>
        <v/>
      </c>
      <c r="K968" s="34" t="str">
        <f aca="false">IF($G968="","",IF(AND(H968=0,I968=0),"جارية","مغلقة"))</f>
        <v/>
      </c>
      <c r="L968" s="26" t="str">
        <f aca="false">IF($G968="","",MAX(0,NETWORKDAYS.INTL($E968,J968,رمز_العطلة,أيام_الأجازات)-1))</f>
        <v/>
      </c>
      <c r="M968" s="26" t="str">
        <f aca="false">IF($G968="","",MAX(0,L968-مهلة_المراجعة))</f>
        <v/>
      </c>
      <c r="N968" s="30" t="str">
        <f aca="false">IF($A968="",IF(OR($D968&lt;&gt;"",$E968&lt;&gt;""),"رقم المخرج ناقص",""),IF(ISNA(MATCH($A968,قائمة_المخرجات,0)),"رقم مخرج غير موجود",IF($D968="","نوع الحركة ناقص",IF(NOT(ISNUMBER($E968)),"التاريخ ناقص",IF($E968&gt;تاريخ_الاحتساب,"تاريخ بعد تاريخ الاحتساب",IF(AND($D968&lt;&gt;"تسليم",COUNTIFS($A$5:$A$1504,$A968,$D$5:$D$1504,"تسليم",$E$5:$E$1504,"&lt;="&amp;$E968)=0),"لا يوجد تسليم قبل الحركة دي",""))))))</f>
        <v/>
      </c>
    </row>
    <row r="969" customFormat="false" ht="15" hidden="false" customHeight="false" outlineLevel="0" collapsed="false">
      <c r="A969" s="20"/>
      <c r="B969" s="35" t="str">
        <f aca="false">IF($A969="","",IFERROR(INDEX(مخرج_البند,MATCH($A969,قائمة_المخرجات,0)),""))</f>
        <v/>
      </c>
      <c r="C969" s="30" t="str">
        <f aca="false">IF($A969="","",IFERROR(INDEX(مخرج_الوصف,MATCH($A969,قائمة_المخرجات,0)),""))</f>
        <v/>
      </c>
      <c r="D969" s="20"/>
      <c r="E969" s="31"/>
      <c r="F969" s="22"/>
      <c r="G969" s="36" t="str">
        <f aca="false">IF(OR($A969="",$D969&lt;&gt;"تسليم",NOT(ISNUMBER($E969))),"",COUNTIFS($A$5:$A$1504,$A969,$D$5:$D$1504,"تسليم",$E$5:$E$1504,"&lt;"&amp;$E969)+1)</f>
        <v/>
      </c>
      <c r="H969" s="33" t="str">
        <f aca="false">IF($G969="","",_xlfn.MINIFS($E$5:$E$1504,$A$5:$A$1504,$A969,$D$5:$D$1504,"&lt;&gt;تسليم",$E$5:$E$1504,"&gt;="&amp;$E969))</f>
        <v/>
      </c>
      <c r="I969" s="33" t="str">
        <f aca="false">IF($G969="","",_xlfn.MINIFS($E$5:$E$1504,$A$5:$A$1504,$A969,$D$5:$D$1504,"تسليم",$E$5:$E$1504,"&gt;"&amp;$E969))</f>
        <v/>
      </c>
      <c r="J969" s="33" t="str">
        <f aca="false">IF($G969="","",IF(H969&gt;0,IF(I969&gt;0,MIN(H969,I969),H969),IF(I969&gt;0,I969,تاريخ_الاحتساب)))</f>
        <v/>
      </c>
      <c r="K969" s="34" t="str">
        <f aca="false">IF($G969="","",IF(AND(H969=0,I969=0),"جارية","مغلقة"))</f>
        <v/>
      </c>
      <c r="L969" s="26" t="str">
        <f aca="false">IF($G969="","",MAX(0,NETWORKDAYS.INTL($E969,J969,رمز_العطلة,أيام_الأجازات)-1))</f>
        <v/>
      </c>
      <c r="M969" s="26" t="str">
        <f aca="false">IF($G969="","",MAX(0,L969-مهلة_المراجعة))</f>
        <v/>
      </c>
      <c r="N969" s="30" t="str">
        <f aca="false">IF($A969="",IF(OR($D969&lt;&gt;"",$E969&lt;&gt;""),"رقم المخرج ناقص",""),IF(ISNA(MATCH($A969,قائمة_المخرجات,0)),"رقم مخرج غير موجود",IF($D969="","نوع الحركة ناقص",IF(NOT(ISNUMBER($E969)),"التاريخ ناقص",IF($E969&gt;تاريخ_الاحتساب,"تاريخ بعد تاريخ الاحتساب",IF(AND($D969&lt;&gt;"تسليم",COUNTIFS($A$5:$A$1504,$A969,$D$5:$D$1504,"تسليم",$E$5:$E$1504,"&lt;="&amp;$E969)=0),"لا يوجد تسليم قبل الحركة دي",""))))))</f>
        <v/>
      </c>
    </row>
    <row r="970" customFormat="false" ht="15" hidden="false" customHeight="false" outlineLevel="0" collapsed="false">
      <c r="A970" s="20"/>
      <c r="B970" s="35" t="str">
        <f aca="false">IF($A970="","",IFERROR(INDEX(مخرج_البند,MATCH($A970,قائمة_المخرجات,0)),""))</f>
        <v/>
      </c>
      <c r="C970" s="30" t="str">
        <f aca="false">IF($A970="","",IFERROR(INDEX(مخرج_الوصف,MATCH($A970,قائمة_المخرجات,0)),""))</f>
        <v/>
      </c>
      <c r="D970" s="20"/>
      <c r="E970" s="31"/>
      <c r="F970" s="22"/>
      <c r="G970" s="36" t="str">
        <f aca="false">IF(OR($A970="",$D970&lt;&gt;"تسليم",NOT(ISNUMBER($E970))),"",COUNTIFS($A$5:$A$1504,$A970,$D$5:$D$1504,"تسليم",$E$5:$E$1504,"&lt;"&amp;$E970)+1)</f>
        <v/>
      </c>
      <c r="H970" s="33" t="str">
        <f aca="false">IF($G970="","",_xlfn.MINIFS($E$5:$E$1504,$A$5:$A$1504,$A970,$D$5:$D$1504,"&lt;&gt;تسليم",$E$5:$E$1504,"&gt;="&amp;$E970))</f>
        <v/>
      </c>
      <c r="I970" s="33" t="str">
        <f aca="false">IF($G970="","",_xlfn.MINIFS($E$5:$E$1504,$A$5:$A$1504,$A970,$D$5:$D$1504,"تسليم",$E$5:$E$1504,"&gt;"&amp;$E970))</f>
        <v/>
      </c>
      <c r="J970" s="33" t="str">
        <f aca="false">IF($G970="","",IF(H970&gt;0,IF(I970&gt;0,MIN(H970,I970),H970),IF(I970&gt;0,I970,تاريخ_الاحتساب)))</f>
        <v/>
      </c>
      <c r="K970" s="34" t="str">
        <f aca="false">IF($G970="","",IF(AND(H970=0,I970=0),"جارية","مغلقة"))</f>
        <v/>
      </c>
      <c r="L970" s="26" t="str">
        <f aca="false">IF($G970="","",MAX(0,NETWORKDAYS.INTL($E970,J970,رمز_العطلة,أيام_الأجازات)-1))</f>
        <v/>
      </c>
      <c r="M970" s="26" t="str">
        <f aca="false">IF($G970="","",MAX(0,L970-مهلة_المراجعة))</f>
        <v/>
      </c>
      <c r="N970" s="30" t="str">
        <f aca="false">IF($A970="",IF(OR($D970&lt;&gt;"",$E970&lt;&gt;""),"رقم المخرج ناقص",""),IF(ISNA(MATCH($A970,قائمة_المخرجات,0)),"رقم مخرج غير موجود",IF($D970="","نوع الحركة ناقص",IF(NOT(ISNUMBER($E970)),"التاريخ ناقص",IF($E970&gt;تاريخ_الاحتساب,"تاريخ بعد تاريخ الاحتساب",IF(AND($D970&lt;&gt;"تسليم",COUNTIFS($A$5:$A$1504,$A970,$D$5:$D$1504,"تسليم",$E$5:$E$1504,"&lt;="&amp;$E970)=0),"لا يوجد تسليم قبل الحركة دي",""))))))</f>
        <v/>
      </c>
    </row>
    <row r="971" customFormat="false" ht="15" hidden="false" customHeight="false" outlineLevel="0" collapsed="false">
      <c r="A971" s="20"/>
      <c r="B971" s="35" t="str">
        <f aca="false">IF($A971="","",IFERROR(INDEX(مخرج_البند,MATCH($A971,قائمة_المخرجات,0)),""))</f>
        <v/>
      </c>
      <c r="C971" s="30" t="str">
        <f aca="false">IF($A971="","",IFERROR(INDEX(مخرج_الوصف,MATCH($A971,قائمة_المخرجات,0)),""))</f>
        <v/>
      </c>
      <c r="D971" s="20"/>
      <c r="E971" s="31"/>
      <c r="F971" s="22"/>
      <c r="G971" s="36" t="str">
        <f aca="false">IF(OR($A971="",$D971&lt;&gt;"تسليم",NOT(ISNUMBER($E971))),"",COUNTIFS($A$5:$A$1504,$A971,$D$5:$D$1504,"تسليم",$E$5:$E$1504,"&lt;"&amp;$E971)+1)</f>
        <v/>
      </c>
      <c r="H971" s="33" t="str">
        <f aca="false">IF($G971="","",_xlfn.MINIFS($E$5:$E$1504,$A$5:$A$1504,$A971,$D$5:$D$1504,"&lt;&gt;تسليم",$E$5:$E$1504,"&gt;="&amp;$E971))</f>
        <v/>
      </c>
      <c r="I971" s="33" t="str">
        <f aca="false">IF($G971="","",_xlfn.MINIFS($E$5:$E$1504,$A$5:$A$1504,$A971,$D$5:$D$1504,"تسليم",$E$5:$E$1504,"&gt;"&amp;$E971))</f>
        <v/>
      </c>
      <c r="J971" s="33" t="str">
        <f aca="false">IF($G971="","",IF(H971&gt;0,IF(I971&gt;0,MIN(H971,I971),H971),IF(I971&gt;0,I971,تاريخ_الاحتساب)))</f>
        <v/>
      </c>
      <c r="K971" s="34" t="str">
        <f aca="false">IF($G971="","",IF(AND(H971=0,I971=0),"جارية","مغلقة"))</f>
        <v/>
      </c>
      <c r="L971" s="26" t="str">
        <f aca="false">IF($G971="","",MAX(0,NETWORKDAYS.INTL($E971,J971,رمز_العطلة,أيام_الأجازات)-1))</f>
        <v/>
      </c>
      <c r="M971" s="26" t="str">
        <f aca="false">IF($G971="","",MAX(0,L971-مهلة_المراجعة))</f>
        <v/>
      </c>
      <c r="N971" s="30" t="str">
        <f aca="false">IF($A971="",IF(OR($D971&lt;&gt;"",$E971&lt;&gt;""),"رقم المخرج ناقص",""),IF(ISNA(MATCH($A971,قائمة_المخرجات,0)),"رقم مخرج غير موجود",IF($D971="","نوع الحركة ناقص",IF(NOT(ISNUMBER($E971)),"التاريخ ناقص",IF($E971&gt;تاريخ_الاحتساب,"تاريخ بعد تاريخ الاحتساب",IF(AND($D971&lt;&gt;"تسليم",COUNTIFS($A$5:$A$1504,$A971,$D$5:$D$1504,"تسليم",$E$5:$E$1504,"&lt;="&amp;$E971)=0),"لا يوجد تسليم قبل الحركة دي",""))))))</f>
        <v/>
      </c>
    </row>
    <row r="972" customFormat="false" ht="15" hidden="false" customHeight="false" outlineLevel="0" collapsed="false">
      <c r="A972" s="20"/>
      <c r="B972" s="35" t="str">
        <f aca="false">IF($A972="","",IFERROR(INDEX(مخرج_البند,MATCH($A972,قائمة_المخرجات,0)),""))</f>
        <v/>
      </c>
      <c r="C972" s="30" t="str">
        <f aca="false">IF($A972="","",IFERROR(INDEX(مخرج_الوصف,MATCH($A972,قائمة_المخرجات,0)),""))</f>
        <v/>
      </c>
      <c r="D972" s="20"/>
      <c r="E972" s="31"/>
      <c r="F972" s="22"/>
      <c r="G972" s="36" t="str">
        <f aca="false">IF(OR($A972="",$D972&lt;&gt;"تسليم",NOT(ISNUMBER($E972))),"",COUNTIFS($A$5:$A$1504,$A972,$D$5:$D$1504,"تسليم",$E$5:$E$1504,"&lt;"&amp;$E972)+1)</f>
        <v/>
      </c>
      <c r="H972" s="33" t="str">
        <f aca="false">IF($G972="","",_xlfn.MINIFS($E$5:$E$1504,$A$5:$A$1504,$A972,$D$5:$D$1504,"&lt;&gt;تسليم",$E$5:$E$1504,"&gt;="&amp;$E972))</f>
        <v/>
      </c>
      <c r="I972" s="33" t="str">
        <f aca="false">IF($G972="","",_xlfn.MINIFS($E$5:$E$1504,$A$5:$A$1504,$A972,$D$5:$D$1504,"تسليم",$E$5:$E$1504,"&gt;"&amp;$E972))</f>
        <v/>
      </c>
      <c r="J972" s="33" t="str">
        <f aca="false">IF($G972="","",IF(H972&gt;0,IF(I972&gt;0,MIN(H972,I972),H972),IF(I972&gt;0,I972,تاريخ_الاحتساب)))</f>
        <v/>
      </c>
      <c r="K972" s="34" t="str">
        <f aca="false">IF($G972="","",IF(AND(H972=0,I972=0),"جارية","مغلقة"))</f>
        <v/>
      </c>
      <c r="L972" s="26" t="str">
        <f aca="false">IF($G972="","",MAX(0,NETWORKDAYS.INTL($E972,J972,رمز_العطلة,أيام_الأجازات)-1))</f>
        <v/>
      </c>
      <c r="M972" s="26" t="str">
        <f aca="false">IF($G972="","",MAX(0,L972-مهلة_المراجعة))</f>
        <v/>
      </c>
      <c r="N972" s="30" t="str">
        <f aca="false">IF($A972="",IF(OR($D972&lt;&gt;"",$E972&lt;&gt;""),"رقم المخرج ناقص",""),IF(ISNA(MATCH($A972,قائمة_المخرجات,0)),"رقم مخرج غير موجود",IF($D972="","نوع الحركة ناقص",IF(NOT(ISNUMBER($E972)),"التاريخ ناقص",IF($E972&gt;تاريخ_الاحتساب,"تاريخ بعد تاريخ الاحتساب",IF(AND($D972&lt;&gt;"تسليم",COUNTIFS($A$5:$A$1504,$A972,$D$5:$D$1504,"تسليم",$E$5:$E$1504,"&lt;="&amp;$E972)=0),"لا يوجد تسليم قبل الحركة دي",""))))))</f>
        <v/>
      </c>
    </row>
    <row r="973" customFormat="false" ht="15" hidden="false" customHeight="false" outlineLevel="0" collapsed="false">
      <c r="A973" s="20"/>
      <c r="B973" s="35" t="str">
        <f aca="false">IF($A973="","",IFERROR(INDEX(مخرج_البند,MATCH($A973,قائمة_المخرجات,0)),""))</f>
        <v/>
      </c>
      <c r="C973" s="30" t="str">
        <f aca="false">IF($A973="","",IFERROR(INDEX(مخرج_الوصف,MATCH($A973,قائمة_المخرجات,0)),""))</f>
        <v/>
      </c>
      <c r="D973" s="20"/>
      <c r="E973" s="31"/>
      <c r="F973" s="22"/>
      <c r="G973" s="36" t="str">
        <f aca="false">IF(OR($A973="",$D973&lt;&gt;"تسليم",NOT(ISNUMBER($E973))),"",COUNTIFS($A$5:$A$1504,$A973,$D$5:$D$1504,"تسليم",$E$5:$E$1504,"&lt;"&amp;$E973)+1)</f>
        <v/>
      </c>
      <c r="H973" s="33" t="str">
        <f aca="false">IF($G973="","",_xlfn.MINIFS($E$5:$E$1504,$A$5:$A$1504,$A973,$D$5:$D$1504,"&lt;&gt;تسليم",$E$5:$E$1504,"&gt;="&amp;$E973))</f>
        <v/>
      </c>
      <c r="I973" s="33" t="str">
        <f aca="false">IF($G973="","",_xlfn.MINIFS($E$5:$E$1504,$A$5:$A$1504,$A973,$D$5:$D$1504,"تسليم",$E$5:$E$1504,"&gt;"&amp;$E973))</f>
        <v/>
      </c>
      <c r="J973" s="33" t="str">
        <f aca="false">IF($G973="","",IF(H973&gt;0,IF(I973&gt;0,MIN(H973,I973),H973),IF(I973&gt;0,I973,تاريخ_الاحتساب)))</f>
        <v/>
      </c>
      <c r="K973" s="34" t="str">
        <f aca="false">IF($G973="","",IF(AND(H973=0,I973=0),"جارية","مغلقة"))</f>
        <v/>
      </c>
      <c r="L973" s="26" t="str">
        <f aca="false">IF($G973="","",MAX(0,NETWORKDAYS.INTL($E973,J973,رمز_العطلة,أيام_الأجازات)-1))</f>
        <v/>
      </c>
      <c r="M973" s="26" t="str">
        <f aca="false">IF($G973="","",MAX(0,L973-مهلة_المراجعة))</f>
        <v/>
      </c>
      <c r="N973" s="30" t="str">
        <f aca="false">IF($A973="",IF(OR($D973&lt;&gt;"",$E973&lt;&gt;""),"رقم المخرج ناقص",""),IF(ISNA(MATCH($A973,قائمة_المخرجات,0)),"رقم مخرج غير موجود",IF($D973="","نوع الحركة ناقص",IF(NOT(ISNUMBER($E973)),"التاريخ ناقص",IF($E973&gt;تاريخ_الاحتساب,"تاريخ بعد تاريخ الاحتساب",IF(AND($D973&lt;&gt;"تسليم",COUNTIFS($A$5:$A$1504,$A973,$D$5:$D$1504,"تسليم",$E$5:$E$1504,"&lt;="&amp;$E973)=0),"لا يوجد تسليم قبل الحركة دي",""))))))</f>
        <v/>
      </c>
    </row>
    <row r="974" customFormat="false" ht="15" hidden="false" customHeight="false" outlineLevel="0" collapsed="false">
      <c r="A974" s="20"/>
      <c r="B974" s="35" t="str">
        <f aca="false">IF($A974="","",IFERROR(INDEX(مخرج_البند,MATCH($A974,قائمة_المخرجات,0)),""))</f>
        <v/>
      </c>
      <c r="C974" s="30" t="str">
        <f aca="false">IF($A974="","",IFERROR(INDEX(مخرج_الوصف,MATCH($A974,قائمة_المخرجات,0)),""))</f>
        <v/>
      </c>
      <c r="D974" s="20"/>
      <c r="E974" s="31"/>
      <c r="F974" s="22"/>
      <c r="G974" s="36" t="str">
        <f aca="false">IF(OR($A974="",$D974&lt;&gt;"تسليم",NOT(ISNUMBER($E974))),"",COUNTIFS($A$5:$A$1504,$A974,$D$5:$D$1504,"تسليم",$E$5:$E$1504,"&lt;"&amp;$E974)+1)</f>
        <v/>
      </c>
      <c r="H974" s="33" t="str">
        <f aca="false">IF($G974="","",_xlfn.MINIFS($E$5:$E$1504,$A$5:$A$1504,$A974,$D$5:$D$1504,"&lt;&gt;تسليم",$E$5:$E$1504,"&gt;="&amp;$E974))</f>
        <v/>
      </c>
      <c r="I974" s="33" t="str">
        <f aca="false">IF($G974="","",_xlfn.MINIFS($E$5:$E$1504,$A$5:$A$1504,$A974,$D$5:$D$1504,"تسليم",$E$5:$E$1504,"&gt;"&amp;$E974))</f>
        <v/>
      </c>
      <c r="J974" s="33" t="str">
        <f aca="false">IF($G974="","",IF(H974&gt;0,IF(I974&gt;0,MIN(H974,I974),H974),IF(I974&gt;0,I974,تاريخ_الاحتساب)))</f>
        <v/>
      </c>
      <c r="K974" s="34" t="str">
        <f aca="false">IF($G974="","",IF(AND(H974=0,I974=0),"جارية","مغلقة"))</f>
        <v/>
      </c>
      <c r="L974" s="26" t="str">
        <f aca="false">IF($G974="","",MAX(0,NETWORKDAYS.INTL($E974,J974,رمز_العطلة,أيام_الأجازات)-1))</f>
        <v/>
      </c>
      <c r="M974" s="26" t="str">
        <f aca="false">IF($G974="","",MAX(0,L974-مهلة_المراجعة))</f>
        <v/>
      </c>
      <c r="N974" s="30" t="str">
        <f aca="false">IF($A974="",IF(OR($D974&lt;&gt;"",$E974&lt;&gt;""),"رقم المخرج ناقص",""),IF(ISNA(MATCH($A974,قائمة_المخرجات,0)),"رقم مخرج غير موجود",IF($D974="","نوع الحركة ناقص",IF(NOT(ISNUMBER($E974)),"التاريخ ناقص",IF($E974&gt;تاريخ_الاحتساب,"تاريخ بعد تاريخ الاحتساب",IF(AND($D974&lt;&gt;"تسليم",COUNTIFS($A$5:$A$1504,$A974,$D$5:$D$1504,"تسليم",$E$5:$E$1504,"&lt;="&amp;$E974)=0),"لا يوجد تسليم قبل الحركة دي",""))))))</f>
        <v/>
      </c>
    </row>
    <row r="975" customFormat="false" ht="15" hidden="false" customHeight="false" outlineLevel="0" collapsed="false">
      <c r="A975" s="20"/>
      <c r="B975" s="35" t="str">
        <f aca="false">IF($A975="","",IFERROR(INDEX(مخرج_البند,MATCH($A975,قائمة_المخرجات,0)),""))</f>
        <v/>
      </c>
      <c r="C975" s="30" t="str">
        <f aca="false">IF($A975="","",IFERROR(INDEX(مخرج_الوصف,MATCH($A975,قائمة_المخرجات,0)),""))</f>
        <v/>
      </c>
      <c r="D975" s="20"/>
      <c r="E975" s="31"/>
      <c r="F975" s="22"/>
      <c r="G975" s="36" t="str">
        <f aca="false">IF(OR($A975="",$D975&lt;&gt;"تسليم",NOT(ISNUMBER($E975))),"",COUNTIFS($A$5:$A$1504,$A975,$D$5:$D$1504,"تسليم",$E$5:$E$1504,"&lt;"&amp;$E975)+1)</f>
        <v/>
      </c>
      <c r="H975" s="33" t="str">
        <f aca="false">IF($G975="","",_xlfn.MINIFS($E$5:$E$1504,$A$5:$A$1504,$A975,$D$5:$D$1504,"&lt;&gt;تسليم",$E$5:$E$1504,"&gt;="&amp;$E975))</f>
        <v/>
      </c>
      <c r="I975" s="33" t="str">
        <f aca="false">IF($G975="","",_xlfn.MINIFS($E$5:$E$1504,$A$5:$A$1504,$A975,$D$5:$D$1504,"تسليم",$E$5:$E$1504,"&gt;"&amp;$E975))</f>
        <v/>
      </c>
      <c r="J975" s="33" t="str">
        <f aca="false">IF($G975="","",IF(H975&gt;0,IF(I975&gt;0,MIN(H975,I975),H975),IF(I975&gt;0,I975,تاريخ_الاحتساب)))</f>
        <v/>
      </c>
      <c r="K975" s="34" t="str">
        <f aca="false">IF($G975="","",IF(AND(H975=0,I975=0),"جارية","مغلقة"))</f>
        <v/>
      </c>
      <c r="L975" s="26" t="str">
        <f aca="false">IF($G975="","",MAX(0,NETWORKDAYS.INTL($E975,J975,رمز_العطلة,أيام_الأجازات)-1))</f>
        <v/>
      </c>
      <c r="M975" s="26" t="str">
        <f aca="false">IF($G975="","",MAX(0,L975-مهلة_المراجعة))</f>
        <v/>
      </c>
      <c r="N975" s="30" t="str">
        <f aca="false">IF($A975="",IF(OR($D975&lt;&gt;"",$E975&lt;&gt;""),"رقم المخرج ناقص",""),IF(ISNA(MATCH($A975,قائمة_المخرجات,0)),"رقم مخرج غير موجود",IF($D975="","نوع الحركة ناقص",IF(NOT(ISNUMBER($E975)),"التاريخ ناقص",IF($E975&gt;تاريخ_الاحتساب,"تاريخ بعد تاريخ الاحتساب",IF(AND($D975&lt;&gt;"تسليم",COUNTIFS($A$5:$A$1504,$A975,$D$5:$D$1504,"تسليم",$E$5:$E$1504,"&lt;="&amp;$E975)=0),"لا يوجد تسليم قبل الحركة دي",""))))))</f>
        <v/>
      </c>
    </row>
    <row r="976" customFormat="false" ht="15" hidden="false" customHeight="false" outlineLevel="0" collapsed="false">
      <c r="A976" s="20"/>
      <c r="B976" s="35" t="str">
        <f aca="false">IF($A976="","",IFERROR(INDEX(مخرج_البند,MATCH($A976,قائمة_المخرجات,0)),""))</f>
        <v/>
      </c>
      <c r="C976" s="30" t="str">
        <f aca="false">IF($A976="","",IFERROR(INDEX(مخرج_الوصف,MATCH($A976,قائمة_المخرجات,0)),""))</f>
        <v/>
      </c>
      <c r="D976" s="20"/>
      <c r="E976" s="31"/>
      <c r="F976" s="22"/>
      <c r="G976" s="36" t="str">
        <f aca="false">IF(OR($A976="",$D976&lt;&gt;"تسليم",NOT(ISNUMBER($E976))),"",COUNTIFS($A$5:$A$1504,$A976,$D$5:$D$1504,"تسليم",$E$5:$E$1504,"&lt;"&amp;$E976)+1)</f>
        <v/>
      </c>
      <c r="H976" s="33" t="str">
        <f aca="false">IF($G976="","",_xlfn.MINIFS($E$5:$E$1504,$A$5:$A$1504,$A976,$D$5:$D$1504,"&lt;&gt;تسليم",$E$5:$E$1504,"&gt;="&amp;$E976))</f>
        <v/>
      </c>
      <c r="I976" s="33" t="str">
        <f aca="false">IF($G976="","",_xlfn.MINIFS($E$5:$E$1504,$A$5:$A$1504,$A976,$D$5:$D$1504,"تسليم",$E$5:$E$1504,"&gt;"&amp;$E976))</f>
        <v/>
      </c>
      <c r="J976" s="33" t="str">
        <f aca="false">IF($G976="","",IF(H976&gt;0,IF(I976&gt;0,MIN(H976,I976),H976),IF(I976&gt;0,I976,تاريخ_الاحتساب)))</f>
        <v/>
      </c>
      <c r="K976" s="34" t="str">
        <f aca="false">IF($G976="","",IF(AND(H976=0,I976=0),"جارية","مغلقة"))</f>
        <v/>
      </c>
      <c r="L976" s="26" t="str">
        <f aca="false">IF($G976="","",MAX(0,NETWORKDAYS.INTL($E976,J976,رمز_العطلة,أيام_الأجازات)-1))</f>
        <v/>
      </c>
      <c r="M976" s="26" t="str">
        <f aca="false">IF($G976="","",MAX(0,L976-مهلة_المراجعة))</f>
        <v/>
      </c>
      <c r="N976" s="30" t="str">
        <f aca="false">IF($A976="",IF(OR($D976&lt;&gt;"",$E976&lt;&gt;""),"رقم المخرج ناقص",""),IF(ISNA(MATCH($A976,قائمة_المخرجات,0)),"رقم مخرج غير موجود",IF($D976="","نوع الحركة ناقص",IF(NOT(ISNUMBER($E976)),"التاريخ ناقص",IF($E976&gt;تاريخ_الاحتساب,"تاريخ بعد تاريخ الاحتساب",IF(AND($D976&lt;&gt;"تسليم",COUNTIFS($A$5:$A$1504,$A976,$D$5:$D$1504,"تسليم",$E$5:$E$1504,"&lt;="&amp;$E976)=0),"لا يوجد تسليم قبل الحركة دي",""))))))</f>
        <v/>
      </c>
    </row>
    <row r="977" customFormat="false" ht="15" hidden="false" customHeight="false" outlineLevel="0" collapsed="false">
      <c r="A977" s="20"/>
      <c r="B977" s="35" t="str">
        <f aca="false">IF($A977="","",IFERROR(INDEX(مخرج_البند,MATCH($A977,قائمة_المخرجات,0)),""))</f>
        <v/>
      </c>
      <c r="C977" s="30" t="str">
        <f aca="false">IF($A977="","",IFERROR(INDEX(مخرج_الوصف,MATCH($A977,قائمة_المخرجات,0)),""))</f>
        <v/>
      </c>
      <c r="D977" s="20"/>
      <c r="E977" s="31"/>
      <c r="F977" s="22"/>
      <c r="G977" s="36" t="str">
        <f aca="false">IF(OR($A977="",$D977&lt;&gt;"تسليم",NOT(ISNUMBER($E977))),"",COUNTIFS($A$5:$A$1504,$A977,$D$5:$D$1504,"تسليم",$E$5:$E$1504,"&lt;"&amp;$E977)+1)</f>
        <v/>
      </c>
      <c r="H977" s="33" t="str">
        <f aca="false">IF($G977="","",_xlfn.MINIFS($E$5:$E$1504,$A$5:$A$1504,$A977,$D$5:$D$1504,"&lt;&gt;تسليم",$E$5:$E$1504,"&gt;="&amp;$E977))</f>
        <v/>
      </c>
      <c r="I977" s="33" t="str">
        <f aca="false">IF($G977="","",_xlfn.MINIFS($E$5:$E$1504,$A$5:$A$1504,$A977,$D$5:$D$1504,"تسليم",$E$5:$E$1504,"&gt;"&amp;$E977))</f>
        <v/>
      </c>
      <c r="J977" s="33" t="str">
        <f aca="false">IF($G977="","",IF(H977&gt;0,IF(I977&gt;0,MIN(H977,I977),H977),IF(I977&gt;0,I977,تاريخ_الاحتساب)))</f>
        <v/>
      </c>
      <c r="K977" s="34" t="str">
        <f aca="false">IF($G977="","",IF(AND(H977=0,I977=0),"جارية","مغلقة"))</f>
        <v/>
      </c>
      <c r="L977" s="26" t="str">
        <f aca="false">IF($G977="","",MAX(0,NETWORKDAYS.INTL($E977,J977,رمز_العطلة,أيام_الأجازات)-1))</f>
        <v/>
      </c>
      <c r="M977" s="26" t="str">
        <f aca="false">IF($G977="","",MAX(0,L977-مهلة_المراجعة))</f>
        <v/>
      </c>
      <c r="N977" s="30" t="str">
        <f aca="false">IF($A977="",IF(OR($D977&lt;&gt;"",$E977&lt;&gt;""),"رقم المخرج ناقص",""),IF(ISNA(MATCH($A977,قائمة_المخرجات,0)),"رقم مخرج غير موجود",IF($D977="","نوع الحركة ناقص",IF(NOT(ISNUMBER($E977)),"التاريخ ناقص",IF($E977&gt;تاريخ_الاحتساب,"تاريخ بعد تاريخ الاحتساب",IF(AND($D977&lt;&gt;"تسليم",COUNTIFS($A$5:$A$1504,$A977,$D$5:$D$1504,"تسليم",$E$5:$E$1504,"&lt;="&amp;$E977)=0),"لا يوجد تسليم قبل الحركة دي",""))))))</f>
        <v/>
      </c>
    </row>
    <row r="978" customFormat="false" ht="15" hidden="false" customHeight="false" outlineLevel="0" collapsed="false">
      <c r="A978" s="20"/>
      <c r="B978" s="35" t="str">
        <f aca="false">IF($A978="","",IFERROR(INDEX(مخرج_البند,MATCH($A978,قائمة_المخرجات,0)),""))</f>
        <v/>
      </c>
      <c r="C978" s="30" t="str">
        <f aca="false">IF($A978="","",IFERROR(INDEX(مخرج_الوصف,MATCH($A978,قائمة_المخرجات,0)),""))</f>
        <v/>
      </c>
      <c r="D978" s="20"/>
      <c r="E978" s="31"/>
      <c r="F978" s="22"/>
      <c r="G978" s="36" t="str">
        <f aca="false">IF(OR($A978="",$D978&lt;&gt;"تسليم",NOT(ISNUMBER($E978))),"",COUNTIFS($A$5:$A$1504,$A978,$D$5:$D$1504,"تسليم",$E$5:$E$1504,"&lt;"&amp;$E978)+1)</f>
        <v/>
      </c>
      <c r="H978" s="33" t="str">
        <f aca="false">IF($G978="","",_xlfn.MINIFS($E$5:$E$1504,$A$5:$A$1504,$A978,$D$5:$D$1504,"&lt;&gt;تسليم",$E$5:$E$1504,"&gt;="&amp;$E978))</f>
        <v/>
      </c>
      <c r="I978" s="33" t="str">
        <f aca="false">IF($G978="","",_xlfn.MINIFS($E$5:$E$1504,$A$5:$A$1504,$A978,$D$5:$D$1504,"تسليم",$E$5:$E$1504,"&gt;"&amp;$E978))</f>
        <v/>
      </c>
      <c r="J978" s="33" t="str">
        <f aca="false">IF($G978="","",IF(H978&gt;0,IF(I978&gt;0,MIN(H978,I978),H978),IF(I978&gt;0,I978,تاريخ_الاحتساب)))</f>
        <v/>
      </c>
      <c r="K978" s="34" t="str">
        <f aca="false">IF($G978="","",IF(AND(H978=0,I978=0),"جارية","مغلقة"))</f>
        <v/>
      </c>
      <c r="L978" s="26" t="str">
        <f aca="false">IF($G978="","",MAX(0,NETWORKDAYS.INTL($E978,J978,رمز_العطلة,أيام_الأجازات)-1))</f>
        <v/>
      </c>
      <c r="M978" s="26" t="str">
        <f aca="false">IF($G978="","",MAX(0,L978-مهلة_المراجعة))</f>
        <v/>
      </c>
      <c r="N978" s="30" t="str">
        <f aca="false">IF($A978="",IF(OR($D978&lt;&gt;"",$E978&lt;&gt;""),"رقم المخرج ناقص",""),IF(ISNA(MATCH($A978,قائمة_المخرجات,0)),"رقم مخرج غير موجود",IF($D978="","نوع الحركة ناقص",IF(NOT(ISNUMBER($E978)),"التاريخ ناقص",IF($E978&gt;تاريخ_الاحتساب,"تاريخ بعد تاريخ الاحتساب",IF(AND($D978&lt;&gt;"تسليم",COUNTIFS($A$5:$A$1504,$A978,$D$5:$D$1504,"تسليم",$E$5:$E$1504,"&lt;="&amp;$E978)=0),"لا يوجد تسليم قبل الحركة دي",""))))))</f>
        <v/>
      </c>
    </row>
    <row r="979" customFormat="false" ht="15" hidden="false" customHeight="false" outlineLevel="0" collapsed="false">
      <c r="A979" s="20"/>
      <c r="B979" s="35" t="str">
        <f aca="false">IF($A979="","",IFERROR(INDEX(مخرج_البند,MATCH($A979,قائمة_المخرجات,0)),""))</f>
        <v/>
      </c>
      <c r="C979" s="30" t="str">
        <f aca="false">IF($A979="","",IFERROR(INDEX(مخرج_الوصف,MATCH($A979,قائمة_المخرجات,0)),""))</f>
        <v/>
      </c>
      <c r="D979" s="20"/>
      <c r="E979" s="31"/>
      <c r="F979" s="22"/>
      <c r="G979" s="36" t="str">
        <f aca="false">IF(OR($A979="",$D979&lt;&gt;"تسليم",NOT(ISNUMBER($E979))),"",COUNTIFS($A$5:$A$1504,$A979,$D$5:$D$1504,"تسليم",$E$5:$E$1504,"&lt;"&amp;$E979)+1)</f>
        <v/>
      </c>
      <c r="H979" s="33" t="str">
        <f aca="false">IF($G979="","",_xlfn.MINIFS($E$5:$E$1504,$A$5:$A$1504,$A979,$D$5:$D$1504,"&lt;&gt;تسليم",$E$5:$E$1504,"&gt;="&amp;$E979))</f>
        <v/>
      </c>
      <c r="I979" s="33" t="str">
        <f aca="false">IF($G979="","",_xlfn.MINIFS($E$5:$E$1504,$A$5:$A$1504,$A979,$D$5:$D$1504,"تسليم",$E$5:$E$1504,"&gt;"&amp;$E979))</f>
        <v/>
      </c>
      <c r="J979" s="33" t="str">
        <f aca="false">IF($G979="","",IF(H979&gt;0,IF(I979&gt;0,MIN(H979,I979),H979),IF(I979&gt;0,I979,تاريخ_الاحتساب)))</f>
        <v/>
      </c>
      <c r="K979" s="34" t="str">
        <f aca="false">IF($G979="","",IF(AND(H979=0,I979=0),"جارية","مغلقة"))</f>
        <v/>
      </c>
      <c r="L979" s="26" t="str">
        <f aca="false">IF($G979="","",MAX(0,NETWORKDAYS.INTL($E979,J979,رمز_العطلة,أيام_الأجازات)-1))</f>
        <v/>
      </c>
      <c r="M979" s="26" t="str">
        <f aca="false">IF($G979="","",MAX(0,L979-مهلة_المراجعة))</f>
        <v/>
      </c>
      <c r="N979" s="30" t="str">
        <f aca="false">IF($A979="",IF(OR($D979&lt;&gt;"",$E979&lt;&gt;""),"رقم المخرج ناقص",""),IF(ISNA(MATCH($A979,قائمة_المخرجات,0)),"رقم مخرج غير موجود",IF($D979="","نوع الحركة ناقص",IF(NOT(ISNUMBER($E979)),"التاريخ ناقص",IF($E979&gt;تاريخ_الاحتساب,"تاريخ بعد تاريخ الاحتساب",IF(AND($D979&lt;&gt;"تسليم",COUNTIFS($A$5:$A$1504,$A979,$D$5:$D$1504,"تسليم",$E$5:$E$1504,"&lt;="&amp;$E979)=0),"لا يوجد تسليم قبل الحركة دي",""))))))</f>
        <v/>
      </c>
    </row>
    <row r="980" customFormat="false" ht="15" hidden="false" customHeight="false" outlineLevel="0" collapsed="false">
      <c r="A980" s="20"/>
      <c r="B980" s="35" t="str">
        <f aca="false">IF($A980="","",IFERROR(INDEX(مخرج_البند,MATCH($A980,قائمة_المخرجات,0)),""))</f>
        <v/>
      </c>
      <c r="C980" s="30" t="str">
        <f aca="false">IF($A980="","",IFERROR(INDEX(مخرج_الوصف,MATCH($A980,قائمة_المخرجات,0)),""))</f>
        <v/>
      </c>
      <c r="D980" s="20"/>
      <c r="E980" s="31"/>
      <c r="F980" s="22"/>
      <c r="G980" s="36" t="str">
        <f aca="false">IF(OR($A980="",$D980&lt;&gt;"تسليم",NOT(ISNUMBER($E980))),"",COUNTIFS($A$5:$A$1504,$A980,$D$5:$D$1504,"تسليم",$E$5:$E$1504,"&lt;"&amp;$E980)+1)</f>
        <v/>
      </c>
      <c r="H980" s="33" t="str">
        <f aca="false">IF($G980="","",_xlfn.MINIFS($E$5:$E$1504,$A$5:$A$1504,$A980,$D$5:$D$1504,"&lt;&gt;تسليم",$E$5:$E$1504,"&gt;="&amp;$E980))</f>
        <v/>
      </c>
      <c r="I980" s="33" t="str">
        <f aca="false">IF($G980="","",_xlfn.MINIFS($E$5:$E$1504,$A$5:$A$1504,$A980,$D$5:$D$1504,"تسليم",$E$5:$E$1504,"&gt;"&amp;$E980))</f>
        <v/>
      </c>
      <c r="J980" s="33" t="str">
        <f aca="false">IF($G980="","",IF(H980&gt;0,IF(I980&gt;0,MIN(H980,I980),H980),IF(I980&gt;0,I980,تاريخ_الاحتساب)))</f>
        <v/>
      </c>
      <c r="K980" s="34" t="str">
        <f aca="false">IF($G980="","",IF(AND(H980=0,I980=0),"جارية","مغلقة"))</f>
        <v/>
      </c>
      <c r="L980" s="26" t="str">
        <f aca="false">IF($G980="","",MAX(0,NETWORKDAYS.INTL($E980,J980,رمز_العطلة,أيام_الأجازات)-1))</f>
        <v/>
      </c>
      <c r="M980" s="26" t="str">
        <f aca="false">IF($G980="","",MAX(0,L980-مهلة_المراجعة))</f>
        <v/>
      </c>
      <c r="N980" s="30" t="str">
        <f aca="false">IF($A980="",IF(OR($D980&lt;&gt;"",$E980&lt;&gt;""),"رقم المخرج ناقص",""),IF(ISNA(MATCH($A980,قائمة_المخرجات,0)),"رقم مخرج غير موجود",IF($D980="","نوع الحركة ناقص",IF(NOT(ISNUMBER($E980)),"التاريخ ناقص",IF($E980&gt;تاريخ_الاحتساب,"تاريخ بعد تاريخ الاحتساب",IF(AND($D980&lt;&gt;"تسليم",COUNTIFS($A$5:$A$1504,$A980,$D$5:$D$1504,"تسليم",$E$5:$E$1504,"&lt;="&amp;$E980)=0),"لا يوجد تسليم قبل الحركة دي",""))))))</f>
        <v/>
      </c>
    </row>
    <row r="981" customFormat="false" ht="15" hidden="false" customHeight="false" outlineLevel="0" collapsed="false">
      <c r="A981" s="20"/>
      <c r="B981" s="35" t="str">
        <f aca="false">IF($A981="","",IFERROR(INDEX(مخرج_البند,MATCH($A981,قائمة_المخرجات,0)),""))</f>
        <v/>
      </c>
      <c r="C981" s="30" t="str">
        <f aca="false">IF($A981="","",IFERROR(INDEX(مخرج_الوصف,MATCH($A981,قائمة_المخرجات,0)),""))</f>
        <v/>
      </c>
      <c r="D981" s="20"/>
      <c r="E981" s="31"/>
      <c r="F981" s="22"/>
      <c r="G981" s="36" t="str">
        <f aca="false">IF(OR($A981="",$D981&lt;&gt;"تسليم",NOT(ISNUMBER($E981))),"",COUNTIFS($A$5:$A$1504,$A981,$D$5:$D$1504,"تسليم",$E$5:$E$1504,"&lt;"&amp;$E981)+1)</f>
        <v/>
      </c>
      <c r="H981" s="33" t="str">
        <f aca="false">IF($G981="","",_xlfn.MINIFS($E$5:$E$1504,$A$5:$A$1504,$A981,$D$5:$D$1504,"&lt;&gt;تسليم",$E$5:$E$1504,"&gt;="&amp;$E981))</f>
        <v/>
      </c>
      <c r="I981" s="33" t="str">
        <f aca="false">IF($G981="","",_xlfn.MINIFS($E$5:$E$1504,$A$5:$A$1504,$A981,$D$5:$D$1504,"تسليم",$E$5:$E$1504,"&gt;"&amp;$E981))</f>
        <v/>
      </c>
      <c r="J981" s="33" t="str">
        <f aca="false">IF($G981="","",IF(H981&gt;0,IF(I981&gt;0,MIN(H981,I981),H981),IF(I981&gt;0,I981,تاريخ_الاحتساب)))</f>
        <v/>
      </c>
      <c r="K981" s="34" t="str">
        <f aca="false">IF($G981="","",IF(AND(H981=0,I981=0),"جارية","مغلقة"))</f>
        <v/>
      </c>
      <c r="L981" s="26" t="str">
        <f aca="false">IF($G981="","",MAX(0,NETWORKDAYS.INTL($E981,J981,رمز_العطلة,أيام_الأجازات)-1))</f>
        <v/>
      </c>
      <c r="M981" s="26" t="str">
        <f aca="false">IF($G981="","",MAX(0,L981-مهلة_المراجعة))</f>
        <v/>
      </c>
      <c r="N981" s="30" t="str">
        <f aca="false">IF($A981="",IF(OR($D981&lt;&gt;"",$E981&lt;&gt;""),"رقم المخرج ناقص",""),IF(ISNA(MATCH($A981,قائمة_المخرجات,0)),"رقم مخرج غير موجود",IF($D981="","نوع الحركة ناقص",IF(NOT(ISNUMBER($E981)),"التاريخ ناقص",IF($E981&gt;تاريخ_الاحتساب,"تاريخ بعد تاريخ الاحتساب",IF(AND($D981&lt;&gt;"تسليم",COUNTIFS($A$5:$A$1504,$A981,$D$5:$D$1504,"تسليم",$E$5:$E$1504,"&lt;="&amp;$E981)=0),"لا يوجد تسليم قبل الحركة دي",""))))))</f>
        <v/>
      </c>
    </row>
    <row r="982" customFormat="false" ht="15" hidden="false" customHeight="false" outlineLevel="0" collapsed="false">
      <c r="A982" s="20"/>
      <c r="B982" s="35" t="str">
        <f aca="false">IF($A982="","",IFERROR(INDEX(مخرج_البند,MATCH($A982,قائمة_المخرجات,0)),""))</f>
        <v/>
      </c>
      <c r="C982" s="30" t="str">
        <f aca="false">IF($A982="","",IFERROR(INDEX(مخرج_الوصف,MATCH($A982,قائمة_المخرجات,0)),""))</f>
        <v/>
      </c>
      <c r="D982" s="20"/>
      <c r="E982" s="31"/>
      <c r="F982" s="22"/>
      <c r="G982" s="36" t="str">
        <f aca="false">IF(OR($A982="",$D982&lt;&gt;"تسليم",NOT(ISNUMBER($E982))),"",COUNTIFS($A$5:$A$1504,$A982,$D$5:$D$1504,"تسليم",$E$5:$E$1504,"&lt;"&amp;$E982)+1)</f>
        <v/>
      </c>
      <c r="H982" s="33" t="str">
        <f aca="false">IF($G982="","",_xlfn.MINIFS($E$5:$E$1504,$A$5:$A$1504,$A982,$D$5:$D$1504,"&lt;&gt;تسليم",$E$5:$E$1504,"&gt;="&amp;$E982))</f>
        <v/>
      </c>
      <c r="I982" s="33" t="str">
        <f aca="false">IF($G982="","",_xlfn.MINIFS($E$5:$E$1504,$A$5:$A$1504,$A982,$D$5:$D$1504,"تسليم",$E$5:$E$1504,"&gt;"&amp;$E982))</f>
        <v/>
      </c>
      <c r="J982" s="33" t="str">
        <f aca="false">IF($G982="","",IF(H982&gt;0,IF(I982&gt;0,MIN(H982,I982),H982),IF(I982&gt;0,I982,تاريخ_الاحتساب)))</f>
        <v/>
      </c>
      <c r="K982" s="34" t="str">
        <f aca="false">IF($G982="","",IF(AND(H982=0,I982=0),"جارية","مغلقة"))</f>
        <v/>
      </c>
      <c r="L982" s="26" t="str">
        <f aca="false">IF($G982="","",MAX(0,NETWORKDAYS.INTL($E982,J982,رمز_العطلة,أيام_الأجازات)-1))</f>
        <v/>
      </c>
      <c r="M982" s="26" t="str">
        <f aca="false">IF($G982="","",MAX(0,L982-مهلة_المراجعة))</f>
        <v/>
      </c>
      <c r="N982" s="30" t="str">
        <f aca="false">IF($A982="",IF(OR($D982&lt;&gt;"",$E982&lt;&gt;""),"رقم المخرج ناقص",""),IF(ISNA(MATCH($A982,قائمة_المخرجات,0)),"رقم مخرج غير موجود",IF($D982="","نوع الحركة ناقص",IF(NOT(ISNUMBER($E982)),"التاريخ ناقص",IF($E982&gt;تاريخ_الاحتساب,"تاريخ بعد تاريخ الاحتساب",IF(AND($D982&lt;&gt;"تسليم",COUNTIFS($A$5:$A$1504,$A982,$D$5:$D$1504,"تسليم",$E$5:$E$1504,"&lt;="&amp;$E982)=0),"لا يوجد تسليم قبل الحركة دي",""))))))</f>
        <v/>
      </c>
    </row>
    <row r="983" customFormat="false" ht="15" hidden="false" customHeight="false" outlineLevel="0" collapsed="false">
      <c r="A983" s="20"/>
      <c r="B983" s="35" t="str">
        <f aca="false">IF($A983="","",IFERROR(INDEX(مخرج_البند,MATCH($A983,قائمة_المخرجات,0)),""))</f>
        <v/>
      </c>
      <c r="C983" s="30" t="str">
        <f aca="false">IF($A983="","",IFERROR(INDEX(مخرج_الوصف,MATCH($A983,قائمة_المخرجات,0)),""))</f>
        <v/>
      </c>
      <c r="D983" s="20"/>
      <c r="E983" s="31"/>
      <c r="F983" s="22"/>
      <c r="G983" s="36" t="str">
        <f aca="false">IF(OR($A983="",$D983&lt;&gt;"تسليم",NOT(ISNUMBER($E983))),"",COUNTIFS($A$5:$A$1504,$A983,$D$5:$D$1504,"تسليم",$E$5:$E$1504,"&lt;"&amp;$E983)+1)</f>
        <v/>
      </c>
      <c r="H983" s="33" t="str">
        <f aca="false">IF($G983="","",_xlfn.MINIFS($E$5:$E$1504,$A$5:$A$1504,$A983,$D$5:$D$1504,"&lt;&gt;تسليم",$E$5:$E$1504,"&gt;="&amp;$E983))</f>
        <v/>
      </c>
      <c r="I983" s="33" t="str">
        <f aca="false">IF($G983="","",_xlfn.MINIFS($E$5:$E$1504,$A$5:$A$1504,$A983,$D$5:$D$1504,"تسليم",$E$5:$E$1504,"&gt;"&amp;$E983))</f>
        <v/>
      </c>
      <c r="J983" s="33" t="str">
        <f aca="false">IF($G983="","",IF(H983&gt;0,IF(I983&gt;0,MIN(H983,I983),H983),IF(I983&gt;0,I983,تاريخ_الاحتساب)))</f>
        <v/>
      </c>
      <c r="K983" s="34" t="str">
        <f aca="false">IF($G983="","",IF(AND(H983=0,I983=0),"جارية","مغلقة"))</f>
        <v/>
      </c>
      <c r="L983" s="26" t="str">
        <f aca="false">IF($G983="","",MAX(0,NETWORKDAYS.INTL($E983,J983,رمز_العطلة,أيام_الأجازات)-1))</f>
        <v/>
      </c>
      <c r="M983" s="26" t="str">
        <f aca="false">IF($G983="","",MAX(0,L983-مهلة_المراجعة))</f>
        <v/>
      </c>
      <c r="N983" s="30" t="str">
        <f aca="false">IF($A983="",IF(OR($D983&lt;&gt;"",$E983&lt;&gt;""),"رقم المخرج ناقص",""),IF(ISNA(MATCH($A983,قائمة_المخرجات,0)),"رقم مخرج غير موجود",IF($D983="","نوع الحركة ناقص",IF(NOT(ISNUMBER($E983)),"التاريخ ناقص",IF($E983&gt;تاريخ_الاحتساب,"تاريخ بعد تاريخ الاحتساب",IF(AND($D983&lt;&gt;"تسليم",COUNTIFS($A$5:$A$1504,$A983,$D$5:$D$1504,"تسليم",$E$5:$E$1504,"&lt;="&amp;$E983)=0),"لا يوجد تسليم قبل الحركة دي",""))))))</f>
        <v/>
      </c>
    </row>
    <row r="984" customFormat="false" ht="15" hidden="false" customHeight="false" outlineLevel="0" collapsed="false">
      <c r="A984" s="20"/>
      <c r="B984" s="35" t="str">
        <f aca="false">IF($A984="","",IFERROR(INDEX(مخرج_البند,MATCH($A984,قائمة_المخرجات,0)),""))</f>
        <v/>
      </c>
      <c r="C984" s="30" t="str">
        <f aca="false">IF($A984="","",IFERROR(INDEX(مخرج_الوصف,MATCH($A984,قائمة_المخرجات,0)),""))</f>
        <v/>
      </c>
      <c r="D984" s="20"/>
      <c r="E984" s="31"/>
      <c r="F984" s="22"/>
      <c r="G984" s="36" t="str">
        <f aca="false">IF(OR($A984="",$D984&lt;&gt;"تسليم",NOT(ISNUMBER($E984))),"",COUNTIFS($A$5:$A$1504,$A984,$D$5:$D$1504,"تسليم",$E$5:$E$1504,"&lt;"&amp;$E984)+1)</f>
        <v/>
      </c>
      <c r="H984" s="33" t="str">
        <f aca="false">IF($G984="","",_xlfn.MINIFS($E$5:$E$1504,$A$5:$A$1504,$A984,$D$5:$D$1504,"&lt;&gt;تسليم",$E$5:$E$1504,"&gt;="&amp;$E984))</f>
        <v/>
      </c>
      <c r="I984" s="33" t="str">
        <f aca="false">IF($G984="","",_xlfn.MINIFS($E$5:$E$1504,$A$5:$A$1504,$A984,$D$5:$D$1504,"تسليم",$E$5:$E$1504,"&gt;"&amp;$E984))</f>
        <v/>
      </c>
      <c r="J984" s="33" t="str">
        <f aca="false">IF($G984="","",IF(H984&gt;0,IF(I984&gt;0,MIN(H984,I984),H984),IF(I984&gt;0,I984,تاريخ_الاحتساب)))</f>
        <v/>
      </c>
      <c r="K984" s="34" t="str">
        <f aca="false">IF($G984="","",IF(AND(H984=0,I984=0),"جارية","مغلقة"))</f>
        <v/>
      </c>
      <c r="L984" s="26" t="str">
        <f aca="false">IF($G984="","",MAX(0,NETWORKDAYS.INTL($E984,J984,رمز_العطلة,أيام_الأجازات)-1))</f>
        <v/>
      </c>
      <c r="M984" s="26" t="str">
        <f aca="false">IF($G984="","",MAX(0,L984-مهلة_المراجعة))</f>
        <v/>
      </c>
      <c r="N984" s="30" t="str">
        <f aca="false">IF($A984="",IF(OR($D984&lt;&gt;"",$E984&lt;&gt;""),"رقم المخرج ناقص",""),IF(ISNA(MATCH($A984,قائمة_المخرجات,0)),"رقم مخرج غير موجود",IF($D984="","نوع الحركة ناقص",IF(NOT(ISNUMBER($E984)),"التاريخ ناقص",IF($E984&gt;تاريخ_الاحتساب,"تاريخ بعد تاريخ الاحتساب",IF(AND($D984&lt;&gt;"تسليم",COUNTIFS($A$5:$A$1504,$A984,$D$5:$D$1504,"تسليم",$E$5:$E$1504,"&lt;="&amp;$E984)=0),"لا يوجد تسليم قبل الحركة دي",""))))))</f>
        <v/>
      </c>
    </row>
    <row r="985" customFormat="false" ht="15" hidden="false" customHeight="false" outlineLevel="0" collapsed="false">
      <c r="A985" s="20"/>
      <c r="B985" s="35" t="str">
        <f aca="false">IF($A985="","",IFERROR(INDEX(مخرج_البند,MATCH($A985,قائمة_المخرجات,0)),""))</f>
        <v/>
      </c>
      <c r="C985" s="30" t="str">
        <f aca="false">IF($A985="","",IFERROR(INDEX(مخرج_الوصف,MATCH($A985,قائمة_المخرجات,0)),""))</f>
        <v/>
      </c>
      <c r="D985" s="20"/>
      <c r="E985" s="31"/>
      <c r="F985" s="22"/>
      <c r="G985" s="36" t="str">
        <f aca="false">IF(OR($A985="",$D985&lt;&gt;"تسليم",NOT(ISNUMBER($E985))),"",COUNTIFS($A$5:$A$1504,$A985,$D$5:$D$1504,"تسليم",$E$5:$E$1504,"&lt;"&amp;$E985)+1)</f>
        <v/>
      </c>
      <c r="H985" s="33" t="str">
        <f aca="false">IF($G985="","",_xlfn.MINIFS($E$5:$E$1504,$A$5:$A$1504,$A985,$D$5:$D$1504,"&lt;&gt;تسليم",$E$5:$E$1504,"&gt;="&amp;$E985))</f>
        <v/>
      </c>
      <c r="I985" s="33" t="str">
        <f aca="false">IF($G985="","",_xlfn.MINIFS($E$5:$E$1504,$A$5:$A$1504,$A985,$D$5:$D$1504,"تسليم",$E$5:$E$1504,"&gt;"&amp;$E985))</f>
        <v/>
      </c>
      <c r="J985" s="33" t="str">
        <f aca="false">IF($G985="","",IF(H985&gt;0,IF(I985&gt;0,MIN(H985,I985),H985),IF(I985&gt;0,I985,تاريخ_الاحتساب)))</f>
        <v/>
      </c>
      <c r="K985" s="34" t="str">
        <f aca="false">IF($G985="","",IF(AND(H985=0,I985=0),"جارية","مغلقة"))</f>
        <v/>
      </c>
      <c r="L985" s="26" t="str">
        <f aca="false">IF($G985="","",MAX(0,NETWORKDAYS.INTL($E985,J985,رمز_العطلة,أيام_الأجازات)-1))</f>
        <v/>
      </c>
      <c r="M985" s="26" t="str">
        <f aca="false">IF($G985="","",MAX(0,L985-مهلة_المراجعة))</f>
        <v/>
      </c>
      <c r="N985" s="30" t="str">
        <f aca="false">IF($A985="",IF(OR($D985&lt;&gt;"",$E985&lt;&gt;""),"رقم المخرج ناقص",""),IF(ISNA(MATCH($A985,قائمة_المخرجات,0)),"رقم مخرج غير موجود",IF($D985="","نوع الحركة ناقص",IF(NOT(ISNUMBER($E985)),"التاريخ ناقص",IF($E985&gt;تاريخ_الاحتساب,"تاريخ بعد تاريخ الاحتساب",IF(AND($D985&lt;&gt;"تسليم",COUNTIFS($A$5:$A$1504,$A985,$D$5:$D$1504,"تسليم",$E$5:$E$1504,"&lt;="&amp;$E985)=0),"لا يوجد تسليم قبل الحركة دي",""))))))</f>
        <v/>
      </c>
    </row>
    <row r="986" customFormat="false" ht="15" hidden="false" customHeight="false" outlineLevel="0" collapsed="false">
      <c r="A986" s="20"/>
      <c r="B986" s="35" t="str">
        <f aca="false">IF($A986="","",IFERROR(INDEX(مخرج_البند,MATCH($A986,قائمة_المخرجات,0)),""))</f>
        <v/>
      </c>
      <c r="C986" s="30" t="str">
        <f aca="false">IF($A986="","",IFERROR(INDEX(مخرج_الوصف,MATCH($A986,قائمة_المخرجات,0)),""))</f>
        <v/>
      </c>
      <c r="D986" s="20"/>
      <c r="E986" s="31"/>
      <c r="F986" s="22"/>
      <c r="G986" s="36" t="str">
        <f aca="false">IF(OR($A986="",$D986&lt;&gt;"تسليم",NOT(ISNUMBER($E986))),"",COUNTIFS($A$5:$A$1504,$A986,$D$5:$D$1504,"تسليم",$E$5:$E$1504,"&lt;"&amp;$E986)+1)</f>
        <v/>
      </c>
      <c r="H986" s="33" t="str">
        <f aca="false">IF($G986="","",_xlfn.MINIFS($E$5:$E$1504,$A$5:$A$1504,$A986,$D$5:$D$1504,"&lt;&gt;تسليم",$E$5:$E$1504,"&gt;="&amp;$E986))</f>
        <v/>
      </c>
      <c r="I986" s="33" t="str">
        <f aca="false">IF($G986="","",_xlfn.MINIFS($E$5:$E$1504,$A$5:$A$1504,$A986,$D$5:$D$1504,"تسليم",$E$5:$E$1504,"&gt;"&amp;$E986))</f>
        <v/>
      </c>
      <c r="J986" s="33" t="str">
        <f aca="false">IF($G986="","",IF(H986&gt;0,IF(I986&gt;0,MIN(H986,I986),H986),IF(I986&gt;0,I986,تاريخ_الاحتساب)))</f>
        <v/>
      </c>
      <c r="K986" s="34" t="str">
        <f aca="false">IF($G986="","",IF(AND(H986=0,I986=0),"جارية","مغلقة"))</f>
        <v/>
      </c>
      <c r="L986" s="26" t="str">
        <f aca="false">IF($G986="","",MAX(0,NETWORKDAYS.INTL($E986,J986,رمز_العطلة,أيام_الأجازات)-1))</f>
        <v/>
      </c>
      <c r="M986" s="26" t="str">
        <f aca="false">IF($G986="","",MAX(0,L986-مهلة_المراجعة))</f>
        <v/>
      </c>
      <c r="N986" s="30" t="str">
        <f aca="false">IF($A986="",IF(OR($D986&lt;&gt;"",$E986&lt;&gt;""),"رقم المخرج ناقص",""),IF(ISNA(MATCH($A986,قائمة_المخرجات,0)),"رقم مخرج غير موجود",IF($D986="","نوع الحركة ناقص",IF(NOT(ISNUMBER($E986)),"التاريخ ناقص",IF($E986&gt;تاريخ_الاحتساب,"تاريخ بعد تاريخ الاحتساب",IF(AND($D986&lt;&gt;"تسليم",COUNTIFS($A$5:$A$1504,$A986,$D$5:$D$1504,"تسليم",$E$5:$E$1504,"&lt;="&amp;$E986)=0),"لا يوجد تسليم قبل الحركة دي",""))))))</f>
        <v/>
      </c>
    </row>
    <row r="987" customFormat="false" ht="15" hidden="false" customHeight="false" outlineLevel="0" collapsed="false">
      <c r="A987" s="20"/>
      <c r="B987" s="35" t="str">
        <f aca="false">IF($A987="","",IFERROR(INDEX(مخرج_البند,MATCH($A987,قائمة_المخرجات,0)),""))</f>
        <v/>
      </c>
      <c r="C987" s="30" t="str">
        <f aca="false">IF($A987="","",IFERROR(INDEX(مخرج_الوصف,MATCH($A987,قائمة_المخرجات,0)),""))</f>
        <v/>
      </c>
      <c r="D987" s="20"/>
      <c r="E987" s="31"/>
      <c r="F987" s="22"/>
      <c r="G987" s="36" t="str">
        <f aca="false">IF(OR($A987="",$D987&lt;&gt;"تسليم",NOT(ISNUMBER($E987))),"",COUNTIFS($A$5:$A$1504,$A987,$D$5:$D$1504,"تسليم",$E$5:$E$1504,"&lt;"&amp;$E987)+1)</f>
        <v/>
      </c>
      <c r="H987" s="33" t="str">
        <f aca="false">IF($G987="","",_xlfn.MINIFS($E$5:$E$1504,$A$5:$A$1504,$A987,$D$5:$D$1504,"&lt;&gt;تسليم",$E$5:$E$1504,"&gt;="&amp;$E987))</f>
        <v/>
      </c>
      <c r="I987" s="33" t="str">
        <f aca="false">IF($G987="","",_xlfn.MINIFS($E$5:$E$1504,$A$5:$A$1504,$A987,$D$5:$D$1504,"تسليم",$E$5:$E$1504,"&gt;"&amp;$E987))</f>
        <v/>
      </c>
      <c r="J987" s="33" t="str">
        <f aca="false">IF($G987="","",IF(H987&gt;0,IF(I987&gt;0,MIN(H987,I987),H987),IF(I987&gt;0,I987,تاريخ_الاحتساب)))</f>
        <v/>
      </c>
      <c r="K987" s="34" t="str">
        <f aca="false">IF($G987="","",IF(AND(H987=0,I987=0),"جارية","مغلقة"))</f>
        <v/>
      </c>
      <c r="L987" s="26" t="str">
        <f aca="false">IF($G987="","",MAX(0,NETWORKDAYS.INTL($E987,J987,رمز_العطلة,أيام_الأجازات)-1))</f>
        <v/>
      </c>
      <c r="M987" s="26" t="str">
        <f aca="false">IF($G987="","",MAX(0,L987-مهلة_المراجعة))</f>
        <v/>
      </c>
      <c r="N987" s="30" t="str">
        <f aca="false">IF($A987="",IF(OR($D987&lt;&gt;"",$E987&lt;&gt;""),"رقم المخرج ناقص",""),IF(ISNA(MATCH($A987,قائمة_المخرجات,0)),"رقم مخرج غير موجود",IF($D987="","نوع الحركة ناقص",IF(NOT(ISNUMBER($E987)),"التاريخ ناقص",IF($E987&gt;تاريخ_الاحتساب,"تاريخ بعد تاريخ الاحتساب",IF(AND($D987&lt;&gt;"تسليم",COUNTIFS($A$5:$A$1504,$A987,$D$5:$D$1504,"تسليم",$E$5:$E$1504,"&lt;="&amp;$E987)=0),"لا يوجد تسليم قبل الحركة دي",""))))))</f>
        <v/>
      </c>
    </row>
    <row r="988" customFormat="false" ht="15" hidden="false" customHeight="false" outlineLevel="0" collapsed="false">
      <c r="A988" s="20"/>
      <c r="B988" s="35" t="str">
        <f aca="false">IF($A988="","",IFERROR(INDEX(مخرج_البند,MATCH($A988,قائمة_المخرجات,0)),""))</f>
        <v/>
      </c>
      <c r="C988" s="30" t="str">
        <f aca="false">IF($A988="","",IFERROR(INDEX(مخرج_الوصف,MATCH($A988,قائمة_المخرجات,0)),""))</f>
        <v/>
      </c>
      <c r="D988" s="20"/>
      <c r="E988" s="31"/>
      <c r="F988" s="22"/>
      <c r="G988" s="36" t="str">
        <f aca="false">IF(OR($A988="",$D988&lt;&gt;"تسليم",NOT(ISNUMBER($E988))),"",COUNTIFS($A$5:$A$1504,$A988,$D$5:$D$1504,"تسليم",$E$5:$E$1504,"&lt;"&amp;$E988)+1)</f>
        <v/>
      </c>
      <c r="H988" s="33" t="str">
        <f aca="false">IF($G988="","",_xlfn.MINIFS($E$5:$E$1504,$A$5:$A$1504,$A988,$D$5:$D$1504,"&lt;&gt;تسليم",$E$5:$E$1504,"&gt;="&amp;$E988))</f>
        <v/>
      </c>
      <c r="I988" s="33" t="str">
        <f aca="false">IF($G988="","",_xlfn.MINIFS($E$5:$E$1504,$A$5:$A$1504,$A988,$D$5:$D$1504,"تسليم",$E$5:$E$1504,"&gt;"&amp;$E988))</f>
        <v/>
      </c>
      <c r="J988" s="33" t="str">
        <f aca="false">IF($G988="","",IF(H988&gt;0,IF(I988&gt;0,MIN(H988,I988),H988),IF(I988&gt;0,I988,تاريخ_الاحتساب)))</f>
        <v/>
      </c>
      <c r="K988" s="34" t="str">
        <f aca="false">IF($G988="","",IF(AND(H988=0,I988=0),"جارية","مغلقة"))</f>
        <v/>
      </c>
      <c r="L988" s="26" t="str">
        <f aca="false">IF($G988="","",MAX(0,NETWORKDAYS.INTL($E988,J988,رمز_العطلة,أيام_الأجازات)-1))</f>
        <v/>
      </c>
      <c r="M988" s="26" t="str">
        <f aca="false">IF($G988="","",MAX(0,L988-مهلة_المراجعة))</f>
        <v/>
      </c>
      <c r="N988" s="30" t="str">
        <f aca="false">IF($A988="",IF(OR($D988&lt;&gt;"",$E988&lt;&gt;""),"رقم المخرج ناقص",""),IF(ISNA(MATCH($A988,قائمة_المخرجات,0)),"رقم مخرج غير موجود",IF($D988="","نوع الحركة ناقص",IF(NOT(ISNUMBER($E988)),"التاريخ ناقص",IF($E988&gt;تاريخ_الاحتساب,"تاريخ بعد تاريخ الاحتساب",IF(AND($D988&lt;&gt;"تسليم",COUNTIFS($A$5:$A$1504,$A988,$D$5:$D$1504,"تسليم",$E$5:$E$1504,"&lt;="&amp;$E988)=0),"لا يوجد تسليم قبل الحركة دي",""))))))</f>
        <v/>
      </c>
    </row>
    <row r="989" customFormat="false" ht="15" hidden="false" customHeight="false" outlineLevel="0" collapsed="false">
      <c r="A989" s="20"/>
      <c r="B989" s="35" t="str">
        <f aca="false">IF($A989="","",IFERROR(INDEX(مخرج_البند,MATCH($A989,قائمة_المخرجات,0)),""))</f>
        <v/>
      </c>
      <c r="C989" s="30" t="str">
        <f aca="false">IF($A989="","",IFERROR(INDEX(مخرج_الوصف,MATCH($A989,قائمة_المخرجات,0)),""))</f>
        <v/>
      </c>
      <c r="D989" s="20"/>
      <c r="E989" s="31"/>
      <c r="F989" s="22"/>
      <c r="G989" s="36" t="str">
        <f aca="false">IF(OR($A989="",$D989&lt;&gt;"تسليم",NOT(ISNUMBER($E989))),"",COUNTIFS($A$5:$A$1504,$A989,$D$5:$D$1504,"تسليم",$E$5:$E$1504,"&lt;"&amp;$E989)+1)</f>
        <v/>
      </c>
      <c r="H989" s="33" t="str">
        <f aca="false">IF($G989="","",_xlfn.MINIFS($E$5:$E$1504,$A$5:$A$1504,$A989,$D$5:$D$1504,"&lt;&gt;تسليم",$E$5:$E$1504,"&gt;="&amp;$E989))</f>
        <v/>
      </c>
      <c r="I989" s="33" t="str">
        <f aca="false">IF($G989="","",_xlfn.MINIFS($E$5:$E$1504,$A$5:$A$1504,$A989,$D$5:$D$1504,"تسليم",$E$5:$E$1504,"&gt;"&amp;$E989))</f>
        <v/>
      </c>
      <c r="J989" s="33" t="str">
        <f aca="false">IF($G989="","",IF(H989&gt;0,IF(I989&gt;0,MIN(H989,I989),H989),IF(I989&gt;0,I989,تاريخ_الاحتساب)))</f>
        <v/>
      </c>
      <c r="K989" s="34" t="str">
        <f aca="false">IF($G989="","",IF(AND(H989=0,I989=0),"جارية","مغلقة"))</f>
        <v/>
      </c>
      <c r="L989" s="26" t="str">
        <f aca="false">IF($G989="","",MAX(0,NETWORKDAYS.INTL($E989,J989,رمز_العطلة,أيام_الأجازات)-1))</f>
        <v/>
      </c>
      <c r="M989" s="26" t="str">
        <f aca="false">IF($G989="","",MAX(0,L989-مهلة_المراجعة))</f>
        <v/>
      </c>
      <c r="N989" s="30" t="str">
        <f aca="false">IF($A989="",IF(OR($D989&lt;&gt;"",$E989&lt;&gt;""),"رقم المخرج ناقص",""),IF(ISNA(MATCH($A989,قائمة_المخرجات,0)),"رقم مخرج غير موجود",IF($D989="","نوع الحركة ناقص",IF(NOT(ISNUMBER($E989)),"التاريخ ناقص",IF($E989&gt;تاريخ_الاحتساب,"تاريخ بعد تاريخ الاحتساب",IF(AND($D989&lt;&gt;"تسليم",COUNTIFS($A$5:$A$1504,$A989,$D$5:$D$1504,"تسليم",$E$5:$E$1504,"&lt;="&amp;$E989)=0),"لا يوجد تسليم قبل الحركة دي",""))))))</f>
        <v/>
      </c>
    </row>
    <row r="990" customFormat="false" ht="15" hidden="false" customHeight="false" outlineLevel="0" collapsed="false">
      <c r="A990" s="20"/>
      <c r="B990" s="35" t="str">
        <f aca="false">IF($A990="","",IFERROR(INDEX(مخرج_البند,MATCH($A990,قائمة_المخرجات,0)),""))</f>
        <v/>
      </c>
      <c r="C990" s="30" t="str">
        <f aca="false">IF($A990="","",IFERROR(INDEX(مخرج_الوصف,MATCH($A990,قائمة_المخرجات,0)),""))</f>
        <v/>
      </c>
      <c r="D990" s="20"/>
      <c r="E990" s="31"/>
      <c r="F990" s="22"/>
      <c r="G990" s="36" t="str">
        <f aca="false">IF(OR($A990="",$D990&lt;&gt;"تسليم",NOT(ISNUMBER($E990))),"",COUNTIFS($A$5:$A$1504,$A990,$D$5:$D$1504,"تسليم",$E$5:$E$1504,"&lt;"&amp;$E990)+1)</f>
        <v/>
      </c>
      <c r="H990" s="33" t="str">
        <f aca="false">IF($G990="","",_xlfn.MINIFS($E$5:$E$1504,$A$5:$A$1504,$A990,$D$5:$D$1504,"&lt;&gt;تسليم",$E$5:$E$1504,"&gt;="&amp;$E990))</f>
        <v/>
      </c>
      <c r="I990" s="33" t="str">
        <f aca="false">IF($G990="","",_xlfn.MINIFS($E$5:$E$1504,$A$5:$A$1504,$A990,$D$5:$D$1504,"تسليم",$E$5:$E$1504,"&gt;"&amp;$E990))</f>
        <v/>
      </c>
      <c r="J990" s="33" t="str">
        <f aca="false">IF($G990="","",IF(H990&gt;0,IF(I990&gt;0,MIN(H990,I990),H990),IF(I990&gt;0,I990,تاريخ_الاحتساب)))</f>
        <v/>
      </c>
      <c r="K990" s="34" t="str">
        <f aca="false">IF($G990="","",IF(AND(H990=0,I990=0),"جارية","مغلقة"))</f>
        <v/>
      </c>
      <c r="L990" s="26" t="str">
        <f aca="false">IF($G990="","",MAX(0,NETWORKDAYS.INTL($E990,J990,رمز_العطلة,أيام_الأجازات)-1))</f>
        <v/>
      </c>
      <c r="M990" s="26" t="str">
        <f aca="false">IF($G990="","",MAX(0,L990-مهلة_المراجعة))</f>
        <v/>
      </c>
      <c r="N990" s="30" t="str">
        <f aca="false">IF($A990="",IF(OR($D990&lt;&gt;"",$E990&lt;&gt;""),"رقم المخرج ناقص",""),IF(ISNA(MATCH($A990,قائمة_المخرجات,0)),"رقم مخرج غير موجود",IF($D990="","نوع الحركة ناقص",IF(NOT(ISNUMBER($E990)),"التاريخ ناقص",IF($E990&gt;تاريخ_الاحتساب,"تاريخ بعد تاريخ الاحتساب",IF(AND($D990&lt;&gt;"تسليم",COUNTIFS($A$5:$A$1504,$A990,$D$5:$D$1504,"تسليم",$E$5:$E$1504,"&lt;="&amp;$E990)=0),"لا يوجد تسليم قبل الحركة دي",""))))))</f>
        <v/>
      </c>
    </row>
    <row r="991" customFormat="false" ht="15" hidden="false" customHeight="false" outlineLevel="0" collapsed="false">
      <c r="A991" s="20"/>
      <c r="B991" s="35" t="str">
        <f aca="false">IF($A991="","",IFERROR(INDEX(مخرج_البند,MATCH($A991,قائمة_المخرجات,0)),""))</f>
        <v/>
      </c>
      <c r="C991" s="30" t="str">
        <f aca="false">IF($A991="","",IFERROR(INDEX(مخرج_الوصف,MATCH($A991,قائمة_المخرجات,0)),""))</f>
        <v/>
      </c>
      <c r="D991" s="20"/>
      <c r="E991" s="31"/>
      <c r="F991" s="22"/>
      <c r="G991" s="36" t="str">
        <f aca="false">IF(OR($A991="",$D991&lt;&gt;"تسليم",NOT(ISNUMBER($E991))),"",COUNTIFS($A$5:$A$1504,$A991,$D$5:$D$1504,"تسليم",$E$5:$E$1504,"&lt;"&amp;$E991)+1)</f>
        <v/>
      </c>
      <c r="H991" s="33" t="str">
        <f aca="false">IF($G991="","",_xlfn.MINIFS($E$5:$E$1504,$A$5:$A$1504,$A991,$D$5:$D$1504,"&lt;&gt;تسليم",$E$5:$E$1504,"&gt;="&amp;$E991))</f>
        <v/>
      </c>
      <c r="I991" s="33" t="str">
        <f aca="false">IF($G991="","",_xlfn.MINIFS($E$5:$E$1504,$A$5:$A$1504,$A991,$D$5:$D$1504,"تسليم",$E$5:$E$1504,"&gt;"&amp;$E991))</f>
        <v/>
      </c>
      <c r="J991" s="33" t="str">
        <f aca="false">IF($G991="","",IF(H991&gt;0,IF(I991&gt;0,MIN(H991,I991),H991),IF(I991&gt;0,I991,تاريخ_الاحتساب)))</f>
        <v/>
      </c>
      <c r="K991" s="34" t="str">
        <f aca="false">IF($G991="","",IF(AND(H991=0,I991=0),"جارية","مغلقة"))</f>
        <v/>
      </c>
      <c r="L991" s="26" t="str">
        <f aca="false">IF($G991="","",MAX(0,NETWORKDAYS.INTL($E991,J991,رمز_العطلة,أيام_الأجازات)-1))</f>
        <v/>
      </c>
      <c r="M991" s="26" t="str">
        <f aca="false">IF($G991="","",MAX(0,L991-مهلة_المراجعة))</f>
        <v/>
      </c>
      <c r="N991" s="30" t="str">
        <f aca="false">IF($A991="",IF(OR($D991&lt;&gt;"",$E991&lt;&gt;""),"رقم المخرج ناقص",""),IF(ISNA(MATCH($A991,قائمة_المخرجات,0)),"رقم مخرج غير موجود",IF($D991="","نوع الحركة ناقص",IF(NOT(ISNUMBER($E991)),"التاريخ ناقص",IF($E991&gt;تاريخ_الاحتساب,"تاريخ بعد تاريخ الاحتساب",IF(AND($D991&lt;&gt;"تسليم",COUNTIFS($A$5:$A$1504,$A991,$D$5:$D$1504,"تسليم",$E$5:$E$1504,"&lt;="&amp;$E991)=0),"لا يوجد تسليم قبل الحركة دي",""))))))</f>
        <v/>
      </c>
    </row>
    <row r="992" customFormat="false" ht="15" hidden="false" customHeight="false" outlineLevel="0" collapsed="false">
      <c r="A992" s="20"/>
      <c r="B992" s="35" t="str">
        <f aca="false">IF($A992="","",IFERROR(INDEX(مخرج_البند,MATCH($A992,قائمة_المخرجات,0)),""))</f>
        <v/>
      </c>
      <c r="C992" s="30" t="str">
        <f aca="false">IF($A992="","",IFERROR(INDEX(مخرج_الوصف,MATCH($A992,قائمة_المخرجات,0)),""))</f>
        <v/>
      </c>
      <c r="D992" s="20"/>
      <c r="E992" s="31"/>
      <c r="F992" s="22"/>
      <c r="G992" s="36" t="str">
        <f aca="false">IF(OR($A992="",$D992&lt;&gt;"تسليم",NOT(ISNUMBER($E992))),"",COUNTIFS($A$5:$A$1504,$A992,$D$5:$D$1504,"تسليم",$E$5:$E$1504,"&lt;"&amp;$E992)+1)</f>
        <v/>
      </c>
      <c r="H992" s="33" t="str">
        <f aca="false">IF($G992="","",_xlfn.MINIFS($E$5:$E$1504,$A$5:$A$1504,$A992,$D$5:$D$1504,"&lt;&gt;تسليم",$E$5:$E$1504,"&gt;="&amp;$E992))</f>
        <v/>
      </c>
      <c r="I992" s="33" t="str">
        <f aca="false">IF($G992="","",_xlfn.MINIFS($E$5:$E$1504,$A$5:$A$1504,$A992,$D$5:$D$1504,"تسليم",$E$5:$E$1504,"&gt;"&amp;$E992))</f>
        <v/>
      </c>
      <c r="J992" s="33" t="str">
        <f aca="false">IF($G992="","",IF(H992&gt;0,IF(I992&gt;0,MIN(H992,I992),H992),IF(I992&gt;0,I992,تاريخ_الاحتساب)))</f>
        <v/>
      </c>
      <c r="K992" s="34" t="str">
        <f aca="false">IF($G992="","",IF(AND(H992=0,I992=0),"جارية","مغلقة"))</f>
        <v/>
      </c>
      <c r="L992" s="26" t="str">
        <f aca="false">IF($G992="","",MAX(0,NETWORKDAYS.INTL($E992,J992,رمز_العطلة,أيام_الأجازات)-1))</f>
        <v/>
      </c>
      <c r="M992" s="26" t="str">
        <f aca="false">IF($G992="","",MAX(0,L992-مهلة_المراجعة))</f>
        <v/>
      </c>
      <c r="N992" s="30" t="str">
        <f aca="false">IF($A992="",IF(OR($D992&lt;&gt;"",$E992&lt;&gt;""),"رقم المخرج ناقص",""),IF(ISNA(MATCH($A992,قائمة_المخرجات,0)),"رقم مخرج غير موجود",IF($D992="","نوع الحركة ناقص",IF(NOT(ISNUMBER($E992)),"التاريخ ناقص",IF($E992&gt;تاريخ_الاحتساب,"تاريخ بعد تاريخ الاحتساب",IF(AND($D992&lt;&gt;"تسليم",COUNTIFS($A$5:$A$1504,$A992,$D$5:$D$1504,"تسليم",$E$5:$E$1504,"&lt;="&amp;$E992)=0),"لا يوجد تسليم قبل الحركة دي",""))))))</f>
        <v/>
      </c>
    </row>
    <row r="993" customFormat="false" ht="15" hidden="false" customHeight="false" outlineLevel="0" collapsed="false">
      <c r="A993" s="20"/>
      <c r="B993" s="35" t="str">
        <f aca="false">IF($A993="","",IFERROR(INDEX(مخرج_البند,MATCH($A993,قائمة_المخرجات,0)),""))</f>
        <v/>
      </c>
      <c r="C993" s="30" t="str">
        <f aca="false">IF($A993="","",IFERROR(INDEX(مخرج_الوصف,MATCH($A993,قائمة_المخرجات,0)),""))</f>
        <v/>
      </c>
      <c r="D993" s="20"/>
      <c r="E993" s="31"/>
      <c r="F993" s="22"/>
      <c r="G993" s="36" t="str">
        <f aca="false">IF(OR($A993="",$D993&lt;&gt;"تسليم",NOT(ISNUMBER($E993))),"",COUNTIFS($A$5:$A$1504,$A993,$D$5:$D$1504,"تسليم",$E$5:$E$1504,"&lt;"&amp;$E993)+1)</f>
        <v/>
      </c>
      <c r="H993" s="33" t="str">
        <f aca="false">IF($G993="","",_xlfn.MINIFS($E$5:$E$1504,$A$5:$A$1504,$A993,$D$5:$D$1504,"&lt;&gt;تسليم",$E$5:$E$1504,"&gt;="&amp;$E993))</f>
        <v/>
      </c>
      <c r="I993" s="33" t="str">
        <f aca="false">IF($G993="","",_xlfn.MINIFS($E$5:$E$1504,$A$5:$A$1504,$A993,$D$5:$D$1504,"تسليم",$E$5:$E$1504,"&gt;"&amp;$E993))</f>
        <v/>
      </c>
      <c r="J993" s="33" t="str">
        <f aca="false">IF($G993="","",IF(H993&gt;0,IF(I993&gt;0,MIN(H993,I993),H993),IF(I993&gt;0,I993,تاريخ_الاحتساب)))</f>
        <v/>
      </c>
      <c r="K993" s="34" t="str">
        <f aca="false">IF($G993="","",IF(AND(H993=0,I993=0),"جارية","مغلقة"))</f>
        <v/>
      </c>
      <c r="L993" s="26" t="str">
        <f aca="false">IF($G993="","",MAX(0,NETWORKDAYS.INTL($E993,J993,رمز_العطلة,أيام_الأجازات)-1))</f>
        <v/>
      </c>
      <c r="M993" s="26" t="str">
        <f aca="false">IF($G993="","",MAX(0,L993-مهلة_المراجعة))</f>
        <v/>
      </c>
      <c r="N993" s="30" t="str">
        <f aca="false">IF($A993="",IF(OR($D993&lt;&gt;"",$E993&lt;&gt;""),"رقم المخرج ناقص",""),IF(ISNA(MATCH($A993,قائمة_المخرجات,0)),"رقم مخرج غير موجود",IF($D993="","نوع الحركة ناقص",IF(NOT(ISNUMBER($E993)),"التاريخ ناقص",IF($E993&gt;تاريخ_الاحتساب,"تاريخ بعد تاريخ الاحتساب",IF(AND($D993&lt;&gt;"تسليم",COUNTIFS($A$5:$A$1504,$A993,$D$5:$D$1504,"تسليم",$E$5:$E$1504,"&lt;="&amp;$E993)=0),"لا يوجد تسليم قبل الحركة دي",""))))))</f>
        <v/>
      </c>
    </row>
    <row r="994" customFormat="false" ht="15" hidden="false" customHeight="false" outlineLevel="0" collapsed="false">
      <c r="A994" s="20"/>
      <c r="B994" s="35" t="str">
        <f aca="false">IF($A994="","",IFERROR(INDEX(مخرج_البند,MATCH($A994,قائمة_المخرجات,0)),""))</f>
        <v/>
      </c>
      <c r="C994" s="30" t="str">
        <f aca="false">IF($A994="","",IFERROR(INDEX(مخرج_الوصف,MATCH($A994,قائمة_المخرجات,0)),""))</f>
        <v/>
      </c>
      <c r="D994" s="20"/>
      <c r="E994" s="31"/>
      <c r="F994" s="22"/>
      <c r="G994" s="36" t="str">
        <f aca="false">IF(OR($A994="",$D994&lt;&gt;"تسليم",NOT(ISNUMBER($E994))),"",COUNTIFS($A$5:$A$1504,$A994,$D$5:$D$1504,"تسليم",$E$5:$E$1504,"&lt;"&amp;$E994)+1)</f>
        <v/>
      </c>
      <c r="H994" s="33" t="str">
        <f aca="false">IF($G994="","",_xlfn.MINIFS($E$5:$E$1504,$A$5:$A$1504,$A994,$D$5:$D$1504,"&lt;&gt;تسليم",$E$5:$E$1504,"&gt;="&amp;$E994))</f>
        <v/>
      </c>
      <c r="I994" s="33" t="str">
        <f aca="false">IF($G994="","",_xlfn.MINIFS($E$5:$E$1504,$A$5:$A$1504,$A994,$D$5:$D$1504,"تسليم",$E$5:$E$1504,"&gt;"&amp;$E994))</f>
        <v/>
      </c>
      <c r="J994" s="33" t="str">
        <f aca="false">IF($G994="","",IF(H994&gt;0,IF(I994&gt;0,MIN(H994,I994),H994),IF(I994&gt;0,I994,تاريخ_الاحتساب)))</f>
        <v/>
      </c>
      <c r="K994" s="34" t="str">
        <f aca="false">IF($G994="","",IF(AND(H994=0,I994=0),"جارية","مغلقة"))</f>
        <v/>
      </c>
      <c r="L994" s="26" t="str">
        <f aca="false">IF($G994="","",MAX(0,NETWORKDAYS.INTL($E994,J994,رمز_العطلة,أيام_الأجازات)-1))</f>
        <v/>
      </c>
      <c r="M994" s="26" t="str">
        <f aca="false">IF($G994="","",MAX(0,L994-مهلة_المراجعة))</f>
        <v/>
      </c>
      <c r="N994" s="30" t="str">
        <f aca="false">IF($A994="",IF(OR($D994&lt;&gt;"",$E994&lt;&gt;""),"رقم المخرج ناقص",""),IF(ISNA(MATCH($A994,قائمة_المخرجات,0)),"رقم مخرج غير موجود",IF($D994="","نوع الحركة ناقص",IF(NOT(ISNUMBER($E994)),"التاريخ ناقص",IF($E994&gt;تاريخ_الاحتساب,"تاريخ بعد تاريخ الاحتساب",IF(AND($D994&lt;&gt;"تسليم",COUNTIFS($A$5:$A$1504,$A994,$D$5:$D$1504,"تسليم",$E$5:$E$1504,"&lt;="&amp;$E994)=0),"لا يوجد تسليم قبل الحركة دي",""))))))</f>
        <v/>
      </c>
    </row>
    <row r="995" customFormat="false" ht="15" hidden="false" customHeight="false" outlineLevel="0" collapsed="false">
      <c r="A995" s="20"/>
      <c r="B995" s="35" t="str">
        <f aca="false">IF($A995="","",IFERROR(INDEX(مخرج_البند,MATCH($A995,قائمة_المخرجات,0)),""))</f>
        <v/>
      </c>
      <c r="C995" s="30" t="str">
        <f aca="false">IF($A995="","",IFERROR(INDEX(مخرج_الوصف,MATCH($A995,قائمة_المخرجات,0)),""))</f>
        <v/>
      </c>
      <c r="D995" s="20"/>
      <c r="E995" s="31"/>
      <c r="F995" s="22"/>
      <c r="G995" s="36" t="str">
        <f aca="false">IF(OR($A995="",$D995&lt;&gt;"تسليم",NOT(ISNUMBER($E995))),"",COUNTIFS($A$5:$A$1504,$A995,$D$5:$D$1504,"تسليم",$E$5:$E$1504,"&lt;"&amp;$E995)+1)</f>
        <v/>
      </c>
      <c r="H995" s="33" t="str">
        <f aca="false">IF($G995="","",_xlfn.MINIFS($E$5:$E$1504,$A$5:$A$1504,$A995,$D$5:$D$1504,"&lt;&gt;تسليم",$E$5:$E$1504,"&gt;="&amp;$E995))</f>
        <v/>
      </c>
      <c r="I995" s="33" t="str">
        <f aca="false">IF($G995="","",_xlfn.MINIFS($E$5:$E$1504,$A$5:$A$1504,$A995,$D$5:$D$1504,"تسليم",$E$5:$E$1504,"&gt;"&amp;$E995))</f>
        <v/>
      </c>
      <c r="J995" s="33" t="str">
        <f aca="false">IF($G995="","",IF(H995&gt;0,IF(I995&gt;0,MIN(H995,I995),H995),IF(I995&gt;0,I995,تاريخ_الاحتساب)))</f>
        <v/>
      </c>
      <c r="K995" s="34" t="str">
        <f aca="false">IF($G995="","",IF(AND(H995=0,I995=0),"جارية","مغلقة"))</f>
        <v/>
      </c>
      <c r="L995" s="26" t="str">
        <f aca="false">IF($G995="","",MAX(0,NETWORKDAYS.INTL($E995,J995,رمز_العطلة,أيام_الأجازات)-1))</f>
        <v/>
      </c>
      <c r="M995" s="26" t="str">
        <f aca="false">IF($G995="","",MAX(0,L995-مهلة_المراجعة))</f>
        <v/>
      </c>
      <c r="N995" s="30" t="str">
        <f aca="false">IF($A995="",IF(OR($D995&lt;&gt;"",$E995&lt;&gt;""),"رقم المخرج ناقص",""),IF(ISNA(MATCH($A995,قائمة_المخرجات,0)),"رقم مخرج غير موجود",IF($D995="","نوع الحركة ناقص",IF(NOT(ISNUMBER($E995)),"التاريخ ناقص",IF($E995&gt;تاريخ_الاحتساب,"تاريخ بعد تاريخ الاحتساب",IF(AND($D995&lt;&gt;"تسليم",COUNTIFS($A$5:$A$1504,$A995,$D$5:$D$1504,"تسليم",$E$5:$E$1504,"&lt;="&amp;$E995)=0),"لا يوجد تسليم قبل الحركة دي",""))))))</f>
        <v/>
      </c>
    </row>
    <row r="996" customFormat="false" ht="15" hidden="false" customHeight="false" outlineLevel="0" collapsed="false">
      <c r="A996" s="20"/>
      <c r="B996" s="35" t="str">
        <f aca="false">IF($A996="","",IFERROR(INDEX(مخرج_البند,MATCH($A996,قائمة_المخرجات,0)),""))</f>
        <v/>
      </c>
      <c r="C996" s="30" t="str">
        <f aca="false">IF($A996="","",IFERROR(INDEX(مخرج_الوصف,MATCH($A996,قائمة_المخرجات,0)),""))</f>
        <v/>
      </c>
      <c r="D996" s="20"/>
      <c r="E996" s="31"/>
      <c r="F996" s="22"/>
      <c r="G996" s="36" t="str">
        <f aca="false">IF(OR($A996="",$D996&lt;&gt;"تسليم",NOT(ISNUMBER($E996))),"",COUNTIFS($A$5:$A$1504,$A996,$D$5:$D$1504,"تسليم",$E$5:$E$1504,"&lt;"&amp;$E996)+1)</f>
        <v/>
      </c>
      <c r="H996" s="33" t="str">
        <f aca="false">IF($G996="","",_xlfn.MINIFS($E$5:$E$1504,$A$5:$A$1504,$A996,$D$5:$D$1504,"&lt;&gt;تسليم",$E$5:$E$1504,"&gt;="&amp;$E996))</f>
        <v/>
      </c>
      <c r="I996" s="33" t="str">
        <f aca="false">IF($G996="","",_xlfn.MINIFS($E$5:$E$1504,$A$5:$A$1504,$A996,$D$5:$D$1504,"تسليم",$E$5:$E$1504,"&gt;"&amp;$E996))</f>
        <v/>
      </c>
      <c r="J996" s="33" t="str">
        <f aca="false">IF($G996="","",IF(H996&gt;0,IF(I996&gt;0,MIN(H996,I996),H996),IF(I996&gt;0,I996,تاريخ_الاحتساب)))</f>
        <v/>
      </c>
      <c r="K996" s="34" t="str">
        <f aca="false">IF($G996="","",IF(AND(H996=0,I996=0),"جارية","مغلقة"))</f>
        <v/>
      </c>
      <c r="L996" s="26" t="str">
        <f aca="false">IF($G996="","",MAX(0,NETWORKDAYS.INTL($E996,J996,رمز_العطلة,أيام_الأجازات)-1))</f>
        <v/>
      </c>
      <c r="M996" s="26" t="str">
        <f aca="false">IF($G996="","",MAX(0,L996-مهلة_المراجعة))</f>
        <v/>
      </c>
      <c r="N996" s="30" t="str">
        <f aca="false">IF($A996="",IF(OR($D996&lt;&gt;"",$E996&lt;&gt;""),"رقم المخرج ناقص",""),IF(ISNA(MATCH($A996,قائمة_المخرجات,0)),"رقم مخرج غير موجود",IF($D996="","نوع الحركة ناقص",IF(NOT(ISNUMBER($E996)),"التاريخ ناقص",IF($E996&gt;تاريخ_الاحتساب,"تاريخ بعد تاريخ الاحتساب",IF(AND($D996&lt;&gt;"تسليم",COUNTIFS($A$5:$A$1504,$A996,$D$5:$D$1504,"تسليم",$E$5:$E$1504,"&lt;="&amp;$E996)=0),"لا يوجد تسليم قبل الحركة دي",""))))))</f>
        <v/>
      </c>
    </row>
    <row r="997" customFormat="false" ht="15" hidden="false" customHeight="false" outlineLevel="0" collapsed="false">
      <c r="A997" s="20"/>
      <c r="B997" s="35" t="str">
        <f aca="false">IF($A997="","",IFERROR(INDEX(مخرج_البند,MATCH($A997,قائمة_المخرجات,0)),""))</f>
        <v/>
      </c>
      <c r="C997" s="30" t="str">
        <f aca="false">IF($A997="","",IFERROR(INDEX(مخرج_الوصف,MATCH($A997,قائمة_المخرجات,0)),""))</f>
        <v/>
      </c>
      <c r="D997" s="20"/>
      <c r="E997" s="31"/>
      <c r="F997" s="22"/>
      <c r="G997" s="36" t="str">
        <f aca="false">IF(OR($A997="",$D997&lt;&gt;"تسليم",NOT(ISNUMBER($E997))),"",COUNTIFS($A$5:$A$1504,$A997,$D$5:$D$1504,"تسليم",$E$5:$E$1504,"&lt;"&amp;$E997)+1)</f>
        <v/>
      </c>
      <c r="H997" s="33" t="str">
        <f aca="false">IF($G997="","",_xlfn.MINIFS($E$5:$E$1504,$A$5:$A$1504,$A997,$D$5:$D$1504,"&lt;&gt;تسليم",$E$5:$E$1504,"&gt;="&amp;$E997))</f>
        <v/>
      </c>
      <c r="I997" s="33" t="str">
        <f aca="false">IF($G997="","",_xlfn.MINIFS($E$5:$E$1504,$A$5:$A$1504,$A997,$D$5:$D$1504,"تسليم",$E$5:$E$1504,"&gt;"&amp;$E997))</f>
        <v/>
      </c>
      <c r="J997" s="33" t="str">
        <f aca="false">IF($G997="","",IF(H997&gt;0,IF(I997&gt;0,MIN(H997,I997),H997),IF(I997&gt;0,I997,تاريخ_الاحتساب)))</f>
        <v/>
      </c>
      <c r="K997" s="34" t="str">
        <f aca="false">IF($G997="","",IF(AND(H997=0,I997=0),"جارية","مغلقة"))</f>
        <v/>
      </c>
      <c r="L997" s="26" t="str">
        <f aca="false">IF($G997="","",MAX(0,NETWORKDAYS.INTL($E997,J997,رمز_العطلة,أيام_الأجازات)-1))</f>
        <v/>
      </c>
      <c r="M997" s="26" t="str">
        <f aca="false">IF($G997="","",MAX(0,L997-مهلة_المراجعة))</f>
        <v/>
      </c>
      <c r="N997" s="30" t="str">
        <f aca="false">IF($A997="",IF(OR($D997&lt;&gt;"",$E997&lt;&gt;""),"رقم المخرج ناقص",""),IF(ISNA(MATCH($A997,قائمة_المخرجات,0)),"رقم مخرج غير موجود",IF($D997="","نوع الحركة ناقص",IF(NOT(ISNUMBER($E997)),"التاريخ ناقص",IF($E997&gt;تاريخ_الاحتساب,"تاريخ بعد تاريخ الاحتساب",IF(AND($D997&lt;&gt;"تسليم",COUNTIFS($A$5:$A$1504,$A997,$D$5:$D$1504,"تسليم",$E$5:$E$1504,"&lt;="&amp;$E997)=0),"لا يوجد تسليم قبل الحركة دي",""))))))</f>
        <v/>
      </c>
    </row>
    <row r="998" customFormat="false" ht="15" hidden="false" customHeight="false" outlineLevel="0" collapsed="false">
      <c r="A998" s="20"/>
      <c r="B998" s="35" t="str">
        <f aca="false">IF($A998="","",IFERROR(INDEX(مخرج_البند,MATCH($A998,قائمة_المخرجات,0)),""))</f>
        <v/>
      </c>
      <c r="C998" s="30" t="str">
        <f aca="false">IF($A998="","",IFERROR(INDEX(مخرج_الوصف,MATCH($A998,قائمة_المخرجات,0)),""))</f>
        <v/>
      </c>
      <c r="D998" s="20"/>
      <c r="E998" s="31"/>
      <c r="F998" s="22"/>
      <c r="G998" s="36" t="str">
        <f aca="false">IF(OR($A998="",$D998&lt;&gt;"تسليم",NOT(ISNUMBER($E998))),"",COUNTIFS($A$5:$A$1504,$A998,$D$5:$D$1504,"تسليم",$E$5:$E$1504,"&lt;"&amp;$E998)+1)</f>
        <v/>
      </c>
      <c r="H998" s="33" t="str">
        <f aca="false">IF($G998="","",_xlfn.MINIFS($E$5:$E$1504,$A$5:$A$1504,$A998,$D$5:$D$1504,"&lt;&gt;تسليم",$E$5:$E$1504,"&gt;="&amp;$E998))</f>
        <v/>
      </c>
      <c r="I998" s="33" t="str">
        <f aca="false">IF($G998="","",_xlfn.MINIFS($E$5:$E$1504,$A$5:$A$1504,$A998,$D$5:$D$1504,"تسليم",$E$5:$E$1504,"&gt;"&amp;$E998))</f>
        <v/>
      </c>
      <c r="J998" s="33" t="str">
        <f aca="false">IF($G998="","",IF(H998&gt;0,IF(I998&gt;0,MIN(H998,I998),H998),IF(I998&gt;0,I998,تاريخ_الاحتساب)))</f>
        <v/>
      </c>
      <c r="K998" s="34" t="str">
        <f aca="false">IF($G998="","",IF(AND(H998=0,I998=0),"جارية","مغلقة"))</f>
        <v/>
      </c>
      <c r="L998" s="26" t="str">
        <f aca="false">IF($G998="","",MAX(0,NETWORKDAYS.INTL($E998,J998,رمز_العطلة,أيام_الأجازات)-1))</f>
        <v/>
      </c>
      <c r="M998" s="26" t="str">
        <f aca="false">IF($G998="","",MAX(0,L998-مهلة_المراجعة))</f>
        <v/>
      </c>
      <c r="N998" s="30" t="str">
        <f aca="false">IF($A998="",IF(OR($D998&lt;&gt;"",$E998&lt;&gt;""),"رقم المخرج ناقص",""),IF(ISNA(MATCH($A998,قائمة_المخرجات,0)),"رقم مخرج غير موجود",IF($D998="","نوع الحركة ناقص",IF(NOT(ISNUMBER($E998)),"التاريخ ناقص",IF($E998&gt;تاريخ_الاحتساب,"تاريخ بعد تاريخ الاحتساب",IF(AND($D998&lt;&gt;"تسليم",COUNTIFS($A$5:$A$1504,$A998,$D$5:$D$1504,"تسليم",$E$5:$E$1504,"&lt;="&amp;$E998)=0),"لا يوجد تسليم قبل الحركة دي",""))))))</f>
        <v/>
      </c>
    </row>
    <row r="999" customFormat="false" ht="15" hidden="false" customHeight="false" outlineLevel="0" collapsed="false">
      <c r="A999" s="20"/>
      <c r="B999" s="35" t="str">
        <f aca="false">IF($A999="","",IFERROR(INDEX(مخرج_البند,MATCH($A999,قائمة_المخرجات,0)),""))</f>
        <v/>
      </c>
      <c r="C999" s="30" t="str">
        <f aca="false">IF($A999="","",IFERROR(INDEX(مخرج_الوصف,MATCH($A999,قائمة_المخرجات,0)),""))</f>
        <v/>
      </c>
      <c r="D999" s="20"/>
      <c r="E999" s="31"/>
      <c r="F999" s="22"/>
      <c r="G999" s="36" t="str">
        <f aca="false">IF(OR($A999="",$D999&lt;&gt;"تسليم",NOT(ISNUMBER($E999))),"",COUNTIFS($A$5:$A$1504,$A999,$D$5:$D$1504,"تسليم",$E$5:$E$1504,"&lt;"&amp;$E999)+1)</f>
        <v/>
      </c>
      <c r="H999" s="33" t="str">
        <f aca="false">IF($G999="","",_xlfn.MINIFS($E$5:$E$1504,$A$5:$A$1504,$A999,$D$5:$D$1504,"&lt;&gt;تسليم",$E$5:$E$1504,"&gt;="&amp;$E999))</f>
        <v/>
      </c>
      <c r="I999" s="33" t="str">
        <f aca="false">IF($G999="","",_xlfn.MINIFS($E$5:$E$1504,$A$5:$A$1504,$A999,$D$5:$D$1504,"تسليم",$E$5:$E$1504,"&gt;"&amp;$E999))</f>
        <v/>
      </c>
      <c r="J999" s="33" t="str">
        <f aca="false">IF($G999="","",IF(H999&gt;0,IF(I999&gt;0,MIN(H999,I999),H999),IF(I999&gt;0,I999,تاريخ_الاحتساب)))</f>
        <v/>
      </c>
      <c r="K999" s="34" t="str">
        <f aca="false">IF($G999="","",IF(AND(H999=0,I999=0),"جارية","مغلقة"))</f>
        <v/>
      </c>
      <c r="L999" s="26" t="str">
        <f aca="false">IF($G999="","",MAX(0,NETWORKDAYS.INTL($E999,J999,رمز_العطلة,أيام_الأجازات)-1))</f>
        <v/>
      </c>
      <c r="M999" s="26" t="str">
        <f aca="false">IF($G999="","",MAX(0,L999-مهلة_المراجعة))</f>
        <v/>
      </c>
      <c r="N999" s="30" t="str">
        <f aca="false">IF($A999="",IF(OR($D999&lt;&gt;"",$E999&lt;&gt;""),"رقم المخرج ناقص",""),IF(ISNA(MATCH($A999,قائمة_المخرجات,0)),"رقم مخرج غير موجود",IF($D999="","نوع الحركة ناقص",IF(NOT(ISNUMBER($E999)),"التاريخ ناقص",IF($E999&gt;تاريخ_الاحتساب,"تاريخ بعد تاريخ الاحتساب",IF(AND($D999&lt;&gt;"تسليم",COUNTIFS($A$5:$A$1504,$A999,$D$5:$D$1504,"تسليم",$E$5:$E$1504,"&lt;="&amp;$E999)=0),"لا يوجد تسليم قبل الحركة دي",""))))))</f>
        <v/>
      </c>
    </row>
    <row r="1000" customFormat="false" ht="15" hidden="false" customHeight="false" outlineLevel="0" collapsed="false">
      <c r="A1000" s="20"/>
      <c r="B1000" s="35" t="str">
        <f aca="false">IF($A1000="","",IFERROR(INDEX(مخرج_البند,MATCH($A1000,قائمة_المخرجات,0)),""))</f>
        <v/>
      </c>
      <c r="C1000" s="30" t="str">
        <f aca="false">IF($A1000="","",IFERROR(INDEX(مخرج_الوصف,MATCH($A1000,قائمة_المخرجات,0)),""))</f>
        <v/>
      </c>
      <c r="D1000" s="20"/>
      <c r="E1000" s="31"/>
      <c r="F1000" s="22"/>
      <c r="G1000" s="36" t="str">
        <f aca="false">IF(OR($A1000="",$D1000&lt;&gt;"تسليم",NOT(ISNUMBER($E1000))),"",COUNTIFS($A$5:$A$1504,$A1000,$D$5:$D$1504,"تسليم",$E$5:$E$1504,"&lt;"&amp;$E1000)+1)</f>
        <v/>
      </c>
      <c r="H1000" s="33" t="str">
        <f aca="false">IF($G1000="","",_xlfn.MINIFS($E$5:$E$1504,$A$5:$A$1504,$A1000,$D$5:$D$1504,"&lt;&gt;تسليم",$E$5:$E$1504,"&gt;="&amp;$E1000))</f>
        <v/>
      </c>
      <c r="I1000" s="33" t="str">
        <f aca="false">IF($G1000="","",_xlfn.MINIFS($E$5:$E$1504,$A$5:$A$1504,$A1000,$D$5:$D$1504,"تسليم",$E$5:$E$1504,"&gt;"&amp;$E1000))</f>
        <v/>
      </c>
      <c r="J1000" s="33" t="str">
        <f aca="false">IF($G1000="","",IF(H1000&gt;0,IF(I1000&gt;0,MIN(H1000,I1000),H1000),IF(I1000&gt;0,I1000,تاريخ_الاحتساب)))</f>
        <v/>
      </c>
      <c r="K1000" s="34" t="str">
        <f aca="false">IF($G1000="","",IF(AND(H1000=0,I1000=0),"جارية","مغلقة"))</f>
        <v/>
      </c>
      <c r="L1000" s="26" t="str">
        <f aca="false">IF($G1000="","",MAX(0,NETWORKDAYS.INTL($E1000,J1000,رمز_العطلة,أيام_الأجازات)-1))</f>
        <v/>
      </c>
      <c r="M1000" s="26" t="str">
        <f aca="false">IF($G1000="","",MAX(0,L1000-مهلة_المراجعة))</f>
        <v/>
      </c>
      <c r="N1000" s="30" t="str">
        <f aca="false">IF($A1000="",IF(OR($D1000&lt;&gt;"",$E1000&lt;&gt;""),"رقم المخرج ناقص",""),IF(ISNA(MATCH($A1000,قائمة_المخرجات,0)),"رقم مخرج غير موجود",IF($D1000="","نوع الحركة ناقص",IF(NOT(ISNUMBER($E1000)),"التاريخ ناقص",IF($E1000&gt;تاريخ_الاحتساب,"تاريخ بعد تاريخ الاحتساب",IF(AND($D1000&lt;&gt;"تسليم",COUNTIFS($A$5:$A$1504,$A1000,$D$5:$D$1504,"تسليم",$E$5:$E$1504,"&lt;="&amp;$E1000)=0),"لا يوجد تسليم قبل الحركة دي",""))))))</f>
        <v/>
      </c>
    </row>
    <row r="1001" customFormat="false" ht="15" hidden="false" customHeight="false" outlineLevel="0" collapsed="false">
      <c r="A1001" s="20"/>
      <c r="B1001" s="35" t="str">
        <f aca="false">IF($A1001="","",IFERROR(INDEX(مخرج_البند,MATCH($A1001,قائمة_المخرجات,0)),""))</f>
        <v/>
      </c>
      <c r="C1001" s="30" t="str">
        <f aca="false">IF($A1001="","",IFERROR(INDEX(مخرج_الوصف,MATCH($A1001,قائمة_المخرجات,0)),""))</f>
        <v/>
      </c>
      <c r="D1001" s="20"/>
      <c r="E1001" s="31"/>
      <c r="F1001" s="22"/>
      <c r="G1001" s="36" t="str">
        <f aca="false">IF(OR($A1001="",$D1001&lt;&gt;"تسليم",NOT(ISNUMBER($E1001))),"",COUNTIFS($A$5:$A$1504,$A1001,$D$5:$D$1504,"تسليم",$E$5:$E$1504,"&lt;"&amp;$E1001)+1)</f>
        <v/>
      </c>
      <c r="H1001" s="33" t="str">
        <f aca="false">IF($G1001="","",_xlfn.MINIFS($E$5:$E$1504,$A$5:$A$1504,$A1001,$D$5:$D$1504,"&lt;&gt;تسليم",$E$5:$E$1504,"&gt;="&amp;$E1001))</f>
        <v/>
      </c>
      <c r="I1001" s="33" t="str">
        <f aca="false">IF($G1001="","",_xlfn.MINIFS($E$5:$E$1504,$A$5:$A$1504,$A1001,$D$5:$D$1504,"تسليم",$E$5:$E$1504,"&gt;"&amp;$E1001))</f>
        <v/>
      </c>
      <c r="J1001" s="33" t="str">
        <f aca="false">IF($G1001="","",IF(H1001&gt;0,IF(I1001&gt;0,MIN(H1001,I1001),H1001),IF(I1001&gt;0,I1001,تاريخ_الاحتساب)))</f>
        <v/>
      </c>
      <c r="K1001" s="34" t="str">
        <f aca="false">IF($G1001="","",IF(AND(H1001=0,I1001=0),"جارية","مغلقة"))</f>
        <v/>
      </c>
      <c r="L1001" s="26" t="str">
        <f aca="false">IF($G1001="","",MAX(0,NETWORKDAYS.INTL($E1001,J1001,رمز_العطلة,أيام_الأجازات)-1))</f>
        <v/>
      </c>
      <c r="M1001" s="26" t="str">
        <f aca="false">IF($G1001="","",MAX(0,L1001-مهلة_المراجعة))</f>
        <v/>
      </c>
      <c r="N1001" s="30" t="str">
        <f aca="false">IF($A1001="",IF(OR($D1001&lt;&gt;"",$E1001&lt;&gt;""),"رقم المخرج ناقص",""),IF(ISNA(MATCH($A1001,قائمة_المخرجات,0)),"رقم مخرج غير موجود",IF($D1001="","نوع الحركة ناقص",IF(NOT(ISNUMBER($E1001)),"التاريخ ناقص",IF($E1001&gt;تاريخ_الاحتساب,"تاريخ بعد تاريخ الاحتساب",IF(AND($D1001&lt;&gt;"تسليم",COUNTIFS($A$5:$A$1504,$A1001,$D$5:$D$1504,"تسليم",$E$5:$E$1504,"&lt;="&amp;$E1001)=0),"لا يوجد تسليم قبل الحركة دي",""))))))</f>
        <v/>
      </c>
    </row>
    <row r="1002" customFormat="false" ht="15" hidden="false" customHeight="false" outlineLevel="0" collapsed="false">
      <c r="A1002" s="20"/>
      <c r="B1002" s="35" t="str">
        <f aca="false">IF($A1002="","",IFERROR(INDEX(مخرج_البند,MATCH($A1002,قائمة_المخرجات,0)),""))</f>
        <v/>
      </c>
      <c r="C1002" s="30" t="str">
        <f aca="false">IF($A1002="","",IFERROR(INDEX(مخرج_الوصف,MATCH($A1002,قائمة_المخرجات,0)),""))</f>
        <v/>
      </c>
      <c r="D1002" s="20"/>
      <c r="E1002" s="31"/>
      <c r="F1002" s="22"/>
      <c r="G1002" s="36" t="str">
        <f aca="false">IF(OR($A1002="",$D1002&lt;&gt;"تسليم",NOT(ISNUMBER($E1002))),"",COUNTIFS($A$5:$A$1504,$A1002,$D$5:$D$1504,"تسليم",$E$5:$E$1504,"&lt;"&amp;$E1002)+1)</f>
        <v/>
      </c>
      <c r="H1002" s="33" t="str">
        <f aca="false">IF($G1002="","",_xlfn.MINIFS($E$5:$E$1504,$A$5:$A$1504,$A1002,$D$5:$D$1504,"&lt;&gt;تسليم",$E$5:$E$1504,"&gt;="&amp;$E1002))</f>
        <v/>
      </c>
      <c r="I1002" s="33" t="str">
        <f aca="false">IF($G1002="","",_xlfn.MINIFS($E$5:$E$1504,$A$5:$A$1504,$A1002,$D$5:$D$1504,"تسليم",$E$5:$E$1504,"&gt;"&amp;$E1002))</f>
        <v/>
      </c>
      <c r="J1002" s="33" t="str">
        <f aca="false">IF($G1002="","",IF(H1002&gt;0,IF(I1002&gt;0,MIN(H1002,I1002),H1002),IF(I1002&gt;0,I1002,تاريخ_الاحتساب)))</f>
        <v/>
      </c>
      <c r="K1002" s="34" t="str">
        <f aca="false">IF($G1002="","",IF(AND(H1002=0,I1002=0),"جارية","مغلقة"))</f>
        <v/>
      </c>
      <c r="L1002" s="26" t="str">
        <f aca="false">IF($G1002="","",MAX(0,NETWORKDAYS.INTL($E1002,J1002,رمز_العطلة,أيام_الأجازات)-1))</f>
        <v/>
      </c>
      <c r="M1002" s="26" t="str">
        <f aca="false">IF($G1002="","",MAX(0,L1002-مهلة_المراجعة))</f>
        <v/>
      </c>
      <c r="N1002" s="30" t="str">
        <f aca="false">IF($A1002="",IF(OR($D1002&lt;&gt;"",$E1002&lt;&gt;""),"رقم المخرج ناقص",""),IF(ISNA(MATCH($A1002,قائمة_المخرجات,0)),"رقم مخرج غير موجود",IF($D1002="","نوع الحركة ناقص",IF(NOT(ISNUMBER($E1002)),"التاريخ ناقص",IF($E1002&gt;تاريخ_الاحتساب,"تاريخ بعد تاريخ الاحتساب",IF(AND($D1002&lt;&gt;"تسليم",COUNTIFS($A$5:$A$1504,$A1002,$D$5:$D$1504,"تسليم",$E$5:$E$1504,"&lt;="&amp;$E1002)=0),"لا يوجد تسليم قبل الحركة دي",""))))))</f>
        <v/>
      </c>
    </row>
    <row r="1003" customFormat="false" ht="15" hidden="false" customHeight="false" outlineLevel="0" collapsed="false">
      <c r="A1003" s="20"/>
      <c r="B1003" s="35" t="str">
        <f aca="false">IF($A1003="","",IFERROR(INDEX(مخرج_البند,MATCH($A1003,قائمة_المخرجات,0)),""))</f>
        <v/>
      </c>
      <c r="C1003" s="30" t="str">
        <f aca="false">IF($A1003="","",IFERROR(INDEX(مخرج_الوصف,MATCH($A1003,قائمة_المخرجات,0)),""))</f>
        <v/>
      </c>
      <c r="D1003" s="20"/>
      <c r="E1003" s="31"/>
      <c r="F1003" s="22"/>
      <c r="G1003" s="36" t="str">
        <f aca="false">IF(OR($A1003="",$D1003&lt;&gt;"تسليم",NOT(ISNUMBER($E1003))),"",COUNTIFS($A$5:$A$1504,$A1003,$D$5:$D$1504,"تسليم",$E$5:$E$1504,"&lt;"&amp;$E1003)+1)</f>
        <v/>
      </c>
      <c r="H1003" s="33" t="str">
        <f aca="false">IF($G1003="","",_xlfn.MINIFS($E$5:$E$1504,$A$5:$A$1504,$A1003,$D$5:$D$1504,"&lt;&gt;تسليم",$E$5:$E$1504,"&gt;="&amp;$E1003))</f>
        <v/>
      </c>
      <c r="I1003" s="33" t="str">
        <f aca="false">IF($G1003="","",_xlfn.MINIFS($E$5:$E$1504,$A$5:$A$1504,$A1003,$D$5:$D$1504,"تسليم",$E$5:$E$1504,"&gt;"&amp;$E1003))</f>
        <v/>
      </c>
      <c r="J1003" s="33" t="str">
        <f aca="false">IF($G1003="","",IF(H1003&gt;0,IF(I1003&gt;0,MIN(H1003,I1003),H1003),IF(I1003&gt;0,I1003,تاريخ_الاحتساب)))</f>
        <v/>
      </c>
      <c r="K1003" s="34" t="str">
        <f aca="false">IF($G1003="","",IF(AND(H1003=0,I1003=0),"جارية","مغلقة"))</f>
        <v/>
      </c>
      <c r="L1003" s="26" t="str">
        <f aca="false">IF($G1003="","",MAX(0,NETWORKDAYS.INTL($E1003,J1003,رمز_العطلة,أيام_الأجازات)-1))</f>
        <v/>
      </c>
      <c r="M1003" s="26" t="str">
        <f aca="false">IF($G1003="","",MAX(0,L1003-مهلة_المراجعة))</f>
        <v/>
      </c>
      <c r="N1003" s="30" t="str">
        <f aca="false">IF($A1003="",IF(OR($D1003&lt;&gt;"",$E1003&lt;&gt;""),"رقم المخرج ناقص",""),IF(ISNA(MATCH($A1003,قائمة_المخرجات,0)),"رقم مخرج غير موجود",IF($D1003="","نوع الحركة ناقص",IF(NOT(ISNUMBER($E1003)),"التاريخ ناقص",IF($E1003&gt;تاريخ_الاحتساب,"تاريخ بعد تاريخ الاحتساب",IF(AND($D1003&lt;&gt;"تسليم",COUNTIFS($A$5:$A$1504,$A1003,$D$5:$D$1504,"تسليم",$E$5:$E$1504,"&lt;="&amp;$E1003)=0),"لا يوجد تسليم قبل الحركة دي",""))))))</f>
        <v/>
      </c>
    </row>
    <row r="1004" customFormat="false" ht="15" hidden="false" customHeight="false" outlineLevel="0" collapsed="false">
      <c r="A1004" s="20"/>
      <c r="B1004" s="35" t="str">
        <f aca="false">IF($A1004="","",IFERROR(INDEX(مخرج_البند,MATCH($A1004,قائمة_المخرجات,0)),""))</f>
        <v/>
      </c>
      <c r="C1004" s="30" t="str">
        <f aca="false">IF($A1004="","",IFERROR(INDEX(مخرج_الوصف,MATCH($A1004,قائمة_المخرجات,0)),""))</f>
        <v/>
      </c>
      <c r="D1004" s="20"/>
      <c r="E1004" s="31"/>
      <c r="F1004" s="22"/>
      <c r="G1004" s="36" t="str">
        <f aca="false">IF(OR($A1004="",$D1004&lt;&gt;"تسليم",NOT(ISNUMBER($E1004))),"",COUNTIFS($A$5:$A$1504,$A1004,$D$5:$D$1504,"تسليم",$E$5:$E$1504,"&lt;"&amp;$E1004)+1)</f>
        <v/>
      </c>
      <c r="H1004" s="33" t="str">
        <f aca="false">IF($G1004="","",_xlfn.MINIFS($E$5:$E$1504,$A$5:$A$1504,$A1004,$D$5:$D$1504,"&lt;&gt;تسليم",$E$5:$E$1504,"&gt;="&amp;$E1004))</f>
        <v/>
      </c>
      <c r="I1004" s="33" t="str">
        <f aca="false">IF($G1004="","",_xlfn.MINIFS($E$5:$E$1504,$A$5:$A$1504,$A1004,$D$5:$D$1504,"تسليم",$E$5:$E$1504,"&gt;"&amp;$E1004))</f>
        <v/>
      </c>
      <c r="J1004" s="33" t="str">
        <f aca="false">IF($G1004="","",IF(H1004&gt;0,IF(I1004&gt;0,MIN(H1004,I1004),H1004),IF(I1004&gt;0,I1004,تاريخ_الاحتساب)))</f>
        <v/>
      </c>
      <c r="K1004" s="34" t="str">
        <f aca="false">IF($G1004="","",IF(AND(H1004=0,I1004=0),"جارية","مغلقة"))</f>
        <v/>
      </c>
      <c r="L1004" s="26" t="str">
        <f aca="false">IF($G1004="","",MAX(0,NETWORKDAYS.INTL($E1004,J1004,رمز_العطلة,أيام_الأجازات)-1))</f>
        <v/>
      </c>
      <c r="M1004" s="26" t="str">
        <f aca="false">IF($G1004="","",MAX(0,L1004-مهلة_المراجعة))</f>
        <v/>
      </c>
      <c r="N1004" s="30" t="str">
        <f aca="false">IF($A1004="",IF(OR($D1004&lt;&gt;"",$E1004&lt;&gt;""),"رقم المخرج ناقص",""),IF(ISNA(MATCH($A1004,قائمة_المخرجات,0)),"رقم مخرج غير موجود",IF($D1004="","نوع الحركة ناقص",IF(NOT(ISNUMBER($E1004)),"التاريخ ناقص",IF($E1004&gt;تاريخ_الاحتساب,"تاريخ بعد تاريخ الاحتساب",IF(AND($D1004&lt;&gt;"تسليم",COUNTIFS($A$5:$A$1504,$A1004,$D$5:$D$1504,"تسليم",$E$5:$E$1504,"&lt;="&amp;$E1004)=0),"لا يوجد تسليم قبل الحركة دي",""))))))</f>
        <v/>
      </c>
    </row>
    <row r="1005" customFormat="false" ht="15" hidden="false" customHeight="false" outlineLevel="0" collapsed="false">
      <c r="A1005" s="20"/>
      <c r="B1005" s="35" t="str">
        <f aca="false">IF($A1005="","",IFERROR(INDEX(مخرج_البند,MATCH($A1005,قائمة_المخرجات,0)),""))</f>
        <v/>
      </c>
      <c r="C1005" s="30" t="str">
        <f aca="false">IF($A1005="","",IFERROR(INDEX(مخرج_الوصف,MATCH($A1005,قائمة_المخرجات,0)),""))</f>
        <v/>
      </c>
      <c r="D1005" s="20"/>
      <c r="E1005" s="31"/>
      <c r="F1005" s="22"/>
      <c r="G1005" s="36" t="str">
        <f aca="false">IF(OR($A1005="",$D1005&lt;&gt;"تسليم",NOT(ISNUMBER($E1005))),"",COUNTIFS($A$5:$A$1504,$A1005,$D$5:$D$1504,"تسليم",$E$5:$E$1504,"&lt;"&amp;$E1005)+1)</f>
        <v/>
      </c>
      <c r="H1005" s="33" t="str">
        <f aca="false">IF($G1005="","",_xlfn.MINIFS($E$5:$E$1504,$A$5:$A$1504,$A1005,$D$5:$D$1504,"&lt;&gt;تسليم",$E$5:$E$1504,"&gt;="&amp;$E1005))</f>
        <v/>
      </c>
      <c r="I1005" s="33" t="str">
        <f aca="false">IF($G1005="","",_xlfn.MINIFS($E$5:$E$1504,$A$5:$A$1504,$A1005,$D$5:$D$1504,"تسليم",$E$5:$E$1504,"&gt;"&amp;$E1005))</f>
        <v/>
      </c>
      <c r="J1005" s="33" t="str">
        <f aca="false">IF($G1005="","",IF(H1005&gt;0,IF(I1005&gt;0,MIN(H1005,I1005),H1005),IF(I1005&gt;0,I1005,تاريخ_الاحتساب)))</f>
        <v/>
      </c>
      <c r="K1005" s="34" t="str">
        <f aca="false">IF($G1005="","",IF(AND(H1005=0,I1005=0),"جارية","مغلقة"))</f>
        <v/>
      </c>
      <c r="L1005" s="26" t="str">
        <f aca="false">IF($G1005="","",MAX(0,NETWORKDAYS.INTL($E1005,J1005,رمز_العطلة,أيام_الأجازات)-1))</f>
        <v/>
      </c>
      <c r="M1005" s="26" t="str">
        <f aca="false">IF($G1005="","",MAX(0,L1005-مهلة_المراجعة))</f>
        <v/>
      </c>
      <c r="N1005" s="30" t="str">
        <f aca="false">IF($A1005="",IF(OR($D1005&lt;&gt;"",$E1005&lt;&gt;""),"رقم المخرج ناقص",""),IF(ISNA(MATCH($A1005,قائمة_المخرجات,0)),"رقم مخرج غير موجود",IF($D1005="","نوع الحركة ناقص",IF(NOT(ISNUMBER($E1005)),"التاريخ ناقص",IF($E1005&gt;تاريخ_الاحتساب,"تاريخ بعد تاريخ الاحتساب",IF(AND($D1005&lt;&gt;"تسليم",COUNTIFS($A$5:$A$1504,$A1005,$D$5:$D$1504,"تسليم",$E$5:$E$1504,"&lt;="&amp;$E1005)=0),"لا يوجد تسليم قبل الحركة دي",""))))))</f>
        <v/>
      </c>
    </row>
    <row r="1006" customFormat="false" ht="15" hidden="false" customHeight="false" outlineLevel="0" collapsed="false">
      <c r="A1006" s="20"/>
      <c r="B1006" s="35" t="str">
        <f aca="false">IF($A1006="","",IFERROR(INDEX(مخرج_البند,MATCH($A1006,قائمة_المخرجات,0)),""))</f>
        <v/>
      </c>
      <c r="C1006" s="30" t="str">
        <f aca="false">IF($A1006="","",IFERROR(INDEX(مخرج_الوصف,MATCH($A1006,قائمة_المخرجات,0)),""))</f>
        <v/>
      </c>
      <c r="D1006" s="20"/>
      <c r="E1006" s="31"/>
      <c r="F1006" s="22"/>
      <c r="G1006" s="36" t="str">
        <f aca="false">IF(OR($A1006="",$D1006&lt;&gt;"تسليم",NOT(ISNUMBER($E1006))),"",COUNTIFS($A$5:$A$1504,$A1006,$D$5:$D$1504,"تسليم",$E$5:$E$1504,"&lt;"&amp;$E1006)+1)</f>
        <v/>
      </c>
      <c r="H1006" s="33" t="str">
        <f aca="false">IF($G1006="","",_xlfn.MINIFS($E$5:$E$1504,$A$5:$A$1504,$A1006,$D$5:$D$1504,"&lt;&gt;تسليم",$E$5:$E$1504,"&gt;="&amp;$E1006))</f>
        <v/>
      </c>
      <c r="I1006" s="33" t="str">
        <f aca="false">IF($G1006="","",_xlfn.MINIFS($E$5:$E$1504,$A$5:$A$1504,$A1006,$D$5:$D$1504,"تسليم",$E$5:$E$1504,"&gt;"&amp;$E1006))</f>
        <v/>
      </c>
      <c r="J1006" s="33" t="str">
        <f aca="false">IF($G1006="","",IF(H1006&gt;0,IF(I1006&gt;0,MIN(H1006,I1006),H1006),IF(I1006&gt;0,I1006,تاريخ_الاحتساب)))</f>
        <v/>
      </c>
      <c r="K1006" s="34" t="str">
        <f aca="false">IF($G1006="","",IF(AND(H1006=0,I1006=0),"جارية","مغلقة"))</f>
        <v/>
      </c>
      <c r="L1006" s="26" t="str">
        <f aca="false">IF($G1006="","",MAX(0,NETWORKDAYS.INTL($E1006,J1006,رمز_العطلة,أيام_الأجازات)-1))</f>
        <v/>
      </c>
      <c r="M1006" s="26" t="str">
        <f aca="false">IF($G1006="","",MAX(0,L1006-مهلة_المراجعة))</f>
        <v/>
      </c>
      <c r="N1006" s="30" t="str">
        <f aca="false">IF($A1006="",IF(OR($D1006&lt;&gt;"",$E1006&lt;&gt;""),"رقم المخرج ناقص",""),IF(ISNA(MATCH($A1006,قائمة_المخرجات,0)),"رقم مخرج غير موجود",IF($D1006="","نوع الحركة ناقص",IF(NOT(ISNUMBER($E1006)),"التاريخ ناقص",IF($E1006&gt;تاريخ_الاحتساب,"تاريخ بعد تاريخ الاحتساب",IF(AND($D1006&lt;&gt;"تسليم",COUNTIFS($A$5:$A$1504,$A1006,$D$5:$D$1504,"تسليم",$E$5:$E$1504,"&lt;="&amp;$E1006)=0),"لا يوجد تسليم قبل الحركة دي",""))))))</f>
        <v/>
      </c>
    </row>
    <row r="1007" customFormat="false" ht="15" hidden="false" customHeight="false" outlineLevel="0" collapsed="false">
      <c r="A1007" s="20"/>
      <c r="B1007" s="35" t="str">
        <f aca="false">IF($A1007="","",IFERROR(INDEX(مخرج_البند,MATCH($A1007,قائمة_المخرجات,0)),""))</f>
        <v/>
      </c>
      <c r="C1007" s="30" t="str">
        <f aca="false">IF($A1007="","",IFERROR(INDEX(مخرج_الوصف,MATCH($A1007,قائمة_المخرجات,0)),""))</f>
        <v/>
      </c>
      <c r="D1007" s="20"/>
      <c r="E1007" s="31"/>
      <c r="F1007" s="22"/>
      <c r="G1007" s="36" t="str">
        <f aca="false">IF(OR($A1007="",$D1007&lt;&gt;"تسليم",NOT(ISNUMBER($E1007))),"",COUNTIFS($A$5:$A$1504,$A1007,$D$5:$D$1504,"تسليم",$E$5:$E$1504,"&lt;"&amp;$E1007)+1)</f>
        <v/>
      </c>
      <c r="H1007" s="33" t="str">
        <f aca="false">IF($G1007="","",_xlfn.MINIFS($E$5:$E$1504,$A$5:$A$1504,$A1007,$D$5:$D$1504,"&lt;&gt;تسليم",$E$5:$E$1504,"&gt;="&amp;$E1007))</f>
        <v/>
      </c>
      <c r="I1007" s="33" t="str">
        <f aca="false">IF($G1007="","",_xlfn.MINIFS($E$5:$E$1504,$A$5:$A$1504,$A1007,$D$5:$D$1504,"تسليم",$E$5:$E$1504,"&gt;"&amp;$E1007))</f>
        <v/>
      </c>
      <c r="J1007" s="33" t="str">
        <f aca="false">IF($G1007="","",IF(H1007&gt;0,IF(I1007&gt;0,MIN(H1007,I1007),H1007),IF(I1007&gt;0,I1007,تاريخ_الاحتساب)))</f>
        <v/>
      </c>
      <c r="K1007" s="34" t="str">
        <f aca="false">IF($G1007="","",IF(AND(H1007=0,I1007=0),"جارية","مغلقة"))</f>
        <v/>
      </c>
      <c r="L1007" s="26" t="str">
        <f aca="false">IF($G1007="","",MAX(0,NETWORKDAYS.INTL($E1007,J1007,رمز_العطلة,أيام_الأجازات)-1))</f>
        <v/>
      </c>
      <c r="M1007" s="26" t="str">
        <f aca="false">IF($G1007="","",MAX(0,L1007-مهلة_المراجعة))</f>
        <v/>
      </c>
      <c r="N1007" s="30" t="str">
        <f aca="false">IF($A1007="",IF(OR($D1007&lt;&gt;"",$E1007&lt;&gt;""),"رقم المخرج ناقص",""),IF(ISNA(MATCH($A1007,قائمة_المخرجات,0)),"رقم مخرج غير موجود",IF($D1007="","نوع الحركة ناقص",IF(NOT(ISNUMBER($E1007)),"التاريخ ناقص",IF($E1007&gt;تاريخ_الاحتساب,"تاريخ بعد تاريخ الاحتساب",IF(AND($D1007&lt;&gt;"تسليم",COUNTIFS($A$5:$A$1504,$A1007,$D$5:$D$1504,"تسليم",$E$5:$E$1504,"&lt;="&amp;$E1007)=0),"لا يوجد تسليم قبل الحركة دي",""))))))</f>
        <v/>
      </c>
    </row>
    <row r="1008" customFormat="false" ht="15" hidden="false" customHeight="false" outlineLevel="0" collapsed="false">
      <c r="A1008" s="20"/>
      <c r="B1008" s="35" t="str">
        <f aca="false">IF($A1008="","",IFERROR(INDEX(مخرج_البند,MATCH($A1008,قائمة_المخرجات,0)),""))</f>
        <v/>
      </c>
      <c r="C1008" s="30" t="str">
        <f aca="false">IF($A1008="","",IFERROR(INDEX(مخرج_الوصف,MATCH($A1008,قائمة_المخرجات,0)),""))</f>
        <v/>
      </c>
      <c r="D1008" s="20"/>
      <c r="E1008" s="31"/>
      <c r="F1008" s="22"/>
      <c r="G1008" s="36" t="str">
        <f aca="false">IF(OR($A1008="",$D1008&lt;&gt;"تسليم",NOT(ISNUMBER($E1008))),"",COUNTIFS($A$5:$A$1504,$A1008,$D$5:$D$1504,"تسليم",$E$5:$E$1504,"&lt;"&amp;$E1008)+1)</f>
        <v/>
      </c>
      <c r="H1008" s="33" t="str">
        <f aca="false">IF($G1008="","",_xlfn.MINIFS($E$5:$E$1504,$A$5:$A$1504,$A1008,$D$5:$D$1504,"&lt;&gt;تسليم",$E$5:$E$1504,"&gt;="&amp;$E1008))</f>
        <v/>
      </c>
      <c r="I1008" s="33" t="str">
        <f aca="false">IF($G1008="","",_xlfn.MINIFS($E$5:$E$1504,$A$5:$A$1504,$A1008,$D$5:$D$1504,"تسليم",$E$5:$E$1504,"&gt;"&amp;$E1008))</f>
        <v/>
      </c>
      <c r="J1008" s="33" t="str">
        <f aca="false">IF($G1008="","",IF(H1008&gt;0,IF(I1008&gt;0,MIN(H1008,I1008),H1008),IF(I1008&gt;0,I1008,تاريخ_الاحتساب)))</f>
        <v/>
      </c>
      <c r="K1008" s="34" t="str">
        <f aca="false">IF($G1008="","",IF(AND(H1008=0,I1008=0),"جارية","مغلقة"))</f>
        <v/>
      </c>
      <c r="L1008" s="26" t="str">
        <f aca="false">IF($G1008="","",MAX(0,NETWORKDAYS.INTL($E1008,J1008,رمز_العطلة,أيام_الأجازات)-1))</f>
        <v/>
      </c>
      <c r="M1008" s="26" t="str">
        <f aca="false">IF($G1008="","",MAX(0,L1008-مهلة_المراجعة))</f>
        <v/>
      </c>
      <c r="N1008" s="30" t="str">
        <f aca="false">IF($A1008="",IF(OR($D1008&lt;&gt;"",$E1008&lt;&gt;""),"رقم المخرج ناقص",""),IF(ISNA(MATCH($A1008,قائمة_المخرجات,0)),"رقم مخرج غير موجود",IF($D1008="","نوع الحركة ناقص",IF(NOT(ISNUMBER($E1008)),"التاريخ ناقص",IF($E1008&gt;تاريخ_الاحتساب,"تاريخ بعد تاريخ الاحتساب",IF(AND($D1008&lt;&gt;"تسليم",COUNTIFS($A$5:$A$1504,$A1008,$D$5:$D$1504,"تسليم",$E$5:$E$1504,"&lt;="&amp;$E1008)=0),"لا يوجد تسليم قبل الحركة دي",""))))))</f>
        <v/>
      </c>
    </row>
    <row r="1009" customFormat="false" ht="15" hidden="false" customHeight="false" outlineLevel="0" collapsed="false">
      <c r="A1009" s="20"/>
      <c r="B1009" s="35" t="str">
        <f aca="false">IF($A1009="","",IFERROR(INDEX(مخرج_البند,MATCH($A1009,قائمة_المخرجات,0)),""))</f>
        <v/>
      </c>
      <c r="C1009" s="30" t="str">
        <f aca="false">IF($A1009="","",IFERROR(INDEX(مخرج_الوصف,MATCH($A1009,قائمة_المخرجات,0)),""))</f>
        <v/>
      </c>
      <c r="D1009" s="20"/>
      <c r="E1009" s="31"/>
      <c r="F1009" s="22"/>
      <c r="G1009" s="36" t="str">
        <f aca="false">IF(OR($A1009="",$D1009&lt;&gt;"تسليم",NOT(ISNUMBER($E1009))),"",COUNTIFS($A$5:$A$1504,$A1009,$D$5:$D$1504,"تسليم",$E$5:$E$1504,"&lt;"&amp;$E1009)+1)</f>
        <v/>
      </c>
      <c r="H1009" s="33" t="str">
        <f aca="false">IF($G1009="","",_xlfn.MINIFS($E$5:$E$1504,$A$5:$A$1504,$A1009,$D$5:$D$1504,"&lt;&gt;تسليم",$E$5:$E$1504,"&gt;="&amp;$E1009))</f>
        <v/>
      </c>
      <c r="I1009" s="33" t="str">
        <f aca="false">IF($G1009="","",_xlfn.MINIFS($E$5:$E$1504,$A$5:$A$1504,$A1009,$D$5:$D$1504,"تسليم",$E$5:$E$1504,"&gt;"&amp;$E1009))</f>
        <v/>
      </c>
      <c r="J1009" s="33" t="str">
        <f aca="false">IF($G1009="","",IF(H1009&gt;0,IF(I1009&gt;0,MIN(H1009,I1009),H1009),IF(I1009&gt;0,I1009,تاريخ_الاحتساب)))</f>
        <v/>
      </c>
      <c r="K1009" s="34" t="str">
        <f aca="false">IF($G1009="","",IF(AND(H1009=0,I1009=0),"جارية","مغلقة"))</f>
        <v/>
      </c>
      <c r="L1009" s="26" t="str">
        <f aca="false">IF($G1009="","",MAX(0,NETWORKDAYS.INTL($E1009,J1009,رمز_العطلة,أيام_الأجازات)-1))</f>
        <v/>
      </c>
      <c r="M1009" s="26" t="str">
        <f aca="false">IF($G1009="","",MAX(0,L1009-مهلة_المراجعة))</f>
        <v/>
      </c>
      <c r="N1009" s="30" t="str">
        <f aca="false">IF($A1009="",IF(OR($D1009&lt;&gt;"",$E1009&lt;&gt;""),"رقم المخرج ناقص",""),IF(ISNA(MATCH($A1009,قائمة_المخرجات,0)),"رقم مخرج غير موجود",IF($D1009="","نوع الحركة ناقص",IF(NOT(ISNUMBER($E1009)),"التاريخ ناقص",IF($E1009&gt;تاريخ_الاحتساب,"تاريخ بعد تاريخ الاحتساب",IF(AND($D1009&lt;&gt;"تسليم",COUNTIFS($A$5:$A$1504,$A1009,$D$5:$D$1504,"تسليم",$E$5:$E$1504,"&lt;="&amp;$E1009)=0),"لا يوجد تسليم قبل الحركة دي",""))))))</f>
        <v/>
      </c>
    </row>
    <row r="1010" customFormat="false" ht="15" hidden="false" customHeight="false" outlineLevel="0" collapsed="false">
      <c r="A1010" s="20"/>
      <c r="B1010" s="35" t="str">
        <f aca="false">IF($A1010="","",IFERROR(INDEX(مخرج_البند,MATCH($A1010,قائمة_المخرجات,0)),""))</f>
        <v/>
      </c>
      <c r="C1010" s="30" t="str">
        <f aca="false">IF($A1010="","",IFERROR(INDEX(مخرج_الوصف,MATCH($A1010,قائمة_المخرجات,0)),""))</f>
        <v/>
      </c>
      <c r="D1010" s="20"/>
      <c r="E1010" s="31"/>
      <c r="F1010" s="22"/>
      <c r="G1010" s="36" t="str">
        <f aca="false">IF(OR($A1010="",$D1010&lt;&gt;"تسليم",NOT(ISNUMBER($E1010))),"",COUNTIFS($A$5:$A$1504,$A1010,$D$5:$D$1504,"تسليم",$E$5:$E$1504,"&lt;"&amp;$E1010)+1)</f>
        <v/>
      </c>
      <c r="H1010" s="33" t="str">
        <f aca="false">IF($G1010="","",_xlfn.MINIFS($E$5:$E$1504,$A$5:$A$1504,$A1010,$D$5:$D$1504,"&lt;&gt;تسليم",$E$5:$E$1504,"&gt;="&amp;$E1010))</f>
        <v/>
      </c>
      <c r="I1010" s="33" t="str">
        <f aca="false">IF($G1010="","",_xlfn.MINIFS($E$5:$E$1504,$A$5:$A$1504,$A1010,$D$5:$D$1504,"تسليم",$E$5:$E$1504,"&gt;"&amp;$E1010))</f>
        <v/>
      </c>
      <c r="J1010" s="33" t="str">
        <f aca="false">IF($G1010="","",IF(H1010&gt;0,IF(I1010&gt;0,MIN(H1010,I1010),H1010),IF(I1010&gt;0,I1010,تاريخ_الاحتساب)))</f>
        <v/>
      </c>
      <c r="K1010" s="34" t="str">
        <f aca="false">IF($G1010="","",IF(AND(H1010=0,I1010=0),"جارية","مغلقة"))</f>
        <v/>
      </c>
      <c r="L1010" s="26" t="str">
        <f aca="false">IF($G1010="","",MAX(0,NETWORKDAYS.INTL($E1010,J1010,رمز_العطلة,أيام_الأجازات)-1))</f>
        <v/>
      </c>
      <c r="M1010" s="26" t="str">
        <f aca="false">IF($G1010="","",MAX(0,L1010-مهلة_المراجعة))</f>
        <v/>
      </c>
      <c r="N1010" s="30" t="str">
        <f aca="false">IF($A1010="",IF(OR($D1010&lt;&gt;"",$E1010&lt;&gt;""),"رقم المخرج ناقص",""),IF(ISNA(MATCH($A1010,قائمة_المخرجات,0)),"رقم مخرج غير موجود",IF($D1010="","نوع الحركة ناقص",IF(NOT(ISNUMBER($E1010)),"التاريخ ناقص",IF($E1010&gt;تاريخ_الاحتساب,"تاريخ بعد تاريخ الاحتساب",IF(AND($D1010&lt;&gt;"تسليم",COUNTIFS($A$5:$A$1504,$A1010,$D$5:$D$1504,"تسليم",$E$5:$E$1504,"&lt;="&amp;$E1010)=0),"لا يوجد تسليم قبل الحركة دي",""))))))</f>
        <v/>
      </c>
    </row>
    <row r="1011" customFormat="false" ht="15" hidden="false" customHeight="false" outlineLevel="0" collapsed="false">
      <c r="A1011" s="20"/>
      <c r="B1011" s="35" t="str">
        <f aca="false">IF($A1011="","",IFERROR(INDEX(مخرج_البند,MATCH($A1011,قائمة_المخرجات,0)),""))</f>
        <v/>
      </c>
      <c r="C1011" s="30" t="str">
        <f aca="false">IF($A1011="","",IFERROR(INDEX(مخرج_الوصف,MATCH($A1011,قائمة_المخرجات,0)),""))</f>
        <v/>
      </c>
      <c r="D1011" s="20"/>
      <c r="E1011" s="31"/>
      <c r="F1011" s="22"/>
      <c r="G1011" s="36" t="str">
        <f aca="false">IF(OR($A1011="",$D1011&lt;&gt;"تسليم",NOT(ISNUMBER($E1011))),"",COUNTIFS($A$5:$A$1504,$A1011,$D$5:$D$1504,"تسليم",$E$5:$E$1504,"&lt;"&amp;$E1011)+1)</f>
        <v/>
      </c>
      <c r="H1011" s="33" t="str">
        <f aca="false">IF($G1011="","",_xlfn.MINIFS($E$5:$E$1504,$A$5:$A$1504,$A1011,$D$5:$D$1504,"&lt;&gt;تسليم",$E$5:$E$1504,"&gt;="&amp;$E1011))</f>
        <v/>
      </c>
      <c r="I1011" s="33" t="str">
        <f aca="false">IF($G1011="","",_xlfn.MINIFS($E$5:$E$1504,$A$5:$A$1504,$A1011,$D$5:$D$1504,"تسليم",$E$5:$E$1504,"&gt;"&amp;$E1011))</f>
        <v/>
      </c>
      <c r="J1011" s="33" t="str">
        <f aca="false">IF($G1011="","",IF(H1011&gt;0,IF(I1011&gt;0,MIN(H1011,I1011),H1011),IF(I1011&gt;0,I1011,تاريخ_الاحتساب)))</f>
        <v/>
      </c>
      <c r="K1011" s="34" t="str">
        <f aca="false">IF($G1011="","",IF(AND(H1011=0,I1011=0),"جارية","مغلقة"))</f>
        <v/>
      </c>
      <c r="L1011" s="26" t="str">
        <f aca="false">IF($G1011="","",MAX(0,NETWORKDAYS.INTL($E1011,J1011,رمز_العطلة,أيام_الأجازات)-1))</f>
        <v/>
      </c>
      <c r="M1011" s="26" t="str">
        <f aca="false">IF($G1011="","",MAX(0,L1011-مهلة_المراجعة))</f>
        <v/>
      </c>
      <c r="N1011" s="30" t="str">
        <f aca="false">IF($A1011="",IF(OR($D1011&lt;&gt;"",$E1011&lt;&gt;""),"رقم المخرج ناقص",""),IF(ISNA(MATCH($A1011,قائمة_المخرجات,0)),"رقم مخرج غير موجود",IF($D1011="","نوع الحركة ناقص",IF(NOT(ISNUMBER($E1011)),"التاريخ ناقص",IF($E1011&gt;تاريخ_الاحتساب,"تاريخ بعد تاريخ الاحتساب",IF(AND($D1011&lt;&gt;"تسليم",COUNTIFS($A$5:$A$1504,$A1011,$D$5:$D$1504,"تسليم",$E$5:$E$1504,"&lt;="&amp;$E1011)=0),"لا يوجد تسليم قبل الحركة دي",""))))))</f>
        <v/>
      </c>
    </row>
    <row r="1012" customFormat="false" ht="15" hidden="false" customHeight="false" outlineLevel="0" collapsed="false">
      <c r="A1012" s="20"/>
      <c r="B1012" s="35" t="str">
        <f aca="false">IF($A1012="","",IFERROR(INDEX(مخرج_البند,MATCH($A1012,قائمة_المخرجات,0)),""))</f>
        <v/>
      </c>
      <c r="C1012" s="30" t="str">
        <f aca="false">IF($A1012="","",IFERROR(INDEX(مخرج_الوصف,MATCH($A1012,قائمة_المخرجات,0)),""))</f>
        <v/>
      </c>
      <c r="D1012" s="20"/>
      <c r="E1012" s="31"/>
      <c r="F1012" s="22"/>
      <c r="G1012" s="36" t="str">
        <f aca="false">IF(OR($A1012="",$D1012&lt;&gt;"تسليم",NOT(ISNUMBER($E1012))),"",COUNTIFS($A$5:$A$1504,$A1012,$D$5:$D$1504,"تسليم",$E$5:$E$1504,"&lt;"&amp;$E1012)+1)</f>
        <v/>
      </c>
      <c r="H1012" s="33" t="str">
        <f aca="false">IF($G1012="","",_xlfn.MINIFS($E$5:$E$1504,$A$5:$A$1504,$A1012,$D$5:$D$1504,"&lt;&gt;تسليم",$E$5:$E$1504,"&gt;="&amp;$E1012))</f>
        <v/>
      </c>
      <c r="I1012" s="33" t="str">
        <f aca="false">IF($G1012="","",_xlfn.MINIFS($E$5:$E$1504,$A$5:$A$1504,$A1012,$D$5:$D$1504,"تسليم",$E$5:$E$1504,"&gt;"&amp;$E1012))</f>
        <v/>
      </c>
      <c r="J1012" s="33" t="str">
        <f aca="false">IF($G1012="","",IF(H1012&gt;0,IF(I1012&gt;0,MIN(H1012,I1012),H1012),IF(I1012&gt;0,I1012,تاريخ_الاحتساب)))</f>
        <v/>
      </c>
      <c r="K1012" s="34" t="str">
        <f aca="false">IF($G1012="","",IF(AND(H1012=0,I1012=0),"جارية","مغلقة"))</f>
        <v/>
      </c>
      <c r="L1012" s="26" t="str">
        <f aca="false">IF($G1012="","",MAX(0,NETWORKDAYS.INTL($E1012,J1012,رمز_العطلة,أيام_الأجازات)-1))</f>
        <v/>
      </c>
      <c r="M1012" s="26" t="str">
        <f aca="false">IF($G1012="","",MAX(0,L1012-مهلة_المراجعة))</f>
        <v/>
      </c>
      <c r="N1012" s="30" t="str">
        <f aca="false">IF($A1012="",IF(OR($D1012&lt;&gt;"",$E1012&lt;&gt;""),"رقم المخرج ناقص",""),IF(ISNA(MATCH($A1012,قائمة_المخرجات,0)),"رقم مخرج غير موجود",IF($D1012="","نوع الحركة ناقص",IF(NOT(ISNUMBER($E1012)),"التاريخ ناقص",IF($E1012&gt;تاريخ_الاحتساب,"تاريخ بعد تاريخ الاحتساب",IF(AND($D1012&lt;&gt;"تسليم",COUNTIFS($A$5:$A$1504,$A1012,$D$5:$D$1504,"تسليم",$E$5:$E$1504,"&lt;="&amp;$E1012)=0),"لا يوجد تسليم قبل الحركة دي",""))))))</f>
        <v/>
      </c>
    </row>
    <row r="1013" customFormat="false" ht="15" hidden="false" customHeight="false" outlineLevel="0" collapsed="false">
      <c r="A1013" s="20"/>
      <c r="B1013" s="35" t="str">
        <f aca="false">IF($A1013="","",IFERROR(INDEX(مخرج_البند,MATCH($A1013,قائمة_المخرجات,0)),""))</f>
        <v/>
      </c>
      <c r="C1013" s="30" t="str">
        <f aca="false">IF($A1013="","",IFERROR(INDEX(مخرج_الوصف,MATCH($A1013,قائمة_المخرجات,0)),""))</f>
        <v/>
      </c>
      <c r="D1013" s="20"/>
      <c r="E1013" s="31"/>
      <c r="F1013" s="22"/>
      <c r="G1013" s="36" t="str">
        <f aca="false">IF(OR($A1013="",$D1013&lt;&gt;"تسليم",NOT(ISNUMBER($E1013))),"",COUNTIFS($A$5:$A$1504,$A1013,$D$5:$D$1504,"تسليم",$E$5:$E$1504,"&lt;"&amp;$E1013)+1)</f>
        <v/>
      </c>
      <c r="H1013" s="33" t="str">
        <f aca="false">IF($G1013="","",_xlfn.MINIFS($E$5:$E$1504,$A$5:$A$1504,$A1013,$D$5:$D$1504,"&lt;&gt;تسليم",$E$5:$E$1504,"&gt;="&amp;$E1013))</f>
        <v/>
      </c>
      <c r="I1013" s="33" t="str">
        <f aca="false">IF($G1013="","",_xlfn.MINIFS($E$5:$E$1504,$A$5:$A$1504,$A1013,$D$5:$D$1504,"تسليم",$E$5:$E$1504,"&gt;"&amp;$E1013))</f>
        <v/>
      </c>
      <c r="J1013" s="33" t="str">
        <f aca="false">IF($G1013="","",IF(H1013&gt;0,IF(I1013&gt;0,MIN(H1013,I1013),H1013),IF(I1013&gt;0,I1013,تاريخ_الاحتساب)))</f>
        <v/>
      </c>
      <c r="K1013" s="34" t="str">
        <f aca="false">IF($G1013="","",IF(AND(H1013=0,I1013=0),"جارية","مغلقة"))</f>
        <v/>
      </c>
      <c r="L1013" s="26" t="str">
        <f aca="false">IF($G1013="","",MAX(0,NETWORKDAYS.INTL($E1013,J1013,رمز_العطلة,أيام_الأجازات)-1))</f>
        <v/>
      </c>
      <c r="M1013" s="26" t="str">
        <f aca="false">IF($G1013="","",MAX(0,L1013-مهلة_المراجعة))</f>
        <v/>
      </c>
      <c r="N1013" s="30" t="str">
        <f aca="false">IF($A1013="",IF(OR($D1013&lt;&gt;"",$E1013&lt;&gt;""),"رقم المخرج ناقص",""),IF(ISNA(MATCH($A1013,قائمة_المخرجات,0)),"رقم مخرج غير موجود",IF($D1013="","نوع الحركة ناقص",IF(NOT(ISNUMBER($E1013)),"التاريخ ناقص",IF($E1013&gt;تاريخ_الاحتساب,"تاريخ بعد تاريخ الاحتساب",IF(AND($D1013&lt;&gt;"تسليم",COUNTIFS($A$5:$A$1504,$A1013,$D$5:$D$1504,"تسليم",$E$5:$E$1504,"&lt;="&amp;$E1013)=0),"لا يوجد تسليم قبل الحركة دي",""))))))</f>
        <v/>
      </c>
    </row>
    <row r="1014" customFormat="false" ht="15" hidden="false" customHeight="false" outlineLevel="0" collapsed="false">
      <c r="A1014" s="20"/>
      <c r="B1014" s="35" t="str">
        <f aca="false">IF($A1014="","",IFERROR(INDEX(مخرج_البند,MATCH($A1014,قائمة_المخرجات,0)),""))</f>
        <v/>
      </c>
      <c r="C1014" s="30" t="str">
        <f aca="false">IF($A1014="","",IFERROR(INDEX(مخرج_الوصف,MATCH($A1014,قائمة_المخرجات,0)),""))</f>
        <v/>
      </c>
      <c r="D1014" s="20"/>
      <c r="E1014" s="31"/>
      <c r="F1014" s="22"/>
      <c r="G1014" s="36" t="str">
        <f aca="false">IF(OR($A1014="",$D1014&lt;&gt;"تسليم",NOT(ISNUMBER($E1014))),"",COUNTIFS($A$5:$A$1504,$A1014,$D$5:$D$1504,"تسليم",$E$5:$E$1504,"&lt;"&amp;$E1014)+1)</f>
        <v/>
      </c>
      <c r="H1014" s="33" t="str">
        <f aca="false">IF($G1014="","",_xlfn.MINIFS($E$5:$E$1504,$A$5:$A$1504,$A1014,$D$5:$D$1504,"&lt;&gt;تسليم",$E$5:$E$1504,"&gt;="&amp;$E1014))</f>
        <v/>
      </c>
      <c r="I1014" s="33" t="str">
        <f aca="false">IF($G1014="","",_xlfn.MINIFS($E$5:$E$1504,$A$5:$A$1504,$A1014,$D$5:$D$1504,"تسليم",$E$5:$E$1504,"&gt;"&amp;$E1014))</f>
        <v/>
      </c>
      <c r="J1014" s="33" t="str">
        <f aca="false">IF($G1014="","",IF(H1014&gt;0,IF(I1014&gt;0,MIN(H1014,I1014),H1014),IF(I1014&gt;0,I1014,تاريخ_الاحتساب)))</f>
        <v/>
      </c>
      <c r="K1014" s="34" t="str">
        <f aca="false">IF($G1014="","",IF(AND(H1014=0,I1014=0),"جارية","مغلقة"))</f>
        <v/>
      </c>
      <c r="L1014" s="26" t="str">
        <f aca="false">IF($G1014="","",MAX(0,NETWORKDAYS.INTL($E1014,J1014,رمز_العطلة,أيام_الأجازات)-1))</f>
        <v/>
      </c>
      <c r="M1014" s="26" t="str">
        <f aca="false">IF($G1014="","",MAX(0,L1014-مهلة_المراجعة))</f>
        <v/>
      </c>
      <c r="N1014" s="30" t="str">
        <f aca="false">IF($A1014="",IF(OR($D1014&lt;&gt;"",$E1014&lt;&gt;""),"رقم المخرج ناقص",""),IF(ISNA(MATCH($A1014,قائمة_المخرجات,0)),"رقم مخرج غير موجود",IF($D1014="","نوع الحركة ناقص",IF(NOT(ISNUMBER($E1014)),"التاريخ ناقص",IF($E1014&gt;تاريخ_الاحتساب,"تاريخ بعد تاريخ الاحتساب",IF(AND($D1014&lt;&gt;"تسليم",COUNTIFS($A$5:$A$1504,$A1014,$D$5:$D$1504,"تسليم",$E$5:$E$1504,"&lt;="&amp;$E1014)=0),"لا يوجد تسليم قبل الحركة دي",""))))))</f>
        <v/>
      </c>
    </row>
    <row r="1015" customFormat="false" ht="15" hidden="false" customHeight="false" outlineLevel="0" collapsed="false">
      <c r="A1015" s="20"/>
      <c r="B1015" s="35" t="str">
        <f aca="false">IF($A1015="","",IFERROR(INDEX(مخرج_البند,MATCH($A1015,قائمة_المخرجات,0)),""))</f>
        <v/>
      </c>
      <c r="C1015" s="30" t="str">
        <f aca="false">IF($A1015="","",IFERROR(INDEX(مخرج_الوصف,MATCH($A1015,قائمة_المخرجات,0)),""))</f>
        <v/>
      </c>
      <c r="D1015" s="20"/>
      <c r="E1015" s="31"/>
      <c r="F1015" s="22"/>
      <c r="G1015" s="36" t="str">
        <f aca="false">IF(OR($A1015="",$D1015&lt;&gt;"تسليم",NOT(ISNUMBER($E1015))),"",COUNTIFS($A$5:$A$1504,$A1015,$D$5:$D$1504,"تسليم",$E$5:$E$1504,"&lt;"&amp;$E1015)+1)</f>
        <v/>
      </c>
      <c r="H1015" s="33" t="str">
        <f aca="false">IF($G1015="","",_xlfn.MINIFS($E$5:$E$1504,$A$5:$A$1504,$A1015,$D$5:$D$1504,"&lt;&gt;تسليم",$E$5:$E$1504,"&gt;="&amp;$E1015))</f>
        <v/>
      </c>
      <c r="I1015" s="33" t="str">
        <f aca="false">IF($G1015="","",_xlfn.MINIFS($E$5:$E$1504,$A$5:$A$1504,$A1015,$D$5:$D$1504,"تسليم",$E$5:$E$1504,"&gt;"&amp;$E1015))</f>
        <v/>
      </c>
      <c r="J1015" s="33" t="str">
        <f aca="false">IF($G1015="","",IF(H1015&gt;0,IF(I1015&gt;0,MIN(H1015,I1015),H1015),IF(I1015&gt;0,I1015,تاريخ_الاحتساب)))</f>
        <v/>
      </c>
      <c r="K1015" s="34" t="str">
        <f aca="false">IF($G1015="","",IF(AND(H1015=0,I1015=0),"جارية","مغلقة"))</f>
        <v/>
      </c>
      <c r="L1015" s="26" t="str">
        <f aca="false">IF($G1015="","",MAX(0,NETWORKDAYS.INTL($E1015,J1015,رمز_العطلة,أيام_الأجازات)-1))</f>
        <v/>
      </c>
      <c r="M1015" s="26" t="str">
        <f aca="false">IF($G1015="","",MAX(0,L1015-مهلة_المراجعة))</f>
        <v/>
      </c>
      <c r="N1015" s="30" t="str">
        <f aca="false">IF($A1015="",IF(OR($D1015&lt;&gt;"",$E1015&lt;&gt;""),"رقم المخرج ناقص",""),IF(ISNA(MATCH($A1015,قائمة_المخرجات,0)),"رقم مخرج غير موجود",IF($D1015="","نوع الحركة ناقص",IF(NOT(ISNUMBER($E1015)),"التاريخ ناقص",IF($E1015&gt;تاريخ_الاحتساب,"تاريخ بعد تاريخ الاحتساب",IF(AND($D1015&lt;&gt;"تسليم",COUNTIFS($A$5:$A$1504,$A1015,$D$5:$D$1504,"تسليم",$E$5:$E$1504,"&lt;="&amp;$E1015)=0),"لا يوجد تسليم قبل الحركة دي",""))))))</f>
        <v/>
      </c>
    </row>
    <row r="1016" customFormat="false" ht="15" hidden="false" customHeight="false" outlineLevel="0" collapsed="false">
      <c r="A1016" s="20"/>
      <c r="B1016" s="35" t="str">
        <f aca="false">IF($A1016="","",IFERROR(INDEX(مخرج_البند,MATCH($A1016,قائمة_المخرجات,0)),""))</f>
        <v/>
      </c>
      <c r="C1016" s="30" t="str">
        <f aca="false">IF($A1016="","",IFERROR(INDEX(مخرج_الوصف,MATCH($A1016,قائمة_المخرجات,0)),""))</f>
        <v/>
      </c>
      <c r="D1016" s="20"/>
      <c r="E1016" s="31"/>
      <c r="F1016" s="22"/>
      <c r="G1016" s="36" t="str">
        <f aca="false">IF(OR($A1016="",$D1016&lt;&gt;"تسليم",NOT(ISNUMBER($E1016))),"",COUNTIFS($A$5:$A$1504,$A1016,$D$5:$D$1504,"تسليم",$E$5:$E$1504,"&lt;"&amp;$E1016)+1)</f>
        <v/>
      </c>
      <c r="H1016" s="33" t="str">
        <f aca="false">IF($G1016="","",_xlfn.MINIFS($E$5:$E$1504,$A$5:$A$1504,$A1016,$D$5:$D$1504,"&lt;&gt;تسليم",$E$5:$E$1504,"&gt;="&amp;$E1016))</f>
        <v/>
      </c>
      <c r="I1016" s="33" t="str">
        <f aca="false">IF($G1016="","",_xlfn.MINIFS($E$5:$E$1504,$A$5:$A$1504,$A1016,$D$5:$D$1504,"تسليم",$E$5:$E$1504,"&gt;"&amp;$E1016))</f>
        <v/>
      </c>
      <c r="J1016" s="33" t="str">
        <f aca="false">IF($G1016="","",IF(H1016&gt;0,IF(I1016&gt;0,MIN(H1016,I1016),H1016),IF(I1016&gt;0,I1016,تاريخ_الاحتساب)))</f>
        <v/>
      </c>
      <c r="K1016" s="34" t="str">
        <f aca="false">IF($G1016="","",IF(AND(H1016=0,I1016=0),"جارية","مغلقة"))</f>
        <v/>
      </c>
      <c r="L1016" s="26" t="str">
        <f aca="false">IF($G1016="","",MAX(0,NETWORKDAYS.INTL($E1016,J1016,رمز_العطلة,أيام_الأجازات)-1))</f>
        <v/>
      </c>
      <c r="M1016" s="26" t="str">
        <f aca="false">IF($G1016="","",MAX(0,L1016-مهلة_المراجعة))</f>
        <v/>
      </c>
      <c r="N1016" s="30" t="str">
        <f aca="false">IF($A1016="",IF(OR($D1016&lt;&gt;"",$E1016&lt;&gt;""),"رقم المخرج ناقص",""),IF(ISNA(MATCH($A1016,قائمة_المخرجات,0)),"رقم مخرج غير موجود",IF($D1016="","نوع الحركة ناقص",IF(NOT(ISNUMBER($E1016)),"التاريخ ناقص",IF($E1016&gt;تاريخ_الاحتساب,"تاريخ بعد تاريخ الاحتساب",IF(AND($D1016&lt;&gt;"تسليم",COUNTIFS($A$5:$A$1504,$A1016,$D$5:$D$1504,"تسليم",$E$5:$E$1504,"&lt;="&amp;$E1016)=0),"لا يوجد تسليم قبل الحركة دي",""))))))</f>
        <v/>
      </c>
    </row>
    <row r="1017" customFormat="false" ht="15" hidden="false" customHeight="false" outlineLevel="0" collapsed="false">
      <c r="A1017" s="20"/>
      <c r="B1017" s="35" t="str">
        <f aca="false">IF($A1017="","",IFERROR(INDEX(مخرج_البند,MATCH($A1017,قائمة_المخرجات,0)),""))</f>
        <v/>
      </c>
      <c r="C1017" s="30" t="str">
        <f aca="false">IF($A1017="","",IFERROR(INDEX(مخرج_الوصف,MATCH($A1017,قائمة_المخرجات,0)),""))</f>
        <v/>
      </c>
      <c r="D1017" s="20"/>
      <c r="E1017" s="31"/>
      <c r="F1017" s="22"/>
      <c r="G1017" s="36" t="str">
        <f aca="false">IF(OR($A1017="",$D1017&lt;&gt;"تسليم",NOT(ISNUMBER($E1017))),"",COUNTIFS($A$5:$A$1504,$A1017,$D$5:$D$1504,"تسليم",$E$5:$E$1504,"&lt;"&amp;$E1017)+1)</f>
        <v/>
      </c>
      <c r="H1017" s="33" t="str">
        <f aca="false">IF($G1017="","",_xlfn.MINIFS($E$5:$E$1504,$A$5:$A$1504,$A1017,$D$5:$D$1504,"&lt;&gt;تسليم",$E$5:$E$1504,"&gt;="&amp;$E1017))</f>
        <v/>
      </c>
      <c r="I1017" s="33" t="str">
        <f aca="false">IF($G1017="","",_xlfn.MINIFS($E$5:$E$1504,$A$5:$A$1504,$A1017,$D$5:$D$1504,"تسليم",$E$5:$E$1504,"&gt;"&amp;$E1017))</f>
        <v/>
      </c>
      <c r="J1017" s="33" t="str">
        <f aca="false">IF($G1017="","",IF(H1017&gt;0,IF(I1017&gt;0,MIN(H1017,I1017),H1017),IF(I1017&gt;0,I1017,تاريخ_الاحتساب)))</f>
        <v/>
      </c>
      <c r="K1017" s="34" t="str">
        <f aca="false">IF($G1017="","",IF(AND(H1017=0,I1017=0),"جارية","مغلقة"))</f>
        <v/>
      </c>
      <c r="L1017" s="26" t="str">
        <f aca="false">IF($G1017="","",MAX(0,NETWORKDAYS.INTL($E1017,J1017,رمز_العطلة,أيام_الأجازات)-1))</f>
        <v/>
      </c>
      <c r="M1017" s="26" t="str">
        <f aca="false">IF($G1017="","",MAX(0,L1017-مهلة_المراجعة))</f>
        <v/>
      </c>
      <c r="N1017" s="30" t="str">
        <f aca="false">IF($A1017="",IF(OR($D1017&lt;&gt;"",$E1017&lt;&gt;""),"رقم المخرج ناقص",""),IF(ISNA(MATCH($A1017,قائمة_المخرجات,0)),"رقم مخرج غير موجود",IF($D1017="","نوع الحركة ناقص",IF(NOT(ISNUMBER($E1017)),"التاريخ ناقص",IF($E1017&gt;تاريخ_الاحتساب,"تاريخ بعد تاريخ الاحتساب",IF(AND($D1017&lt;&gt;"تسليم",COUNTIFS($A$5:$A$1504,$A1017,$D$5:$D$1504,"تسليم",$E$5:$E$1504,"&lt;="&amp;$E1017)=0),"لا يوجد تسليم قبل الحركة دي",""))))))</f>
        <v/>
      </c>
    </row>
    <row r="1018" customFormat="false" ht="15" hidden="false" customHeight="false" outlineLevel="0" collapsed="false">
      <c r="A1018" s="20"/>
      <c r="B1018" s="35" t="str">
        <f aca="false">IF($A1018="","",IFERROR(INDEX(مخرج_البند,MATCH($A1018,قائمة_المخرجات,0)),""))</f>
        <v/>
      </c>
      <c r="C1018" s="30" t="str">
        <f aca="false">IF($A1018="","",IFERROR(INDEX(مخرج_الوصف,MATCH($A1018,قائمة_المخرجات,0)),""))</f>
        <v/>
      </c>
      <c r="D1018" s="20"/>
      <c r="E1018" s="31"/>
      <c r="F1018" s="22"/>
      <c r="G1018" s="36" t="str">
        <f aca="false">IF(OR($A1018="",$D1018&lt;&gt;"تسليم",NOT(ISNUMBER($E1018))),"",COUNTIFS($A$5:$A$1504,$A1018,$D$5:$D$1504,"تسليم",$E$5:$E$1504,"&lt;"&amp;$E1018)+1)</f>
        <v/>
      </c>
      <c r="H1018" s="33" t="str">
        <f aca="false">IF($G1018="","",_xlfn.MINIFS($E$5:$E$1504,$A$5:$A$1504,$A1018,$D$5:$D$1504,"&lt;&gt;تسليم",$E$5:$E$1504,"&gt;="&amp;$E1018))</f>
        <v/>
      </c>
      <c r="I1018" s="33" t="str">
        <f aca="false">IF($G1018="","",_xlfn.MINIFS($E$5:$E$1504,$A$5:$A$1504,$A1018,$D$5:$D$1504,"تسليم",$E$5:$E$1504,"&gt;"&amp;$E1018))</f>
        <v/>
      </c>
      <c r="J1018" s="33" t="str">
        <f aca="false">IF($G1018="","",IF(H1018&gt;0,IF(I1018&gt;0,MIN(H1018,I1018),H1018),IF(I1018&gt;0,I1018,تاريخ_الاحتساب)))</f>
        <v/>
      </c>
      <c r="K1018" s="34" t="str">
        <f aca="false">IF($G1018="","",IF(AND(H1018=0,I1018=0),"جارية","مغلقة"))</f>
        <v/>
      </c>
      <c r="L1018" s="26" t="str">
        <f aca="false">IF($G1018="","",MAX(0,NETWORKDAYS.INTL($E1018,J1018,رمز_العطلة,أيام_الأجازات)-1))</f>
        <v/>
      </c>
      <c r="M1018" s="26" t="str">
        <f aca="false">IF($G1018="","",MAX(0,L1018-مهلة_المراجعة))</f>
        <v/>
      </c>
      <c r="N1018" s="30" t="str">
        <f aca="false">IF($A1018="",IF(OR($D1018&lt;&gt;"",$E1018&lt;&gt;""),"رقم المخرج ناقص",""),IF(ISNA(MATCH($A1018,قائمة_المخرجات,0)),"رقم مخرج غير موجود",IF($D1018="","نوع الحركة ناقص",IF(NOT(ISNUMBER($E1018)),"التاريخ ناقص",IF($E1018&gt;تاريخ_الاحتساب,"تاريخ بعد تاريخ الاحتساب",IF(AND($D1018&lt;&gt;"تسليم",COUNTIFS($A$5:$A$1504,$A1018,$D$5:$D$1504,"تسليم",$E$5:$E$1504,"&lt;="&amp;$E1018)=0),"لا يوجد تسليم قبل الحركة دي",""))))))</f>
        <v/>
      </c>
    </row>
    <row r="1019" customFormat="false" ht="15" hidden="false" customHeight="false" outlineLevel="0" collapsed="false">
      <c r="A1019" s="20"/>
      <c r="B1019" s="35" t="str">
        <f aca="false">IF($A1019="","",IFERROR(INDEX(مخرج_البند,MATCH($A1019,قائمة_المخرجات,0)),""))</f>
        <v/>
      </c>
      <c r="C1019" s="30" t="str">
        <f aca="false">IF($A1019="","",IFERROR(INDEX(مخرج_الوصف,MATCH($A1019,قائمة_المخرجات,0)),""))</f>
        <v/>
      </c>
      <c r="D1019" s="20"/>
      <c r="E1019" s="31"/>
      <c r="F1019" s="22"/>
      <c r="G1019" s="36" t="str">
        <f aca="false">IF(OR($A1019="",$D1019&lt;&gt;"تسليم",NOT(ISNUMBER($E1019))),"",COUNTIFS($A$5:$A$1504,$A1019,$D$5:$D$1504,"تسليم",$E$5:$E$1504,"&lt;"&amp;$E1019)+1)</f>
        <v/>
      </c>
      <c r="H1019" s="33" t="str">
        <f aca="false">IF($G1019="","",_xlfn.MINIFS($E$5:$E$1504,$A$5:$A$1504,$A1019,$D$5:$D$1504,"&lt;&gt;تسليم",$E$5:$E$1504,"&gt;="&amp;$E1019))</f>
        <v/>
      </c>
      <c r="I1019" s="33" t="str">
        <f aca="false">IF($G1019="","",_xlfn.MINIFS($E$5:$E$1504,$A$5:$A$1504,$A1019,$D$5:$D$1504,"تسليم",$E$5:$E$1504,"&gt;"&amp;$E1019))</f>
        <v/>
      </c>
      <c r="J1019" s="33" t="str">
        <f aca="false">IF($G1019="","",IF(H1019&gt;0,IF(I1019&gt;0,MIN(H1019,I1019),H1019),IF(I1019&gt;0,I1019,تاريخ_الاحتساب)))</f>
        <v/>
      </c>
      <c r="K1019" s="34" t="str">
        <f aca="false">IF($G1019="","",IF(AND(H1019=0,I1019=0),"جارية","مغلقة"))</f>
        <v/>
      </c>
      <c r="L1019" s="26" t="str">
        <f aca="false">IF($G1019="","",MAX(0,NETWORKDAYS.INTL($E1019,J1019,رمز_العطلة,أيام_الأجازات)-1))</f>
        <v/>
      </c>
      <c r="M1019" s="26" t="str">
        <f aca="false">IF($G1019="","",MAX(0,L1019-مهلة_المراجعة))</f>
        <v/>
      </c>
      <c r="N1019" s="30" t="str">
        <f aca="false">IF($A1019="",IF(OR($D1019&lt;&gt;"",$E1019&lt;&gt;""),"رقم المخرج ناقص",""),IF(ISNA(MATCH($A1019,قائمة_المخرجات,0)),"رقم مخرج غير موجود",IF($D1019="","نوع الحركة ناقص",IF(NOT(ISNUMBER($E1019)),"التاريخ ناقص",IF($E1019&gt;تاريخ_الاحتساب,"تاريخ بعد تاريخ الاحتساب",IF(AND($D1019&lt;&gt;"تسليم",COUNTIFS($A$5:$A$1504,$A1019,$D$5:$D$1504,"تسليم",$E$5:$E$1504,"&lt;="&amp;$E1019)=0),"لا يوجد تسليم قبل الحركة دي",""))))))</f>
        <v/>
      </c>
    </row>
    <row r="1020" customFormat="false" ht="15" hidden="false" customHeight="false" outlineLevel="0" collapsed="false">
      <c r="A1020" s="20"/>
      <c r="B1020" s="35" t="str">
        <f aca="false">IF($A1020="","",IFERROR(INDEX(مخرج_البند,MATCH($A1020,قائمة_المخرجات,0)),""))</f>
        <v/>
      </c>
      <c r="C1020" s="30" t="str">
        <f aca="false">IF($A1020="","",IFERROR(INDEX(مخرج_الوصف,MATCH($A1020,قائمة_المخرجات,0)),""))</f>
        <v/>
      </c>
      <c r="D1020" s="20"/>
      <c r="E1020" s="31"/>
      <c r="F1020" s="22"/>
      <c r="G1020" s="36" t="str">
        <f aca="false">IF(OR($A1020="",$D1020&lt;&gt;"تسليم",NOT(ISNUMBER($E1020))),"",COUNTIFS($A$5:$A$1504,$A1020,$D$5:$D$1504,"تسليم",$E$5:$E$1504,"&lt;"&amp;$E1020)+1)</f>
        <v/>
      </c>
      <c r="H1020" s="33" t="str">
        <f aca="false">IF($G1020="","",_xlfn.MINIFS($E$5:$E$1504,$A$5:$A$1504,$A1020,$D$5:$D$1504,"&lt;&gt;تسليم",$E$5:$E$1504,"&gt;="&amp;$E1020))</f>
        <v/>
      </c>
      <c r="I1020" s="33" t="str">
        <f aca="false">IF($G1020="","",_xlfn.MINIFS($E$5:$E$1504,$A$5:$A$1504,$A1020,$D$5:$D$1504,"تسليم",$E$5:$E$1504,"&gt;"&amp;$E1020))</f>
        <v/>
      </c>
      <c r="J1020" s="33" t="str">
        <f aca="false">IF($G1020="","",IF(H1020&gt;0,IF(I1020&gt;0,MIN(H1020,I1020),H1020),IF(I1020&gt;0,I1020,تاريخ_الاحتساب)))</f>
        <v/>
      </c>
      <c r="K1020" s="34" t="str">
        <f aca="false">IF($G1020="","",IF(AND(H1020=0,I1020=0),"جارية","مغلقة"))</f>
        <v/>
      </c>
      <c r="L1020" s="26" t="str">
        <f aca="false">IF($G1020="","",MAX(0,NETWORKDAYS.INTL($E1020,J1020,رمز_العطلة,أيام_الأجازات)-1))</f>
        <v/>
      </c>
      <c r="M1020" s="26" t="str">
        <f aca="false">IF($G1020="","",MAX(0,L1020-مهلة_المراجعة))</f>
        <v/>
      </c>
      <c r="N1020" s="30" t="str">
        <f aca="false">IF($A1020="",IF(OR($D1020&lt;&gt;"",$E1020&lt;&gt;""),"رقم المخرج ناقص",""),IF(ISNA(MATCH($A1020,قائمة_المخرجات,0)),"رقم مخرج غير موجود",IF($D1020="","نوع الحركة ناقص",IF(NOT(ISNUMBER($E1020)),"التاريخ ناقص",IF($E1020&gt;تاريخ_الاحتساب,"تاريخ بعد تاريخ الاحتساب",IF(AND($D1020&lt;&gt;"تسليم",COUNTIFS($A$5:$A$1504,$A1020,$D$5:$D$1504,"تسليم",$E$5:$E$1504,"&lt;="&amp;$E1020)=0),"لا يوجد تسليم قبل الحركة دي",""))))))</f>
        <v/>
      </c>
    </row>
    <row r="1021" customFormat="false" ht="15" hidden="false" customHeight="false" outlineLevel="0" collapsed="false">
      <c r="A1021" s="20"/>
      <c r="B1021" s="35" t="str">
        <f aca="false">IF($A1021="","",IFERROR(INDEX(مخرج_البند,MATCH($A1021,قائمة_المخرجات,0)),""))</f>
        <v/>
      </c>
      <c r="C1021" s="30" t="str">
        <f aca="false">IF($A1021="","",IFERROR(INDEX(مخرج_الوصف,MATCH($A1021,قائمة_المخرجات,0)),""))</f>
        <v/>
      </c>
      <c r="D1021" s="20"/>
      <c r="E1021" s="31"/>
      <c r="F1021" s="22"/>
      <c r="G1021" s="36" t="str">
        <f aca="false">IF(OR($A1021="",$D1021&lt;&gt;"تسليم",NOT(ISNUMBER($E1021))),"",COUNTIFS($A$5:$A$1504,$A1021,$D$5:$D$1504,"تسليم",$E$5:$E$1504,"&lt;"&amp;$E1021)+1)</f>
        <v/>
      </c>
      <c r="H1021" s="33" t="str">
        <f aca="false">IF($G1021="","",_xlfn.MINIFS($E$5:$E$1504,$A$5:$A$1504,$A1021,$D$5:$D$1504,"&lt;&gt;تسليم",$E$5:$E$1504,"&gt;="&amp;$E1021))</f>
        <v/>
      </c>
      <c r="I1021" s="33" t="str">
        <f aca="false">IF($G1021="","",_xlfn.MINIFS($E$5:$E$1504,$A$5:$A$1504,$A1021,$D$5:$D$1504,"تسليم",$E$5:$E$1504,"&gt;"&amp;$E1021))</f>
        <v/>
      </c>
      <c r="J1021" s="33" t="str">
        <f aca="false">IF($G1021="","",IF(H1021&gt;0,IF(I1021&gt;0,MIN(H1021,I1021),H1021),IF(I1021&gt;0,I1021,تاريخ_الاحتساب)))</f>
        <v/>
      </c>
      <c r="K1021" s="34" t="str">
        <f aca="false">IF($G1021="","",IF(AND(H1021=0,I1021=0),"جارية","مغلقة"))</f>
        <v/>
      </c>
      <c r="L1021" s="26" t="str">
        <f aca="false">IF($G1021="","",MAX(0,NETWORKDAYS.INTL($E1021,J1021,رمز_العطلة,أيام_الأجازات)-1))</f>
        <v/>
      </c>
      <c r="M1021" s="26" t="str">
        <f aca="false">IF($G1021="","",MAX(0,L1021-مهلة_المراجعة))</f>
        <v/>
      </c>
      <c r="N1021" s="30" t="str">
        <f aca="false">IF($A1021="",IF(OR($D1021&lt;&gt;"",$E1021&lt;&gt;""),"رقم المخرج ناقص",""),IF(ISNA(MATCH($A1021,قائمة_المخرجات,0)),"رقم مخرج غير موجود",IF($D1021="","نوع الحركة ناقص",IF(NOT(ISNUMBER($E1021)),"التاريخ ناقص",IF($E1021&gt;تاريخ_الاحتساب,"تاريخ بعد تاريخ الاحتساب",IF(AND($D1021&lt;&gt;"تسليم",COUNTIFS($A$5:$A$1504,$A1021,$D$5:$D$1504,"تسليم",$E$5:$E$1504,"&lt;="&amp;$E1021)=0),"لا يوجد تسليم قبل الحركة دي",""))))))</f>
        <v/>
      </c>
    </row>
    <row r="1022" customFormat="false" ht="15" hidden="false" customHeight="false" outlineLevel="0" collapsed="false">
      <c r="A1022" s="20"/>
      <c r="B1022" s="35" t="str">
        <f aca="false">IF($A1022="","",IFERROR(INDEX(مخرج_البند,MATCH($A1022,قائمة_المخرجات,0)),""))</f>
        <v/>
      </c>
      <c r="C1022" s="30" t="str">
        <f aca="false">IF($A1022="","",IFERROR(INDEX(مخرج_الوصف,MATCH($A1022,قائمة_المخرجات,0)),""))</f>
        <v/>
      </c>
      <c r="D1022" s="20"/>
      <c r="E1022" s="31"/>
      <c r="F1022" s="22"/>
      <c r="G1022" s="36" t="str">
        <f aca="false">IF(OR($A1022="",$D1022&lt;&gt;"تسليم",NOT(ISNUMBER($E1022))),"",COUNTIFS($A$5:$A$1504,$A1022,$D$5:$D$1504,"تسليم",$E$5:$E$1504,"&lt;"&amp;$E1022)+1)</f>
        <v/>
      </c>
      <c r="H1022" s="33" t="str">
        <f aca="false">IF($G1022="","",_xlfn.MINIFS($E$5:$E$1504,$A$5:$A$1504,$A1022,$D$5:$D$1504,"&lt;&gt;تسليم",$E$5:$E$1504,"&gt;="&amp;$E1022))</f>
        <v/>
      </c>
      <c r="I1022" s="33" t="str">
        <f aca="false">IF($G1022="","",_xlfn.MINIFS($E$5:$E$1504,$A$5:$A$1504,$A1022,$D$5:$D$1504,"تسليم",$E$5:$E$1504,"&gt;"&amp;$E1022))</f>
        <v/>
      </c>
      <c r="J1022" s="33" t="str">
        <f aca="false">IF($G1022="","",IF(H1022&gt;0,IF(I1022&gt;0,MIN(H1022,I1022),H1022),IF(I1022&gt;0,I1022,تاريخ_الاحتساب)))</f>
        <v/>
      </c>
      <c r="K1022" s="34" t="str">
        <f aca="false">IF($G1022="","",IF(AND(H1022=0,I1022=0),"جارية","مغلقة"))</f>
        <v/>
      </c>
      <c r="L1022" s="26" t="str">
        <f aca="false">IF($G1022="","",MAX(0,NETWORKDAYS.INTL($E1022,J1022,رمز_العطلة,أيام_الأجازات)-1))</f>
        <v/>
      </c>
      <c r="M1022" s="26" t="str">
        <f aca="false">IF($G1022="","",MAX(0,L1022-مهلة_المراجعة))</f>
        <v/>
      </c>
      <c r="N1022" s="30" t="str">
        <f aca="false">IF($A1022="",IF(OR($D1022&lt;&gt;"",$E1022&lt;&gt;""),"رقم المخرج ناقص",""),IF(ISNA(MATCH($A1022,قائمة_المخرجات,0)),"رقم مخرج غير موجود",IF($D1022="","نوع الحركة ناقص",IF(NOT(ISNUMBER($E1022)),"التاريخ ناقص",IF($E1022&gt;تاريخ_الاحتساب,"تاريخ بعد تاريخ الاحتساب",IF(AND($D1022&lt;&gt;"تسليم",COUNTIFS($A$5:$A$1504,$A1022,$D$5:$D$1504,"تسليم",$E$5:$E$1504,"&lt;="&amp;$E1022)=0),"لا يوجد تسليم قبل الحركة دي",""))))))</f>
        <v/>
      </c>
    </row>
    <row r="1023" customFormat="false" ht="15" hidden="false" customHeight="false" outlineLevel="0" collapsed="false">
      <c r="A1023" s="20"/>
      <c r="B1023" s="35" t="str">
        <f aca="false">IF($A1023="","",IFERROR(INDEX(مخرج_البند,MATCH($A1023,قائمة_المخرجات,0)),""))</f>
        <v/>
      </c>
      <c r="C1023" s="30" t="str">
        <f aca="false">IF($A1023="","",IFERROR(INDEX(مخرج_الوصف,MATCH($A1023,قائمة_المخرجات,0)),""))</f>
        <v/>
      </c>
      <c r="D1023" s="20"/>
      <c r="E1023" s="31"/>
      <c r="F1023" s="22"/>
      <c r="G1023" s="36" t="str">
        <f aca="false">IF(OR($A1023="",$D1023&lt;&gt;"تسليم",NOT(ISNUMBER($E1023))),"",COUNTIFS($A$5:$A$1504,$A1023,$D$5:$D$1504,"تسليم",$E$5:$E$1504,"&lt;"&amp;$E1023)+1)</f>
        <v/>
      </c>
      <c r="H1023" s="33" t="str">
        <f aca="false">IF($G1023="","",_xlfn.MINIFS($E$5:$E$1504,$A$5:$A$1504,$A1023,$D$5:$D$1504,"&lt;&gt;تسليم",$E$5:$E$1504,"&gt;="&amp;$E1023))</f>
        <v/>
      </c>
      <c r="I1023" s="33" t="str">
        <f aca="false">IF($G1023="","",_xlfn.MINIFS($E$5:$E$1504,$A$5:$A$1504,$A1023,$D$5:$D$1504,"تسليم",$E$5:$E$1504,"&gt;"&amp;$E1023))</f>
        <v/>
      </c>
      <c r="J1023" s="33" t="str">
        <f aca="false">IF($G1023="","",IF(H1023&gt;0,IF(I1023&gt;0,MIN(H1023,I1023),H1023),IF(I1023&gt;0,I1023,تاريخ_الاحتساب)))</f>
        <v/>
      </c>
      <c r="K1023" s="34" t="str">
        <f aca="false">IF($G1023="","",IF(AND(H1023=0,I1023=0),"جارية","مغلقة"))</f>
        <v/>
      </c>
      <c r="L1023" s="26" t="str">
        <f aca="false">IF($G1023="","",MAX(0,NETWORKDAYS.INTL($E1023,J1023,رمز_العطلة,أيام_الأجازات)-1))</f>
        <v/>
      </c>
      <c r="M1023" s="26" t="str">
        <f aca="false">IF($G1023="","",MAX(0,L1023-مهلة_المراجعة))</f>
        <v/>
      </c>
      <c r="N1023" s="30" t="str">
        <f aca="false">IF($A1023="",IF(OR($D1023&lt;&gt;"",$E1023&lt;&gt;""),"رقم المخرج ناقص",""),IF(ISNA(MATCH($A1023,قائمة_المخرجات,0)),"رقم مخرج غير موجود",IF($D1023="","نوع الحركة ناقص",IF(NOT(ISNUMBER($E1023)),"التاريخ ناقص",IF($E1023&gt;تاريخ_الاحتساب,"تاريخ بعد تاريخ الاحتساب",IF(AND($D1023&lt;&gt;"تسليم",COUNTIFS($A$5:$A$1504,$A1023,$D$5:$D$1504,"تسليم",$E$5:$E$1504,"&lt;="&amp;$E1023)=0),"لا يوجد تسليم قبل الحركة دي",""))))))</f>
        <v/>
      </c>
    </row>
    <row r="1024" customFormat="false" ht="15" hidden="false" customHeight="false" outlineLevel="0" collapsed="false">
      <c r="A1024" s="20"/>
      <c r="B1024" s="35" t="str">
        <f aca="false">IF($A1024="","",IFERROR(INDEX(مخرج_البند,MATCH($A1024,قائمة_المخرجات,0)),""))</f>
        <v/>
      </c>
      <c r="C1024" s="30" t="str">
        <f aca="false">IF($A1024="","",IFERROR(INDEX(مخرج_الوصف,MATCH($A1024,قائمة_المخرجات,0)),""))</f>
        <v/>
      </c>
      <c r="D1024" s="20"/>
      <c r="E1024" s="31"/>
      <c r="F1024" s="22"/>
      <c r="G1024" s="36" t="str">
        <f aca="false">IF(OR($A1024="",$D1024&lt;&gt;"تسليم",NOT(ISNUMBER($E1024))),"",COUNTIFS($A$5:$A$1504,$A1024,$D$5:$D$1504,"تسليم",$E$5:$E$1504,"&lt;"&amp;$E1024)+1)</f>
        <v/>
      </c>
      <c r="H1024" s="33" t="str">
        <f aca="false">IF($G1024="","",_xlfn.MINIFS($E$5:$E$1504,$A$5:$A$1504,$A1024,$D$5:$D$1504,"&lt;&gt;تسليم",$E$5:$E$1504,"&gt;="&amp;$E1024))</f>
        <v/>
      </c>
      <c r="I1024" s="33" t="str">
        <f aca="false">IF($G1024="","",_xlfn.MINIFS($E$5:$E$1504,$A$5:$A$1504,$A1024,$D$5:$D$1504,"تسليم",$E$5:$E$1504,"&gt;"&amp;$E1024))</f>
        <v/>
      </c>
      <c r="J1024" s="33" t="str">
        <f aca="false">IF($G1024="","",IF(H1024&gt;0,IF(I1024&gt;0,MIN(H1024,I1024),H1024),IF(I1024&gt;0,I1024,تاريخ_الاحتساب)))</f>
        <v/>
      </c>
      <c r="K1024" s="34" t="str">
        <f aca="false">IF($G1024="","",IF(AND(H1024=0,I1024=0),"جارية","مغلقة"))</f>
        <v/>
      </c>
      <c r="L1024" s="26" t="str">
        <f aca="false">IF($G1024="","",MAX(0,NETWORKDAYS.INTL($E1024,J1024,رمز_العطلة,أيام_الأجازات)-1))</f>
        <v/>
      </c>
      <c r="M1024" s="26" t="str">
        <f aca="false">IF($G1024="","",MAX(0,L1024-مهلة_المراجعة))</f>
        <v/>
      </c>
      <c r="N1024" s="30" t="str">
        <f aca="false">IF($A1024="",IF(OR($D1024&lt;&gt;"",$E1024&lt;&gt;""),"رقم المخرج ناقص",""),IF(ISNA(MATCH($A1024,قائمة_المخرجات,0)),"رقم مخرج غير موجود",IF($D1024="","نوع الحركة ناقص",IF(NOT(ISNUMBER($E1024)),"التاريخ ناقص",IF($E1024&gt;تاريخ_الاحتساب,"تاريخ بعد تاريخ الاحتساب",IF(AND($D1024&lt;&gt;"تسليم",COUNTIFS($A$5:$A$1504,$A1024,$D$5:$D$1504,"تسليم",$E$5:$E$1504,"&lt;="&amp;$E1024)=0),"لا يوجد تسليم قبل الحركة دي",""))))))</f>
        <v/>
      </c>
    </row>
    <row r="1025" customFormat="false" ht="15" hidden="false" customHeight="false" outlineLevel="0" collapsed="false">
      <c r="A1025" s="20"/>
      <c r="B1025" s="35" t="str">
        <f aca="false">IF($A1025="","",IFERROR(INDEX(مخرج_البند,MATCH($A1025,قائمة_المخرجات,0)),""))</f>
        <v/>
      </c>
      <c r="C1025" s="30" t="str">
        <f aca="false">IF($A1025="","",IFERROR(INDEX(مخرج_الوصف,MATCH($A1025,قائمة_المخرجات,0)),""))</f>
        <v/>
      </c>
      <c r="D1025" s="20"/>
      <c r="E1025" s="31"/>
      <c r="F1025" s="22"/>
      <c r="G1025" s="36" t="str">
        <f aca="false">IF(OR($A1025="",$D1025&lt;&gt;"تسليم",NOT(ISNUMBER($E1025))),"",COUNTIFS($A$5:$A$1504,$A1025,$D$5:$D$1504,"تسليم",$E$5:$E$1504,"&lt;"&amp;$E1025)+1)</f>
        <v/>
      </c>
      <c r="H1025" s="33" t="str">
        <f aca="false">IF($G1025="","",_xlfn.MINIFS($E$5:$E$1504,$A$5:$A$1504,$A1025,$D$5:$D$1504,"&lt;&gt;تسليم",$E$5:$E$1504,"&gt;="&amp;$E1025))</f>
        <v/>
      </c>
      <c r="I1025" s="33" t="str">
        <f aca="false">IF($G1025="","",_xlfn.MINIFS($E$5:$E$1504,$A$5:$A$1504,$A1025,$D$5:$D$1504,"تسليم",$E$5:$E$1504,"&gt;"&amp;$E1025))</f>
        <v/>
      </c>
      <c r="J1025" s="33" t="str">
        <f aca="false">IF($G1025="","",IF(H1025&gt;0,IF(I1025&gt;0,MIN(H1025,I1025),H1025),IF(I1025&gt;0,I1025,تاريخ_الاحتساب)))</f>
        <v/>
      </c>
      <c r="K1025" s="34" t="str">
        <f aca="false">IF($G1025="","",IF(AND(H1025=0,I1025=0),"جارية","مغلقة"))</f>
        <v/>
      </c>
      <c r="L1025" s="26" t="str">
        <f aca="false">IF($G1025="","",MAX(0,NETWORKDAYS.INTL($E1025,J1025,رمز_العطلة,أيام_الأجازات)-1))</f>
        <v/>
      </c>
      <c r="M1025" s="26" t="str">
        <f aca="false">IF($G1025="","",MAX(0,L1025-مهلة_المراجعة))</f>
        <v/>
      </c>
      <c r="N1025" s="30" t="str">
        <f aca="false">IF($A1025="",IF(OR($D1025&lt;&gt;"",$E1025&lt;&gt;""),"رقم المخرج ناقص",""),IF(ISNA(MATCH($A1025,قائمة_المخرجات,0)),"رقم مخرج غير موجود",IF($D1025="","نوع الحركة ناقص",IF(NOT(ISNUMBER($E1025)),"التاريخ ناقص",IF($E1025&gt;تاريخ_الاحتساب,"تاريخ بعد تاريخ الاحتساب",IF(AND($D1025&lt;&gt;"تسليم",COUNTIFS($A$5:$A$1504,$A1025,$D$5:$D$1504,"تسليم",$E$5:$E$1504,"&lt;="&amp;$E1025)=0),"لا يوجد تسليم قبل الحركة دي",""))))))</f>
        <v/>
      </c>
    </row>
    <row r="1026" customFormat="false" ht="15" hidden="false" customHeight="false" outlineLevel="0" collapsed="false">
      <c r="A1026" s="20"/>
      <c r="B1026" s="35" t="str">
        <f aca="false">IF($A1026="","",IFERROR(INDEX(مخرج_البند,MATCH($A1026,قائمة_المخرجات,0)),""))</f>
        <v/>
      </c>
      <c r="C1026" s="30" t="str">
        <f aca="false">IF($A1026="","",IFERROR(INDEX(مخرج_الوصف,MATCH($A1026,قائمة_المخرجات,0)),""))</f>
        <v/>
      </c>
      <c r="D1026" s="20"/>
      <c r="E1026" s="31"/>
      <c r="F1026" s="22"/>
      <c r="G1026" s="36" t="str">
        <f aca="false">IF(OR($A1026="",$D1026&lt;&gt;"تسليم",NOT(ISNUMBER($E1026))),"",COUNTIFS($A$5:$A$1504,$A1026,$D$5:$D$1504,"تسليم",$E$5:$E$1504,"&lt;"&amp;$E1026)+1)</f>
        <v/>
      </c>
      <c r="H1026" s="33" t="str">
        <f aca="false">IF($G1026="","",_xlfn.MINIFS($E$5:$E$1504,$A$5:$A$1504,$A1026,$D$5:$D$1504,"&lt;&gt;تسليم",$E$5:$E$1504,"&gt;="&amp;$E1026))</f>
        <v/>
      </c>
      <c r="I1026" s="33" t="str">
        <f aca="false">IF($G1026="","",_xlfn.MINIFS($E$5:$E$1504,$A$5:$A$1504,$A1026,$D$5:$D$1504,"تسليم",$E$5:$E$1504,"&gt;"&amp;$E1026))</f>
        <v/>
      </c>
      <c r="J1026" s="33" t="str">
        <f aca="false">IF($G1026="","",IF(H1026&gt;0,IF(I1026&gt;0,MIN(H1026,I1026),H1026),IF(I1026&gt;0,I1026,تاريخ_الاحتساب)))</f>
        <v/>
      </c>
      <c r="K1026" s="34" t="str">
        <f aca="false">IF($G1026="","",IF(AND(H1026=0,I1026=0),"جارية","مغلقة"))</f>
        <v/>
      </c>
      <c r="L1026" s="26" t="str">
        <f aca="false">IF($G1026="","",MAX(0,NETWORKDAYS.INTL($E1026,J1026,رمز_العطلة,أيام_الأجازات)-1))</f>
        <v/>
      </c>
      <c r="M1026" s="26" t="str">
        <f aca="false">IF($G1026="","",MAX(0,L1026-مهلة_المراجعة))</f>
        <v/>
      </c>
      <c r="N1026" s="30" t="str">
        <f aca="false">IF($A1026="",IF(OR($D1026&lt;&gt;"",$E1026&lt;&gt;""),"رقم المخرج ناقص",""),IF(ISNA(MATCH($A1026,قائمة_المخرجات,0)),"رقم مخرج غير موجود",IF($D1026="","نوع الحركة ناقص",IF(NOT(ISNUMBER($E1026)),"التاريخ ناقص",IF($E1026&gt;تاريخ_الاحتساب,"تاريخ بعد تاريخ الاحتساب",IF(AND($D1026&lt;&gt;"تسليم",COUNTIFS($A$5:$A$1504,$A1026,$D$5:$D$1504,"تسليم",$E$5:$E$1504,"&lt;="&amp;$E1026)=0),"لا يوجد تسليم قبل الحركة دي",""))))))</f>
        <v/>
      </c>
    </row>
    <row r="1027" customFormat="false" ht="15" hidden="false" customHeight="false" outlineLevel="0" collapsed="false">
      <c r="A1027" s="20"/>
      <c r="B1027" s="35" t="str">
        <f aca="false">IF($A1027="","",IFERROR(INDEX(مخرج_البند,MATCH($A1027,قائمة_المخرجات,0)),""))</f>
        <v/>
      </c>
      <c r="C1027" s="30" t="str">
        <f aca="false">IF($A1027="","",IFERROR(INDEX(مخرج_الوصف,MATCH($A1027,قائمة_المخرجات,0)),""))</f>
        <v/>
      </c>
      <c r="D1027" s="20"/>
      <c r="E1027" s="31"/>
      <c r="F1027" s="22"/>
      <c r="G1027" s="36" t="str">
        <f aca="false">IF(OR($A1027="",$D1027&lt;&gt;"تسليم",NOT(ISNUMBER($E1027))),"",COUNTIFS($A$5:$A$1504,$A1027,$D$5:$D$1504,"تسليم",$E$5:$E$1504,"&lt;"&amp;$E1027)+1)</f>
        <v/>
      </c>
      <c r="H1027" s="33" t="str">
        <f aca="false">IF($G1027="","",_xlfn.MINIFS($E$5:$E$1504,$A$5:$A$1504,$A1027,$D$5:$D$1504,"&lt;&gt;تسليم",$E$5:$E$1504,"&gt;="&amp;$E1027))</f>
        <v/>
      </c>
      <c r="I1027" s="33" t="str">
        <f aca="false">IF($G1027="","",_xlfn.MINIFS($E$5:$E$1504,$A$5:$A$1504,$A1027,$D$5:$D$1504,"تسليم",$E$5:$E$1504,"&gt;"&amp;$E1027))</f>
        <v/>
      </c>
      <c r="J1027" s="33" t="str">
        <f aca="false">IF($G1027="","",IF(H1027&gt;0,IF(I1027&gt;0,MIN(H1027,I1027),H1027),IF(I1027&gt;0,I1027,تاريخ_الاحتساب)))</f>
        <v/>
      </c>
      <c r="K1027" s="34" t="str">
        <f aca="false">IF($G1027="","",IF(AND(H1027=0,I1027=0),"جارية","مغلقة"))</f>
        <v/>
      </c>
      <c r="L1027" s="26" t="str">
        <f aca="false">IF($G1027="","",MAX(0,NETWORKDAYS.INTL($E1027,J1027,رمز_العطلة,أيام_الأجازات)-1))</f>
        <v/>
      </c>
      <c r="M1027" s="26" t="str">
        <f aca="false">IF($G1027="","",MAX(0,L1027-مهلة_المراجعة))</f>
        <v/>
      </c>
      <c r="N1027" s="30" t="str">
        <f aca="false">IF($A1027="",IF(OR($D1027&lt;&gt;"",$E1027&lt;&gt;""),"رقم المخرج ناقص",""),IF(ISNA(MATCH($A1027,قائمة_المخرجات,0)),"رقم مخرج غير موجود",IF($D1027="","نوع الحركة ناقص",IF(NOT(ISNUMBER($E1027)),"التاريخ ناقص",IF($E1027&gt;تاريخ_الاحتساب,"تاريخ بعد تاريخ الاحتساب",IF(AND($D1027&lt;&gt;"تسليم",COUNTIFS($A$5:$A$1504,$A1027,$D$5:$D$1504,"تسليم",$E$5:$E$1504,"&lt;="&amp;$E1027)=0),"لا يوجد تسليم قبل الحركة دي",""))))))</f>
        <v/>
      </c>
    </row>
    <row r="1028" customFormat="false" ht="15" hidden="false" customHeight="false" outlineLevel="0" collapsed="false">
      <c r="A1028" s="20"/>
      <c r="B1028" s="35" t="str">
        <f aca="false">IF($A1028="","",IFERROR(INDEX(مخرج_البند,MATCH($A1028,قائمة_المخرجات,0)),""))</f>
        <v/>
      </c>
      <c r="C1028" s="30" t="str">
        <f aca="false">IF($A1028="","",IFERROR(INDEX(مخرج_الوصف,MATCH($A1028,قائمة_المخرجات,0)),""))</f>
        <v/>
      </c>
      <c r="D1028" s="20"/>
      <c r="E1028" s="31"/>
      <c r="F1028" s="22"/>
      <c r="G1028" s="36" t="str">
        <f aca="false">IF(OR($A1028="",$D1028&lt;&gt;"تسليم",NOT(ISNUMBER($E1028))),"",COUNTIFS($A$5:$A$1504,$A1028,$D$5:$D$1504,"تسليم",$E$5:$E$1504,"&lt;"&amp;$E1028)+1)</f>
        <v/>
      </c>
      <c r="H1028" s="33" t="str">
        <f aca="false">IF($G1028="","",_xlfn.MINIFS($E$5:$E$1504,$A$5:$A$1504,$A1028,$D$5:$D$1504,"&lt;&gt;تسليم",$E$5:$E$1504,"&gt;="&amp;$E1028))</f>
        <v/>
      </c>
      <c r="I1028" s="33" t="str">
        <f aca="false">IF($G1028="","",_xlfn.MINIFS($E$5:$E$1504,$A$5:$A$1504,$A1028,$D$5:$D$1504,"تسليم",$E$5:$E$1504,"&gt;"&amp;$E1028))</f>
        <v/>
      </c>
      <c r="J1028" s="33" t="str">
        <f aca="false">IF($G1028="","",IF(H1028&gt;0,IF(I1028&gt;0,MIN(H1028,I1028),H1028),IF(I1028&gt;0,I1028,تاريخ_الاحتساب)))</f>
        <v/>
      </c>
      <c r="K1028" s="34" t="str">
        <f aca="false">IF($G1028="","",IF(AND(H1028=0,I1028=0),"جارية","مغلقة"))</f>
        <v/>
      </c>
      <c r="L1028" s="26" t="str">
        <f aca="false">IF($G1028="","",MAX(0,NETWORKDAYS.INTL($E1028,J1028,رمز_العطلة,أيام_الأجازات)-1))</f>
        <v/>
      </c>
      <c r="M1028" s="26" t="str">
        <f aca="false">IF($G1028="","",MAX(0,L1028-مهلة_المراجعة))</f>
        <v/>
      </c>
      <c r="N1028" s="30" t="str">
        <f aca="false">IF($A1028="",IF(OR($D1028&lt;&gt;"",$E1028&lt;&gt;""),"رقم المخرج ناقص",""),IF(ISNA(MATCH($A1028,قائمة_المخرجات,0)),"رقم مخرج غير موجود",IF($D1028="","نوع الحركة ناقص",IF(NOT(ISNUMBER($E1028)),"التاريخ ناقص",IF($E1028&gt;تاريخ_الاحتساب,"تاريخ بعد تاريخ الاحتساب",IF(AND($D1028&lt;&gt;"تسليم",COUNTIFS($A$5:$A$1504,$A1028,$D$5:$D$1504,"تسليم",$E$5:$E$1504,"&lt;="&amp;$E1028)=0),"لا يوجد تسليم قبل الحركة دي",""))))))</f>
        <v/>
      </c>
    </row>
    <row r="1029" customFormat="false" ht="15" hidden="false" customHeight="false" outlineLevel="0" collapsed="false">
      <c r="A1029" s="20"/>
      <c r="B1029" s="35" t="str">
        <f aca="false">IF($A1029="","",IFERROR(INDEX(مخرج_البند,MATCH($A1029,قائمة_المخرجات,0)),""))</f>
        <v/>
      </c>
      <c r="C1029" s="30" t="str">
        <f aca="false">IF($A1029="","",IFERROR(INDEX(مخرج_الوصف,MATCH($A1029,قائمة_المخرجات,0)),""))</f>
        <v/>
      </c>
      <c r="D1029" s="20"/>
      <c r="E1029" s="31"/>
      <c r="F1029" s="22"/>
      <c r="G1029" s="36" t="str">
        <f aca="false">IF(OR($A1029="",$D1029&lt;&gt;"تسليم",NOT(ISNUMBER($E1029))),"",COUNTIFS($A$5:$A$1504,$A1029,$D$5:$D$1504,"تسليم",$E$5:$E$1504,"&lt;"&amp;$E1029)+1)</f>
        <v/>
      </c>
      <c r="H1029" s="33" t="str">
        <f aca="false">IF($G1029="","",_xlfn.MINIFS($E$5:$E$1504,$A$5:$A$1504,$A1029,$D$5:$D$1504,"&lt;&gt;تسليم",$E$5:$E$1504,"&gt;="&amp;$E1029))</f>
        <v/>
      </c>
      <c r="I1029" s="33" t="str">
        <f aca="false">IF($G1029="","",_xlfn.MINIFS($E$5:$E$1504,$A$5:$A$1504,$A1029,$D$5:$D$1504,"تسليم",$E$5:$E$1504,"&gt;"&amp;$E1029))</f>
        <v/>
      </c>
      <c r="J1029" s="33" t="str">
        <f aca="false">IF($G1029="","",IF(H1029&gt;0,IF(I1029&gt;0,MIN(H1029,I1029),H1029),IF(I1029&gt;0,I1029,تاريخ_الاحتساب)))</f>
        <v/>
      </c>
      <c r="K1029" s="34" t="str">
        <f aca="false">IF($G1029="","",IF(AND(H1029=0,I1029=0),"جارية","مغلقة"))</f>
        <v/>
      </c>
      <c r="L1029" s="26" t="str">
        <f aca="false">IF($G1029="","",MAX(0,NETWORKDAYS.INTL($E1029,J1029,رمز_العطلة,أيام_الأجازات)-1))</f>
        <v/>
      </c>
      <c r="M1029" s="26" t="str">
        <f aca="false">IF($G1029="","",MAX(0,L1029-مهلة_المراجعة))</f>
        <v/>
      </c>
      <c r="N1029" s="30" t="str">
        <f aca="false">IF($A1029="",IF(OR($D1029&lt;&gt;"",$E1029&lt;&gt;""),"رقم المخرج ناقص",""),IF(ISNA(MATCH($A1029,قائمة_المخرجات,0)),"رقم مخرج غير موجود",IF($D1029="","نوع الحركة ناقص",IF(NOT(ISNUMBER($E1029)),"التاريخ ناقص",IF($E1029&gt;تاريخ_الاحتساب,"تاريخ بعد تاريخ الاحتساب",IF(AND($D1029&lt;&gt;"تسليم",COUNTIFS($A$5:$A$1504,$A1029,$D$5:$D$1504,"تسليم",$E$5:$E$1504,"&lt;="&amp;$E1029)=0),"لا يوجد تسليم قبل الحركة دي",""))))))</f>
        <v/>
      </c>
    </row>
    <row r="1030" customFormat="false" ht="15" hidden="false" customHeight="false" outlineLevel="0" collapsed="false">
      <c r="A1030" s="20"/>
      <c r="B1030" s="35" t="str">
        <f aca="false">IF($A1030="","",IFERROR(INDEX(مخرج_البند,MATCH($A1030,قائمة_المخرجات,0)),""))</f>
        <v/>
      </c>
      <c r="C1030" s="30" t="str">
        <f aca="false">IF($A1030="","",IFERROR(INDEX(مخرج_الوصف,MATCH($A1030,قائمة_المخرجات,0)),""))</f>
        <v/>
      </c>
      <c r="D1030" s="20"/>
      <c r="E1030" s="31"/>
      <c r="F1030" s="22"/>
      <c r="G1030" s="36" t="str">
        <f aca="false">IF(OR($A1030="",$D1030&lt;&gt;"تسليم",NOT(ISNUMBER($E1030))),"",COUNTIFS($A$5:$A$1504,$A1030,$D$5:$D$1504,"تسليم",$E$5:$E$1504,"&lt;"&amp;$E1030)+1)</f>
        <v/>
      </c>
      <c r="H1030" s="33" t="str">
        <f aca="false">IF($G1030="","",_xlfn.MINIFS($E$5:$E$1504,$A$5:$A$1504,$A1030,$D$5:$D$1504,"&lt;&gt;تسليم",$E$5:$E$1504,"&gt;="&amp;$E1030))</f>
        <v/>
      </c>
      <c r="I1030" s="33" t="str">
        <f aca="false">IF($G1030="","",_xlfn.MINIFS($E$5:$E$1504,$A$5:$A$1504,$A1030,$D$5:$D$1504,"تسليم",$E$5:$E$1504,"&gt;"&amp;$E1030))</f>
        <v/>
      </c>
      <c r="J1030" s="33" t="str">
        <f aca="false">IF($G1030="","",IF(H1030&gt;0,IF(I1030&gt;0,MIN(H1030,I1030),H1030),IF(I1030&gt;0,I1030,تاريخ_الاحتساب)))</f>
        <v/>
      </c>
      <c r="K1030" s="34" t="str">
        <f aca="false">IF($G1030="","",IF(AND(H1030=0,I1030=0),"جارية","مغلقة"))</f>
        <v/>
      </c>
      <c r="L1030" s="26" t="str">
        <f aca="false">IF($G1030="","",MAX(0,NETWORKDAYS.INTL($E1030,J1030,رمز_العطلة,أيام_الأجازات)-1))</f>
        <v/>
      </c>
      <c r="M1030" s="26" t="str">
        <f aca="false">IF($G1030="","",MAX(0,L1030-مهلة_المراجعة))</f>
        <v/>
      </c>
      <c r="N1030" s="30" t="str">
        <f aca="false">IF($A1030="",IF(OR($D1030&lt;&gt;"",$E1030&lt;&gt;""),"رقم المخرج ناقص",""),IF(ISNA(MATCH($A1030,قائمة_المخرجات,0)),"رقم مخرج غير موجود",IF($D1030="","نوع الحركة ناقص",IF(NOT(ISNUMBER($E1030)),"التاريخ ناقص",IF($E1030&gt;تاريخ_الاحتساب,"تاريخ بعد تاريخ الاحتساب",IF(AND($D1030&lt;&gt;"تسليم",COUNTIFS($A$5:$A$1504,$A1030,$D$5:$D$1504,"تسليم",$E$5:$E$1504,"&lt;="&amp;$E1030)=0),"لا يوجد تسليم قبل الحركة دي",""))))))</f>
        <v/>
      </c>
    </row>
    <row r="1031" customFormat="false" ht="15" hidden="false" customHeight="false" outlineLevel="0" collapsed="false">
      <c r="A1031" s="20"/>
      <c r="B1031" s="35" t="str">
        <f aca="false">IF($A1031="","",IFERROR(INDEX(مخرج_البند,MATCH($A1031,قائمة_المخرجات,0)),""))</f>
        <v/>
      </c>
      <c r="C1031" s="30" t="str">
        <f aca="false">IF($A1031="","",IFERROR(INDEX(مخرج_الوصف,MATCH($A1031,قائمة_المخرجات,0)),""))</f>
        <v/>
      </c>
      <c r="D1031" s="20"/>
      <c r="E1031" s="31"/>
      <c r="F1031" s="22"/>
      <c r="G1031" s="36" t="str">
        <f aca="false">IF(OR($A1031="",$D1031&lt;&gt;"تسليم",NOT(ISNUMBER($E1031))),"",COUNTIFS($A$5:$A$1504,$A1031,$D$5:$D$1504,"تسليم",$E$5:$E$1504,"&lt;"&amp;$E1031)+1)</f>
        <v/>
      </c>
      <c r="H1031" s="33" t="str">
        <f aca="false">IF($G1031="","",_xlfn.MINIFS($E$5:$E$1504,$A$5:$A$1504,$A1031,$D$5:$D$1504,"&lt;&gt;تسليم",$E$5:$E$1504,"&gt;="&amp;$E1031))</f>
        <v/>
      </c>
      <c r="I1031" s="33" t="str">
        <f aca="false">IF($G1031="","",_xlfn.MINIFS($E$5:$E$1504,$A$5:$A$1504,$A1031,$D$5:$D$1504,"تسليم",$E$5:$E$1504,"&gt;"&amp;$E1031))</f>
        <v/>
      </c>
      <c r="J1031" s="33" t="str">
        <f aca="false">IF($G1031="","",IF(H1031&gt;0,IF(I1031&gt;0,MIN(H1031,I1031),H1031),IF(I1031&gt;0,I1031,تاريخ_الاحتساب)))</f>
        <v/>
      </c>
      <c r="K1031" s="34" t="str">
        <f aca="false">IF($G1031="","",IF(AND(H1031=0,I1031=0),"جارية","مغلقة"))</f>
        <v/>
      </c>
      <c r="L1031" s="26" t="str">
        <f aca="false">IF($G1031="","",MAX(0,NETWORKDAYS.INTL($E1031,J1031,رمز_العطلة,أيام_الأجازات)-1))</f>
        <v/>
      </c>
      <c r="M1031" s="26" t="str">
        <f aca="false">IF($G1031="","",MAX(0,L1031-مهلة_المراجعة))</f>
        <v/>
      </c>
      <c r="N1031" s="30" t="str">
        <f aca="false">IF($A1031="",IF(OR($D1031&lt;&gt;"",$E1031&lt;&gt;""),"رقم المخرج ناقص",""),IF(ISNA(MATCH($A1031,قائمة_المخرجات,0)),"رقم مخرج غير موجود",IF($D1031="","نوع الحركة ناقص",IF(NOT(ISNUMBER($E1031)),"التاريخ ناقص",IF($E1031&gt;تاريخ_الاحتساب,"تاريخ بعد تاريخ الاحتساب",IF(AND($D1031&lt;&gt;"تسليم",COUNTIFS($A$5:$A$1504,$A1031,$D$5:$D$1504,"تسليم",$E$5:$E$1504,"&lt;="&amp;$E1031)=0),"لا يوجد تسليم قبل الحركة دي",""))))))</f>
        <v/>
      </c>
    </row>
    <row r="1032" customFormat="false" ht="15" hidden="false" customHeight="false" outlineLevel="0" collapsed="false">
      <c r="A1032" s="20"/>
      <c r="B1032" s="35" t="str">
        <f aca="false">IF($A1032="","",IFERROR(INDEX(مخرج_البند,MATCH($A1032,قائمة_المخرجات,0)),""))</f>
        <v/>
      </c>
      <c r="C1032" s="30" t="str">
        <f aca="false">IF($A1032="","",IFERROR(INDEX(مخرج_الوصف,MATCH($A1032,قائمة_المخرجات,0)),""))</f>
        <v/>
      </c>
      <c r="D1032" s="20"/>
      <c r="E1032" s="31"/>
      <c r="F1032" s="22"/>
      <c r="G1032" s="36" t="str">
        <f aca="false">IF(OR($A1032="",$D1032&lt;&gt;"تسليم",NOT(ISNUMBER($E1032))),"",COUNTIFS($A$5:$A$1504,$A1032,$D$5:$D$1504,"تسليم",$E$5:$E$1504,"&lt;"&amp;$E1032)+1)</f>
        <v/>
      </c>
      <c r="H1032" s="33" t="str">
        <f aca="false">IF($G1032="","",_xlfn.MINIFS($E$5:$E$1504,$A$5:$A$1504,$A1032,$D$5:$D$1504,"&lt;&gt;تسليم",$E$5:$E$1504,"&gt;="&amp;$E1032))</f>
        <v/>
      </c>
      <c r="I1032" s="33" t="str">
        <f aca="false">IF($G1032="","",_xlfn.MINIFS($E$5:$E$1504,$A$5:$A$1504,$A1032,$D$5:$D$1504,"تسليم",$E$5:$E$1504,"&gt;"&amp;$E1032))</f>
        <v/>
      </c>
      <c r="J1032" s="33" t="str">
        <f aca="false">IF($G1032="","",IF(H1032&gt;0,IF(I1032&gt;0,MIN(H1032,I1032),H1032),IF(I1032&gt;0,I1032,تاريخ_الاحتساب)))</f>
        <v/>
      </c>
      <c r="K1032" s="34" t="str">
        <f aca="false">IF($G1032="","",IF(AND(H1032=0,I1032=0),"جارية","مغلقة"))</f>
        <v/>
      </c>
      <c r="L1032" s="26" t="str">
        <f aca="false">IF($G1032="","",MAX(0,NETWORKDAYS.INTL($E1032,J1032,رمز_العطلة,أيام_الأجازات)-1))</f>
        <v/>
      </c>
      <c r="M1032" s="26" t="str">
        <f aca="false">IF($G1032="","",MAX(0,L1032-مهلة_المراجعة))</f>
        <v/>
      </c>
      <c r="N1032" s="30" t="str">
        <f aca="false">IF($A1032="",IF(OR($D1032&lt;&gt;"",$E1032&lt;&gt;""),"رقم المخرج ناقص",""),IF(ISNA(MATCH($A1032,قائمة_المخرجات,0)),"رقم مخرج غير موجود",IF($D1032="","نوع الحركة ناقص",IF(NOT(ISNUMBER($E1032)),"التاريخ ناقص",IF($E1032&gt;تاريخ_الاحتساب,"تاريخ بعد تاريخ الاحتساب",IF(AND($D1032&lt;&gt;"تسليم",COUNTIFS($A$5:$A$1504,$A1032,$D$5:$D$1504,"تسليم",$E$5:$E$1504,"&lt;="&amp;$E1032)=0),"لا يوجد تسليم قبل الحركة دي",""))))))</f>
        <v/>
      </c>
    </row>
    <row r="1033" customFormat="false" ht="15" hidden="false" customHeight="false" outlineLevel="0" collapsed="false">
      <c r="A1033" s="20"/>
      <c r="B1033" s="35" t="str">
        <f aca="false">IF($A1033="","",IFERROR(INDEX(مخرج_البند,MATCH($A1033,قائمة_المخرجات,0)),""))</f>
        <v/>
      </c>
      <c r="C1033" s="30" t="str">
        <f aca="false">IF($A1033="","",IFERROR(INDEX(مخرج_الوصف,MATCH($A1033,قائمة_المخرجات,0)),""))</f>
        <v/>
      </c>
      <c r="D1033" s="20"/>
      <c r="E1033" s="31"/>
      <c r="F1033" s="22"/>
      <c r="G1033" s="36" t="str">
        <f aca="false">IF(OR($A1033="",$D1033&lt;&gt;"تسليم",NOT(ISNUMBER($E1033))),"",COUNTIFS($A$5:$A$1504,$A1033,$D$5:$D$1504,"تسليم",$E$5:$E$1504,"&lt;"&amp;$E1033)+1)</f>
        <v/>
      </c>
      <c r="H1033" s="33" t="str">
        <f aca="false">IF($G1033="","",_xlfn.MINIFS($E$5:$E$1504,$A$5:$A$1504,$A1033,$D$5:$D$1504,"&lt;&gt;تسليم",$E$5:$E$1504,"&gt;="&amp;$E1033))</f>
        <v/>
      </c>
      <c r="I1033" s="33" t="str">
        <f aca="false">IF($G1033="","",_xlfn.MINIFS($E$5:$E$1504,$A$5:$A$1504,$A1033,$D$5:$D$1504,"تسليم",$E$5:$E$1504,"&gt;"&amp;$E1033))</f>
        <v/>
      </c>
      <c r="J1033" s="33" t="str">
        <f aca="false">IF($G1033="","",IF(H1033&gt;0,IF(I1033&gt;0,MIN(H1033,I1033),H1033),IF(I1033&gt;0,I1033,تاريخ_الاحتساب)))</f>
        <v/>
      </c>
      <c r="K1033" s="34" t="str">
        <f aca="false">IF($G1033="","",IF(AND(H1033=0,I1033=0),"جارية","مغلقة"))</f>
        <v/>
      </c>
      <c r="L1033" s="26" t="str">
        <f aca="false">IF($G1033="","",MAX(0,NETWORKDAYS.INTL($E1033,J1033,رمز_العطلة,أيام_الأجازات)-1))</f>
        <v/>
      </c>
      <c r="M1033" s="26" t="str">
        <f aca="false">IF($G1033="","",MAX(0,L1033-مهلة_المراجعة))</f>
        <v/>
      </c>
      <c r="N1033" s="30" t="str">
        <f aca="false">IF($A1033="",IF(OR($D1033&lt;&gt;"",$E1033&lt;&gt;""),"رقم المخرج ناقص",""),IF(ISNA(MATCH($A1033,قائمة_المخرجات,0)),"رقم مخرج غير موجود",IF($D1033="","نوع الحركة ناقص",IF(NOT(ISNUMBER($E1033)),"التاريخ ناقص",IF($E1033&gt;تاريخ_الاحتساب,"تاريخ بعد تاريخ الاحتساب",IF(AND($D1033&lt;&gt;"تسليم",COUNTIFS($A$5:$A$1504,$A1033,$D$5:$D$1504,"تسليم",$E$5:$E$1504,"&lt;="&amp;$E1033)=0),"لا يوجد تسليم قبل الحركة دي",""))))))</f>
        <v/>
      </c>
    </row>
    <row r="1034" customFormat="false" ht="15" hidden="false" customHeight="false" outlineLevel="0" collapsed="false">
      <c r="A1034" s="20"/>
      <c r="B1034" s="35" t="str">
        <f aca="false">IF($A1034="","",IFERROR(INDEX(مخرج_البند,MATCH($A1034,قائمة_المخرجات,0)),""))</f>
        <v/>
      </c>
      <c r="C1034" s="30" t="str">
        <f aca="false">IF($A1034="","",IFERROR(INDEX(مخرج_الوصف,MATCH($A1034,قائمة_المخرجات,0)),""))</f>
        <v/>
      </c>
      <c r="D1034" s="20"/>
      <c r="E1034" s="31"/>
      <c r="F1034" s="22"/>
      <c r="G1034" s="36" t="str">
        <f aca="false">IF(OR($A1034="",$D1034&lt;&gt;"تسليم",NOT(ISNUMBER($E1034))),"",COUNTIFS($A$5:$A$1504,$A1034,$D$5:$D$1504,"تسليم",$E$5:$E$1504,"&lt;"&amp;$E1034)+1)</f>
        <v/>
      </c>
      <c r="H1034" s="33" t="str">
        <f aca="false">IF($G1034="","",_xlfn.MINIFS($E$5:$E$1504,$A$5:$A$1504,$A1034,$D$5:$D$1504,"&lt;&gt;تسليم",$E$5:$E$1504,"&gt;="&amp;$E1034))</f>
        <v/>
      </c>
      <c r="I1034" s="33" t="str">
        <f aca="false">IF($G1034="","",_xlfn.MINIFS($E$5:$E$1504,$A$5:$A$1504,$A1034,$D$5:$D$1504,"تسليم",$E$5:$E$1504,"&gt;"&amp;$E1034))</f>
        <v/>
      </c>
      <c r="J1034" s="33" t="str">
        <f aca="false">IF($G1034="","",IF(H1034&gt;0,IF(I1034&gt;0,MIN(H1034,I1034),H1034),IF(I1034&gt;0,I1034,تاريخ_الاحتساب)))</f>
        <v/>
      </c>
      <c r="K1034" s="34" t="str">
        <f aca="false">IF($G1034="","",IF(AND(H1034=0,I1034=0),"جارية","مغلقة"))</f>
        <v/>
      </c>
      <c r="L1034" s="26" t="str">
        <f aca="false">IF($G1034="","",MAX(0,NETWORKDAYS.INTL($E1034,J1034,رمز_العطلة,أيام_الأجازات)-1))</f>
        <v/>
      </c>
      <c r="M1034" s="26" t="str">
        <f aca="false">IF($G1034="","",MAX(0,L1034-مهلة_المراجعة))</f>
        <v/>
      </c>
      <c r="N1034" s="30" t="str">
        <f aca="false">IF($A1034="",IF(OR($D1034&lt;&gt;"",$E1034&lt;&gt;""),"رقم المخرج ناقص",""),IF(ISNA(MATCH($A1034,قائمة_المخرجات,0)),"رقم مخرج غير موجود",IF($D1034="","نوع الحركة ناقص",IF(NOT(ISNUMBER($E1034)),"التاريخ ناقص",IF($E1034&gt;تاريخ_الاحتساب,"تاريخ بعد تاريخ الاحتساب",IF(AND($D1034&lt;&gt;"تسليم",COUNTIFS($A$5:$A$1504,$A1034,$D$5:$D$1504,"تسليم",$E$5:$E$1504,"&lt;="&amp;$E1034)=0),"لا يوجد تسليم قبل الحركة دي",""))))))</f>
        <v/>
      </c>
    </row>
    <row r="1035" customFormat="false" ht="15" hidden="false" customHeight="false" outlineLevel="0" collapsed="false">
      <c r="A1035" s="20"/>
      <c r="B1035" s="35" t="str">
        <f aca="false">IF($A1035="","",IFERROR(INDEX(مخرج_البند,MATCH($A1035,قائمة_المخرجات,0)),""))</f>
        <v/>
      </c>
      <c r="C1035" s="30" t="str">
        <f aca="false">IF($A1035="","",IFERROR(INDEX(مخرج_الوصف,MATCH($A1035,قائمة_المخرجات,0)),""))</f>
        <v/>
      </c>
      <c r="D1035" s="20"/>
      <c r="E1035" s="31"/>
      <c r="F1035" s="22"/>
      <c r="G1035" s="36" t="str">
        <f aca="false">IF(OR($A1035="",$D1035&lt;&gt;"تسليم",NOT(ISNUMBER($E1035))),"",COUNTIFS($A$5:$A$1504,$A1035,$D$5:$D$1504,"تسليم",$E$5:$E$1504,"&lt;"&amp;$E1035)+1)</f>
        <v/>
      </c>
      <c r="H1035" s="33" t="str">
        <f aca="false">IF($G1035="","",_xlfn.MINIFS($E$5:$E$1504,$A$5:$A$1504,$A1035,$D$5:$D$1504,"&lt;&gt;تسليم",$E$5:$E$1504,"&gt;="&amp;$E1035))</f>
        <v/>
      </c>
      <c r="I1035" s="33" t="str">
        <f aca="false">IF($G1035="","",_xlfn.MINIFS($E$5:$E$1504,$A$5:$A$1504,$A1035,$D$5:$D$1504,"تسليم",$E$5:$E$1504,"&gt;"&amp;$E1035))</f>
        <v/>
      </c>
      <c r="J1035" s="33" t="str">
        <f aca="false">IF($G1035="","",IF(H1035&gt;0,IF(I1035&gt;0,MIN(H1035,I1035),H1035),IF(I1035&gt;0,I1035,تاريخ_الاحتساب)))</f>
        <v/>
      </c>
      <c r="K1035" s="34" t="str">
        <f aca="false">IF($G1035="","",IF(AND(H1035=0,I1035=0),"جارية","مغلقة"))</f>
        <v/>
      </c>
      <c r="L1035" s="26" t="str">
        <f aca="false">IF($G1035="","",MAX(0,NETWORKDAYS.INTL($E1035,J1035,رمز_العطلة,أيام_الأجازات)-1))</f>
        <v/>
      </c>
      <c r="M1035" s="26" t="str">
        <f aca="false">IF($G1035="","",MAX(0,L1035-مهلة_المراجعة))</f>
        <v/>
      </c>
      <c r="N1035" s="30" t="str">
        <f aca="false">IF($A1035="",IF(OR($D1035&lt;&gt;"",$E1035&lt;&gt;""),"رقم المخرج ناقص",""),IF(ISNA(MATCH($A1035,قائمة_المخرجات,0)),"رقم مخرج غير موجود",IF($D1035="","نوع الحركة ناقص",IF(NOT(ISNUMBER($E1035)),"التاريخ ناقص",IF($E1035&gt;تاريخ_الاحتساب,"تاريخ بعد تاريخ الاحتساب",IF(AND($D1035&lt;&gt;"تسليم",COUNTIFS($A$5:$A$1504,$A1035,$D$5:$D$1504,"تسليم",$E$5:$E$1504,"&lt;="&amp;$E1035)=0),"لا يوجد تسليم قبل الحركة دي",""))))))</f>
        <v/>
      </c>
    </row>
    <row r="1036" customFormat="false" ht="15" hidden="false" customHeight="false" outlineLevel="0" collapsed="false">
      <c r="A1036" s="20"/>
      <c r="B1036" s="35" t="str">
        <f aca="false">IF($A1036="","",IFERROR(INDEX(مخرج_البند,MATCH($A1036,قائمة_المخرجات,0)),""))</f>
        <v/>
      </c>
      <c r="C1036" s="30" t="str">
        <f aca="false">IF($A1036="","",IFERROR(INDEX(مخرج_الوصف,MATCH($A1036,قائمة_المخرجات,0)),""))</f>
        <v/>
      </c>
      <c r="D1036" s="20"/>
      <c r="E1036" s="31"/>
      <c r="F1036" s="22"/>
      <c r="G1036" s="36" t="str">
        <f aca="false">IF(OR($A1036="",$D1036&lt;&gt;"تسليم",NOT(ISNUMBER($E1036))),"",COUNTIFS($A$5:$A$1504,$A1036,$D$5:$D$1504,"تسليم",$E$5:$E$1504,"&lt;"&amp;$E1036)+1)</f>
        <v/>
      </c>
      <c r="H1036" s="33" t="str">
        <f aca="false">IF($G1036="","",_xlfn.MINIFS($E$5:$E$1504,$A$5:$A$1504,$A1036,$D$5:$D$1504,"&lt;&gt;تسليم",$E$5:$E$1504,"&gt;="&amp;$E1036))</f>
        <v/>
      </c>
      <c r="I1036" s="33" t="str">
        <f aca="false">IF($G1036="","",_xlfn.MINIFS($E$5:$E$1504,$A$5:$A$1504,$A1036,$D$5:$D$1504,"تسليم",$E$5:$E$1504,"&gt;"&amp;$E1036))</f>
        <v/>
      </c>
      <c r="J1036" s="33" t="str">
        <f aca="false">IF($G1036="","",IF(H1036&gt;0,IF(I1036&gt;0,MIN(H1036,I1036),H1036),IF(I1036&gt;0,I1036,تاريخ_الاحتساب)))</f>
        <v/>
      </c>
      <c r="K1036" s="34" t="str">
        <f aca="false">IF($G1036="","",IF(AND(H1036=0,I1036=0),"جارية","مغلقة"))</f>
        <v/>
      </c>
      <c r="L1036" s="26" t="str">
        <f aca="false">IF($G1036="","",MAX(0,NETWORKDAYS.INTL($E1036,J1036,رمز_العطلة,أيام_الأجازات)-1))</f>
        <v/>
      </c>
      <c r="M1036" s="26" t="str">
        <f aca="false">IF($G1036="","",MAX(0,L1036-مهلة_المراجعة))</f>
        <v/>
      </c>
      <c r="N1036" s="30" t="str">
        <f aca="false">IF($A1036="",IF(OR($D1036&lt;&gt;"",$E1036&lt;&gt;""),"رقم المخرج ناقص",""),IF(ISNA(MATCH($A1036,قائمة_المخرجات,0)),"رقم مخرج غير موجود",IF($D1036="","نوع الحركة ناقص",IF(NOT(ISNUMBER($E1036)),"التاريخ ناقص",IF($E1036&gt;تاريخ_الاحتساب,"تاريخ بعد تاريخ الاحتساب",IF(AND($D1036&lt;&gt;"تسليم",COUNTIFS($A$5:$A$1504,$A1036,$D$5:$D$1504,"تسليم",$E$5:$E$1504,"&lt;="&amp;$E1036)=0),"لا يوجد تسليم قبل الحركة دي",""))))))</f>
        <v/>
      </c>
    </row>
    <row r="1037" customFormat="false" ht="15" hidden="false" customHeight="false" outlineLevel="0" collapsed="false">
      <c r="A1037" s="20"/>
      <c r="B1037" s="35" t="str">
        <f aca="false">IF($A1037="","",IFERROR(INDEX(مخرج_البند,MATCH($A1037,قائمة_المخرجات,0)),""))</f>
        <v/>
      </c>
      <c r="C1037" s="30" t="str">
        <f aca="false">IF($A1037="","",IFERROR(INDEX(مخرج_الوصف,MATCH($A1037,قائمة_المخرجات,0)),""))</f>
        <v/>
      </c>
      <c r="D1037" s="20"/>
      <c r="E1037" s="31"/>
      <c r="F1037" s="22"/>
      <c r="G1037" s="36" t="str">
        <f aca="false">IF(OR($A1037="",$D1037&lt;&gt;"تسليم",NOT(ISNUMBER($E1037))),"",COUNTIFS($A$5:$A$1504,$A1037,$D$5:$D$1504,"تسليم",$E$5:$E$1504,"&lt;"&amp;$E1037)+1)</f>
        <v/>
      </c>
      <c r="H1037" s="33" t="str">
        <f aca="false">IF($G1037="","",_xlfn.MINIFS($E$5:$E$1504,$A$5:$A$1504,$A1037,$D$5:$D$1504,"&lt;&gt;تسليم",$E$5:$E$1504,"&gt;="&amp;$E1037))</f>
        <v/>
      </c>
      <c r="I1037" s="33" t="str">
        <f aca="false">IF($G1037="","",_xlfn.MINIFS($E$5:$E$1504,$A$5:$A$1504,$A1037,$D$5:$D$1504,"تسليم",$E$5:$E$1504,"&gt;"&amp;$E1037))</f>
        <v/>
      </c>
      <c r="J1037" s="33" t="str">
        <f aca="false">IF($G1037="","",IF(H1037&gt;0,IF(I1037&gt;0,MIN(H1037,I1037),H1037),IF(I1037&gt;0,I1037,تاريخ_الاحتساب)))</f>
        <v/>
      </c>
      <c r="K1037" s="34" t="str">
        <f aca="false">IF($G1037="","",IF(AND(H1037=0,I1037=0),"جارية","مغلقة"))</f>
        <v/>
      </c>
      <c r="L1037" s="26" t="str">
        <f aca="false">IF($G1037="","",MAX(0,NETWORKDAYS.INTL($E1037,J1037,رمز_العطلة,أيام_الأجازات)-1))</f>
        <v/>
      </c>
      <c r="M1037" s="26" t="str">
        <f aca="false">IF($G1037="","",MAX(0,L1037-مهلة_المراجعة))</f>
        <v/>
      </c>
      <c r="N1037" s="30" t="str">
        <f aca="false">IF($A1037="",IF(OR($D1037&lt;&gt;"",$E1037&lt;&gt;""),"رقم المخرج ناقص",""),IF(ISNA(MATCH($A1037,قائمة_المخرجات,0)),"رقم مخرج غير موجود",IF($D1037="","نوع الحركة ناقص",IF(NOT(ISNUMBER($E1037)),"التاريخ ناقص",IF($E1037&gt;تاريخ_الاحتساب,"تاريخ بعد تاريخ الاحتساب",IF(AND($D1037&lt;&gt;"تسليم",COUNTIFS($A$5:$A$1504,$A1037,$D$5:$D$1504,"تسليم",$E$5:$E$1504,"&lt;="&amp;$E1037)=0),"لا يوجد تسليم قبل الحركة دي",""))))))</f>
        <v/>
      </c>
    </row>
    <row r="1038" customFormat="false" ht="15" hidden="false" customHeight="false" outlineLevel="0" collapsed="false">
      <c r="A1038" s="20"/>
      <c r="B1038" s="35" t="str">
        <f aca="false">IF($A1038="","",IFERROR(INDEX(مخرج_البند,MATCH($A1038,قائمة_المخرجات,0)),""))</f>
        <v/>
      </c>
      <c r="C1038" s="30" t="str">
        <f aca="false">IF($A1038="","",IFERROR(INDEX(مخرج_الوصف,MATCH($A1038,قائمة_المخرجات,0)),""))</f>
        <v/>
      </c>
      <c r="D1038" s="20"/>
      <c r="E1038" s="31"/>
      <c r="F1038" s="22"/>
      <c r="G1038" s="36" t="str">
        <f aca="false">IF(OR($A1038="",$D1038&lt;&gt;"تسليم",NOT(ISNUMBER($E1038))),"",COUNTIFS($A$5:$A$1504,$A1038,$D$5:$D$1504,"تسليم",$E$5:$E$1504,"&lt;"&amp;$E1038)+1)</f>
        <v/>
      </c>
      <c r="H1038" s="33" t="str">
        <f aca="false">IF($G1038="","",_xlfn.MINIFS($E$5:$E$1504,$A$5:$A$1504,$A1038,$D$5:$D$1504,"&lt;&gt;تسليم",$E$5:$E$1504,"&gt;="&amp;$E1038))</f>
        <v/>
      </c>
      <c r="I1038" s="33" t="str">
        <f aca="false">IF($G1038="","",_xlfn.MINIFS($E$5:$E$1504,$A$5:$A$1504,$A1038,$D$5:$D$1504,"تسليم",$E$5:$E$1504,"&gt;"&amp;$E1038))</f>
        <v/>
      </c>
      <c r="J1038" s="33" t="str">
        <f aca="false">IF($G1038="","",IF(H1038&gt;0,IF(I1038&gt;0,MIN(H1038,I1038),H1038),IF(I1038&gt;0,I1038,تاريخ_الاحتساب)))</f>
        <v/>
      </c>
      <c r="K1038" s="34" t="str">
        <f aca="false">IF($G1038="","",IF(AND(H1038=0,I1038=0),"جارية","مغلقة"))</f>
        <v/>
      </c>
      <c r="L1038" s="26" t="str">
        <f aca="false">IF($G1038="","",MAX(0,NETWORKDAYS.INTL($E1038,J1038,رمز_العطلة,أيام_الأجازات)-1))</f>
        <v/>
      </c>
      <c r="M1038" s="26" t="str">
        <f aca="false">IF($G1038="","",MAX(0,L1038-مهلة_المراجعة))</f>
        <v/>
      </c>
      <c r="N1038" s="30" t="str">
        <f aca="false">IF($A1038="",IF(OR($D1038&lt;&gt;"",$E1038&lt;&gt;""),"رقم المخرج ناقص",""),IF(ISNA(MATCH($A1038,قائمة_المخرجات,0)),"رقم مخرج غير موجود",IF($D1038="","نوع الحركة ناقص",IF(NOT(ISNUMBER($E1038)),"التاريخ ناقص",IF($E1038&gt;تاريخ_الاحتساب,"تاريخ بعد تاريخ الاحتساب",IF(AND($D1038&lt;&gt;"تسليم",COUNTIFS($A$5:$A$1504,$A1038,$D$5:$D$1504,"تسليم",$E$5:$E$1504,"&lt;="&amp;$E1038)=0),"لا يوجد تسليم قبل الحركة دي",""))))))</f>
        <v/>
      </c>
    </row>
    <row r="1039" customFormat="false" ht="15" hidden="false" customHeight="false" outlineLevel="0" collapsed="false">
      <c r="A1039" s="20"/>
      <c r="B1039" s="35" t="str">
        <f aca="false">IF($A1039="","",IFERROR(INDEX(مخرج_البند,MATCH($A1039,قائمة_المخرجات,0)),""))</f>
        <v/>
      </c>
      <c r="C1039" s="30" t="str">
        <f aca="false">IF($A1039="","",IFERROR(INDEX(مخرج_الوصف,MATCH($A1039,قائمة_المخرجات,0)),""))</f>
        <v/>
      </c>
      <c r="D1039" s="20"/>
      <c r="E1039" s="31"/>
      <c r="F1039" s="22"/>
      <c r="G1039" s="36" t="str">
        <f aca="false">IF(OR($A1039="",$D1039&lt;&gt;"تسليم",NOT(ISNUMBER($E1039))),"",COUNTIFS($A$5:$A$1504,$A1039,$D$5:$D$1504,"تسليم",$E$5:$E$1504,"&lt;"&amp;$E1039)+1)</f>
        <v/>
      </c>
      <c r="H1039" s="33" t="str">
        <f aca="false">IF($G1039="","",_xlfn.MINIFS($E$5:$E$1504,$A$5:$A$1504,$A1039,$D$5:$D$1504,"&lt;&gt;تسليم",$E$5:$E$1504,"&gt;="&amp;$E1039))</f>
        <v/>
      </c>
      <c r="I1039" s="33" t="str">
        <f aca="false">IF($G1039="","",_xlfn.MINIFS($E$5:$E$1504,$A$5:$A$1504,$A1039,$D$5:$D$1504,"تسليم",$E$5:$E$1504,"&gt;"&amp;$E1039))</f>
        <v/>
      </c>
      <c r="J1039" s="33" t="str">
        <f aca="false">IF($G1039="","",IF(H1039&gt;0,IF(I1039&gt;0,MIN(H1039,I1039),H1039),IF(I1039&gt;0,I1039,تاريخ_الاحتساب)))</f>
        <v/>
      </c>
      <c r="K1039" s="34" t="str">
        <f aca="false">IF($G1039="","",IF(AND(H1039=0,I1039=0),"جارية","مغلقة"))</f>
        <v/>
      </c>
      <c r="L1039" s="26" t="str">
        <f aca="false">IF($G1039="","",MAX(0,NETWORKDAYS.INTL($E1039,J1039,رمز_العطلة,أيام_الأجازات)-1))</f>
        <v/>
      </c>
      <c r="M1039" s="26" t="str">
        <f aca="false">IF($G1039="","",MAX(0,L1039-مهلة_المراجعة))</f>
        <v/>
      </c>
      <c r="N1039" s="30" t="str">
        <f aca="false">IF($A1039="",IF(OR($D1039&lt;&gt;"",$E1039&lt;&gt;""),"رقم المخرج ناقص",""),IF(ISNA(MATCH($A1039,قائمة_المخرجات,0)),"رقم مخرج غير موجود",IF($D1039="","نوع الحركة ناقص",IF(NOT(ISNUMBER($E1039)),"التاريخ ناقص",IF($E1039&gt;تاريخ_الاحتساب,"تاريخ بعد تاريخ الاحتساب",IF(AND($D1039&lt;&gt;"تسليم",COUNTIFS($A$5:$A$1504,$A1039,$D$5:$D$1504,"تسليم",$E$5:$E$1504,"&lt;="&amp;$E1039)=0),"لا يوجد تسليم قبل الحركة دي",""))))))</f>
        <v/>
      </c>
    </row>
    <row r="1040" customFormat="false" ht="15" hidden="false" customHeight="false" outlineLevel="0" collapsed="false">
      <c r="A1040" s="20"/>
      <c r="B1040" s="35" t="str">
        <f aca="false">IF($A1040="","",IFERROR(INDEX(مخرج_البند,MATCH($A1040,قائمة_المخرجات,0)),""))</f>
        <v/>
      </c>
      <c r="C1040" s="30" t="str">
        <f aca="false">IF($A1040="","",IFERROR(INDEX(مخرج_الوصف,MATCH($A1040,قائمة_المخرجات,0)),""))</f>
        <v/>
      </c>
      <c r="D1040" s="20"/>
      <c r="E1040" s="31"/>
      <c r="F1040" s="22"/>
      <c r="G1040" s="36" t="str">
        <f aca="false">IF(OR($A1040="",$D1040&lt;&gt;"تسليم",NOT(ISNUMBER($E1040))),"",COUNTIFS($A$5:$A$1504,$A1040,$D$5:$D$1504,"تسليم",$E$5:$E$1504,"&lt;"&amp;$E1040)+1)</f>
        <v/>
      </c>
      <c r="H1040" s="33" t="str">
        <f aca="false">IF($G1040="","",_xlfn.MINIFS($E$5:$E$1504,$A$5:$A$1504,$A1040,$D$5:$D$1504,"&lt;&gt;تسليم",$E$5:$E$1504,"&gt;="&amp;$E1040))</f>
        <v/>
      </c>
      <c r="I1040" s="33" t="str">
        <f aca="false">IF($G1040="","",_xlfn.MINIFS($E$5:$E$1504,$A$5:$A$1504,$A1040,$D$5:$D$1504,"تسليم",$E$5:$E$1504,"&gt;"&amp;$E1040))</f>
        <v/>
      </c>
      <c r="J1040" s="33" t="str">
        <f aca="false">IF($G1040="","",IF(H1040&gt;0,IF(I1040&gt;0,MIN(H1040,I1040),H1040),IF(I1040&gt;0,I1040,تاريخ_الاحتساب)))</f>
        <v/>
      </c>
      <c r="K1040" s="34" t="str">
        <f aca="false">IF($G1040="","",IF(AND(H1040=0,I1040=0),"جارية","مغلقة"))</f>
        <v/>
      </c>
      <c r="L1040" s="26" t="str">
        <f aca="false">IF($G1040="","",MAX(0,NETWORKDAYS.INTL($E1040,J1040,رمز_العطلة,أيام_الأجازات)-1))</f>
        <v/>
      </c>
      <c r="M1040" s="26" t="str">
        <f aca="false">IF($G1040="","",MAX(0,L1040-مهلة_المراجعة))</f>
        <v/>
      </c>
      <c r="N1040" s="30" t="str">
        <f aca="false">IF($A1040="",IF(OR($D1040&lt;&gt;"",$E1040&lt;&gt;""),"رقم المخرج ناقص",""),IF(ISNA(MATCH($A1040,قائمة_المخرجات,0)),"رقم مخرج غير موجود",IF($D1040="","نوع الحركة ناقص",IF(NOT(ISNUMBER($E1040)),"التاريخ ناقص",IF($E1040&gt;تاريخ_الاحتساب,"تاريخ بعد تاريخ الاحتساب",IF(AND($D1040&lt;&gt;"تسليم",COUNTIFS($A$5:$A$1504,$A1040,$D$5:$D$1504,"تسليم",$E$5:$E$1504,"&lt;="&amp;$E1040)=0),"لا يوجد تسليم قبل الحركة دي",""))))))</f>
        <v/>
      </c>
    </row>
    <row r="1041" customFormat="false" ht="15" hidden="false" customHeight="false" outlineLevel="0" collapsed="false">
      <c r="A1041" s="20"/>
      <c r="B1041" s="35" t="str">
        <f aca="false">IF($A1041="","",IFERROR(INDEX(مخرج_البند,MATCH($A1041,قائمة_المخرجات,0)),""))</f>
        <v/>
      </c>
      <c r="C1041" s="30" t="str">
        <f aca="false">IF($A1041="","",IFERROR(INDEX(مخرج_الوصف,MATCH($A1041,قائمة_المخرجات,0)),""))</f>
        <v/>
      </c>
      <c r="D1041" s="20"/>
      <c r="E1041" s="31"/>
      <c r="F1041" s="22"/>
      <c r="G1041" s="36" t="str">
        <f aca="false">IF(OR($A1041="",$D1041&lt;&gt;"تسليم",NOT(ISNUMBER($E1041))),"",COUNTIFS($A$5:$A$1504,$A1041,$D$5:$D$1504,"تسليم",$E$5:$E$1504,"&lt;"&amp;$E1041)+1)</f>
        <v/>
      </c>
      <c r="H1041" s="33" t="str">
        <f aca="false">IF($G1041="","",_xlfn.MINIFS($E$5:$E$1504,$A$5:$A$1504,$A1041,$D$5:$D$1504,"&lt;&gt;تسليم",$E$5:$E$1504,"&gt;="&amp;$E1041))</f>
        <v/>
      </c>
      <c r="I1041" s="33" t="str">
        <f aca="false">IF($G1041="","",_xlfn.MINIFS($E$5:$E$1504,$A$5:$A$1504,$A1041,$D$5:$D$1504,"تسليم",$E$5:$E$1504,"&gt;"&amp;$E1041))</f>
        <v/>
      </c>
      <c r="J1041" s="33" t="str">
        <f aca="false">IF($G1041="","",IF(H1041&gt;0,IF(I1041&gt;0,MIN(H1041,I1041),H1041),IF(I1041&gt;0,I1041,تاريخ_الاحتساب)))</f>
        <v/>
      </c>
      <c r="K1041" s="34" t="str">
        <f aca="false">IF($G1041="","",IF(AND(H1041=0,I1041=0),"جارية","مغلقة"))</f>
        <v/>
      </c>
      <c r="L1041" s="26" t="str">
        <f aca="false">IF($G1041="","",MAX(0,NETWORKDAYS.INTL($E1041,J1041,رمز_العطلة,أيام_الأجازات)-1))</f>
        <v/>
      </c>
      <c r="M1041" s="26" t="str">
        <f aca="false">IF($G1041="","",MAX(0,L1041-مهلة_المراجعة))</f>
        <v/>
      </c>
      <c r="N1041" s="30" t="str">
        <f aca="false">IF($A1041="",IF(OR($D1041&lt;&gt;"",$E1041&lt;&gt;""),"رقم المخرج ناقص",""),IF(ISNA(MATCH($A1041,قائمة_المخرجات,0)),"رقم مخرج غير موجود",IF($D1041="","نوع الحركة ناقص",IF(NOT(ISNUMBER($E1041)),"التاريخ ناقص",IF($E1041&gt;تاريخ_الاحتساب,"تاريخ بعد تاريخ الاحتساب",IF(AND($D1041&lt;&gt;"تسليم",COUNTIFS($A$5:$A$1504,$A1041,$D$5:$D$1504,"تسليم",$E$5:$E$1504,"&lt;="&amp;$E1041)=0),"لا يوجد تسليم قبل الحركة دي",""))))))</f>
        <v/>
      </c>
    </row>
    <row r="1042" customFormat="false" ht="15" hidden="false" customHeight="false" outlineLevel="0" collapsed="false">
      <c r="A1042" s="20"/>
      <c r="B1042" s="35" t="str">
        <f aca="false">IF($A1042="","",IFERROR(INDEX(مخرج_البند,MATCH($A1042,قائمة_المخرجات,0)),""))</f>
        <v/>
      </c>
      <c r="C1042" s="30" t="str">
        <f aca="false">IF($A1042="","",IFERROR(INDEX(مخرج_الوصف,MATCH($A1042,قائمة_المخرجات,0)),""))</f>
        <v/>
      </c>
      <c r="D1042" s="20"/>
      <c r="E1042" s="31"/>
      <c r="F1042" s="22"/>
      <c r="G1042" s="36" t="str">
        <f aca="false">IF(OR($A1042="",$D1042&lt;&gt;"تسليم",NOT(ISNUMBER($E1042))),"",COUNTIFS($A$5:$A$1504,$A1042,$D$5:$D$1504,"تسليم",$E$5:$E$1504,"&lt;"&amp;$E1042)+1)</f>
        <v/>
      </c>
      <c r="H1042" s="33" t="str">
        <f aca="false">IF($G1042="","",_xlfn.MINIFS($E$5:$E$1504,$A$5:$A$1504,$A1042,$D$5:$D$1504,"&lt;&gt;تسليم",$E$5:$E$1504,"&gt;="&amp;$E1042))</f>
        <v/>
      </c>
      <c r="I1042" s="33" t="str">
        <f aca="false">IF($G1042="","",_xlfn.MINIFS($E$5:$E$1504,$A$5:$A$1504,$A1042,$D$5:$D$1504,"تسليم",$E$5:$E$1504,"&gt;"&amp;$E1042))</f>
        <v/>
      </c>
      <c r="J1042" s="33" t="str">
        <f aca="false">IF($G1042="","",IF(H1042&gt;0,IF(I1042&gt;0,MIN(H1042,I1042),H1042),IF(I1042&gt;0,I1042,تاريخ_الاحتساب)))</f>
        <v/>
      </c>
      <c r="K1042" s="34" t="str">
        <f aca="false">IF($G1042="","",IF(AND(H1042=0,I1042=0),"جارية","مغلقة"))</f>
        <v/>
      </c>
      <c r="L1042" s="26" t="str">
        <f aca="false">IF($G1042="","",MAX(0,NETWORKDAYS.INTL($E1042,J1042,رمز_العطلة,أيام_الأجازات)-1))</f>
        <v/>
      </c>
      <c r="M1042" s="26" t="str">
        <f aca="false">IF($G1042="","",MAX(0,L1042-مهلة_المراجعة))</f>
        <v/>
      </c>
      <c r="N1042" s="30" t="str">
        <f aca="false">IF($A1042="",IF(OR($D1042&lt;&gt;"",$E1042&lt;&gt;""),"رقم المخرج ناقص",""),IF(ISNA(MATCH($A1042,قائمة_المخرجات,0)),"رقم مخرج غير موجود",IF($D1042="","نوع الحركة ناقص",IF(NOT(ISNUMBER($E1042)),"التاريخ ناقص",IF($E1042&gt;تاريخ_الاحتساب,"تاريخ بعد تاريخ الاحتساب",IF(AND($D1042&lt;&gt;"تسليم",COUNTIFS($A$5:$A$1504,$A1042,$D$5:$D$1504,"تسليم",$E$5:$E$1504,"&lt;="&amp;$E1042)=0),"لا يوجد تسليم قبل الحركة دي",""))))))</f>
        <v/>
      </c>
    </row>
    <row r="1043" customFormat="false" ht="15" hidden="false" customHeight="false" outlineLevel="0" collapsed="false">
      <c r="A1043" s="20"/>
      <c r="B1043" s="35" t="str">
        <f aca="false">IF($A1043="","",IFERROR(INDEX(مخرج_البند,MATCH($A1043,قائمة_المخرجات,0)),""))</f>
        <v/>
      </c>
      <c r="C1043" s="30" t="str">
        <f aca="false">IF($A1043="","",IFERROR(INDEX(مخرج_الوصف,MATCH($A1043,قائمة_المخرجات,0)),""))</f>
        <v/>
      </c>
      <c r="D1043" s="20"/>
      <c r="E1043" s="31"/>
      <c r="F1043" s="22"/>
      <c r="G1043" s="36" t="str">
        <f aca="false">IF(OR($A1043="",$D1043&lt;&gt;"تسليم",NOT(ISNUMBER($E1043))),"",COUNTIFS($A$5:$A$1504,$A1043,$D$5:$D$1504,"تسليم",$E$5:$E$1504,"&lt;"&amp;$E1043)+1)</f>
        <v/>
      </c>
      <c r="H1043" s="33" t="str">
        <f aca="false">IF($G1043="","",_xlfn.MINIFS($E$5:$E$1504,$A$5:$A$1504,$A1043,$D$5:$D$1504,"&lt;&gt;تسليم",$E$5:$E$1504,"&gt;="&amp;$E1043))</f>
        <v/>
      </c>
      <c r="I1043" s="33" t="str">
        <f aca="false">IF($G1043="","",_xlfn.MINIFS($E$5:$E$1504,$A$5:$A$1504,$A1043,$D$5:$D$1504,"تسليم",$E$5:$E$1504,"&gt;"&amp;$E1043))</f>
        <v/>
      </c>
      <c r="J1043" s="33" t="str">
        <f aca="false">IF($G1043="","",IF(H1043&gt;0,IF(I1043&gt;0,MIN(H1043,I1043),H1043),IF(I1043&gt;0,I1043,تاريخ_الاحتساب)))</f>
        <v/>
      </c>
      <c r="K1043" s="34" t="str">
        <f aca="false">IF($G1043="","",IF(AND(H1043=0,I1043=0),"جارية","مغلقة"))</f>
        <v/>
      </c>
      <c r="L1043" s="26" t="str">
        <f aca="false">IF($G1043="","",MAX(0,NETWORKDAYS.INTL($E1043,J1043,رمز_العطلة,أيام_الأجازات)-1))</f>
        <v/>
      </c>
      <c r="M1043" s="26" t="str">
        <f aca="false">IF($G1043="","",MAX(0,L1043-مهلة_المراجعة))</f>
        <v/>
      </c>
      <c r="N1043" s="30" t="str">
        <f aca="false">IF($A1043="",IF(OR($D1043&lt;&gt;"",$E1043&lt;&gt;""),"رقم المخرج ناقص",""),IF(ISNA(MATCH($A1043,قائمة_المخرجات,0)),"رقم مخرج غير موجود",IF($D1043="","نوع الحركة ناقص",IF(NOT(ISNUMBER($E1043)),"التاريخ ناقص",IF($E1043&gt;تاريخ_الاحتساب,"تاريخ بعد تاريخ الاحتساب",IF(AND($D1043&lt;&gt;"تسليم",COUNTIFS($A$5:$A$1504,$A1043,$D$5:$D$1504,"تسليم",$E$5:$E$1504,"&lt;="&amp;$E1043)=0),"لا يوجد تسليم قبل الحركة دي",""))))))</f>
        <v/>
      </c>
    </row>
    <row r="1044" customFormat="false" ht="15" hidden="false" customHeight="false" outlineLevel="0" collapsed="false">
      <c r="A1044" s="20"/>
      <c r="B1044" s="35" t="str">
        <f aca="false">IF($A1044="","",IFERROR(INDEX(مخرج_البند,MATCH($A1044,قائمة_المخرجات,0)),""))</f>
        <v/>
      </c>
      <c r="C1044" s="30" t="str">
        <f aca="false">IF($A1044="","",IFERROR(INDEX(مخرج_الوصف,MATCH($A1044,قائمة_المخرجات,0)),""))</f>
        <v/>
      </c>
      <c r="D1044" s="20"/>
      <c r="E1044" s="31"/>
      <c r="F1044" s="22"/>
      <c r="G1044" s="36" t="str">
        <f aca="false">IF(OR($A1044="",$D1044&lt;&gt;"تسليم",NOT(ISNUMBER($E1044))),"",COUNTIFS($A$5:$A$1504,$A1044,$D$5:$D$1504,"تسليم",$E$5:$E$1504,"&lt;"&amp;$E1044)+1)</f>
        <v/>
      </c>
      <c r="H1044" s="33" t="str">
        <f aca="false">IF($G1044="","",_xlfn.MINIFS($E$5:$E$1504,$A$5:$A$1504,$A1044,$D$5:$D$1504,"&lt;&gt;تسليم",$E$5:$E$1504,"&gt;="&amp;$E1044))</f>
        <v/>
      </c>
      <c r="I1044" s="33" t="str">
        <f aca="false">IF($G1044="","",_xlfn.MINIFS($E$5:$E$1504,$A$5:$A$1504,$A1044,$D$5:$D$1504,"تسليم",$E$5:$E$1504,"&gt;"&amp;$E1044))</f>
        <v/>
      </c>
      <c r="J1044" s="33" t="str">
        <f aca="false">IF($G1044="","",IF(H1044&gt;0,IF(I1044&gt;0,MIN(H1044,I1044),H1044),IF(I1044&gt;0,I1044,تاريخ_الاحتساب)))</f>
        <v/>
      </c>
      <c r="K1044" s="34" t="str">
        <f aca="false">IF($G1044="","",IF(AND(H1044=0,I1044=0),"جارية","مغلقة"))</f>
        <v/>
      </c>
      <c r="L1044" s="26" t="str">
        <f aca="false">IF($G1044="","",MAX(0,NETWORKDAYS.INTL($E1044,J1044,رمز_العطلة,أيام_الأجازات)-1))</f>
        <v/>
      </c>
      <c r="M1044" s="26" t="str">
        <f aca="false">IF($G1044="","",MAX(0,L1044-مهلة_المراجعة))</f>
        <v/>
      </c>
      <c r="N1044" s="30" t="str">
        <f aca="false">IF($A1044="",IF(OR($D1044&lt;&gt;"",$E1044&lt;&gt;""),"رقم المخرج ناقص",""),IF(ISNA(MATCH($A1044,قائمة_المخرجات,0)),"رقم مخرج غير موجود",IF($D1044="","نوع الحركة ناقص",IF(NOT(ISNUMBER($E1044)),"التاريخ ناقص",IF($E1044&gt;تاريخ_الاحتساب,"تاريخ بعد تاريخ الاحتساب",IF(AND($D1044&lt;&gt;"تسليم",COUNTIFS($A$5:$A$1504,$A1044,$D$5:$D$1504,"تسليم",$E$5:$E$1504,"&lt;="&amp;$E1044)=0),"لا يوجد تسليم قبل الحركة دي",""))))))</f>
        <v/>
      </c>
    </row>
    <row r="1045" customFormat="false" ht="15" hidden="false" customHeight="false" outlineLevel="0" collapsed="false">
      <c r="A1045" s="20"/>
      <c r="B1045" s="35" t="str">
        <f aca="false">IF($A1045="","",IFERROR(INDEX(مخرج_البند,MATCH($A1045,قائمة_المخرجات,0)),""))</f>
        <v/>
      </c>
      <c r="C1045" s="30" t="str">
        <f aca="false">IF($A1045="","",IFERROR(INDEX(مخرج_الوصف,MATCH($A1045,قائمة_المخرجات,0)),""))</f>
        <v/>
      </c>
      <c r="D1045" s="20"/>
      <c r="E1045" s="31"/>
      <c r="F1045" s="22"/>
      <c r="G1045" s="36" t="str">
        <f aca="false">IF(OR($A1045="",$D1045&lt;&gt;"تسليم",NOT(ISNUMBER($E1045))),"",COUNTIFS($A$5:$A$1504,$A1045,$D$5:$D$1504,"تسليم",$E$5:$E$1504,"&lt;"&amp;$E1045)+1)</f>
        <v/>
      </c>
      <c r="H1045" s="33" t="str">
        <f aca="false">IF($G1045="","",_xlfn.MINIFS($E$5:$E$1504,$A$5:$A$1504,$A1045,$D$5:$D$1504,"&lt;&gt;تسليم",$E$5:$E$1504,"&gt;="&amp;$E1045))</f>
        <v/>
      </c>
      <c r="I1045" s="33" t="str">
        <f aca="false">IF($G1045="","",_xlfn.MINIFS($E$5:$E$1504,$A$5:$A$1504,$A1045,$D$5:$D$1504,"تسليم",$E$5:$E$1504,"&gt;"&amp;$E1045))</f>
        <v/>
      </c>
      <c r="J1045" s="33" t="str">
        <f aca="false">IF($G1045="","",IF(H1045&gt;0,IF(I1045&gt;0,MIN(H1045,I1045),H1045),IF(I1045&gt;0,I1045,تاريخ_الاحتساب)))</f>
        <v/>
      </c>
      <c r="K1045" s="34" t="str">
        <f aca="false">IF($G1045="","",IF(AND(H1045=0,I1045=0),"جارية","مغلقة"))</f>
        <v/>
      </c>
      <c r="L1045" s="26" t="str">
        <f aca="false">IF($G1045="","",MAX(0,NETWORKDAYS.INTL($E1045,J1045,رمز_العطلة,أيام_الأجازات)-1))</f>
        <v/>
      </c>
      <c r="M1045" s="26" t="str">
        <f aca="false">IF($G1045="","",MAX(0,L1045-مهلة_المراجعة))</f>
        <v/>
      </c>
      <c r="N1045" s="30" t="str">
        <f aca="false">IF($A1045="",IF(OR($D1045&lt;&gt;"",$E1045&lt;&gt;""),"رقم المخرج ناقص",""),IF(ISNA(MATCH($A1045,قائمة_المخرجات,0)),"رقم مخرج غير موجود",IF($D1045="","نوع الحركة ناقص",IF(NOT(ISNUMBER($E1045)),"التاريخ ناقص",IF($E1045&gt;تاريخ_الاحتساب,"تاريخ بعد تاريخ الاحتساب",IF(AND($D1045&lt;&gt;"تسليم",COUNTIFS($A$5:$A$1504,$A1045,$D$5:$D$1504,"تسليم",$E$5:$E$1504,"&lt;="&amp;$E1045)=0),"لا يوجد تسليم قبل الحركة دي",""))))))</f>
        <v/>
      </c>
    </row>
    <row r="1046" customFormat="false" ht="15" hidden="false" customHeight="false" outlineLevel="0" collapsed="false">
      <c r="A1046" s="20"/>
      <c r="B1046" s="35" t="str">
        <f aca="false">IF($A1046="","",IFERROR(INDEX(مخرج_البند,MATCH($A1046,قائمة_المخرجات,0)),""))</f>
        <v/>
      </c>
      <c r="C1046" s="30" t="str">
        <f aca="false">IF($A1046="","",IFERROR(INDEX(مخرج_الوصف,MATCH($A1046,قائمة_المخرجات,0)),""))</f>
        <v/>
      </c>
      <c r="D1046" s="20"/>
      <c r="E1046" s="31"/>
      <c r="F1046" s="22"/>
      <c r="G1046" s="36" t="str">
        <f aca="false">IF(OR($A1046="",$D1046&lt;&gt;"تسليم",NOT(ISNUMBER($E1046))),"",COUNTIFS($A$5:$A$1504,$A1046,$D$5:$D$1504,"تسليم",$E$5:$E$1504,"&lt;"&amp;$E1046)+1)</f>
        <v/>
      </c>
      <c r="H1046" s="33" t="str">
        <f aca="false">IF($G1046="","",_xlfn.MINIFS($E$5:$E$1504,$A$5:$A$1504,$A1046,$D$5:$D$1504,"&lt;&gt;تسليم",$E$5:$E$1504,"&gt;="&amp;$E1046))</f>
        <v/>
      </c>
      <c r="I1046" s="33" t="str">
        <f aca="false">IF($G1046="","",_xlfn.MINIFS($E$5:$E$1504,$A$5:$A$1504,$A1046,$D$5:$D$1504,"تسليم",$E$5:$E$1504,"&gt;"&amp;$E1046))</f>
        <v/>
      </c>
      <c r="J1046" s="33" t="str">
        <f aca="false">IF($G1046="","",IF(H1046&gt;0,IF(I1046&gt;0,MIN(H1046,I1046),H1046),IF(I1046&gt;0,I1046,تاريخ_الاحتساب)))</f>
        <v/>
      </c>
      <c r="K1046" s="34" t="str">
        <f aca="false">IF($G1046="","",IF(AND(H1046=0,I1046=0),"جارية","مغلقة"))</f>
        <v/>
      </c>
      <c r="L1046" s="26" t="str">
        <f aca="false">IF($G1046="","",MAX(0,NETWORKDAYS.INTL($E1046,J1046,رمز_العطلة,أيام_الأجازات)-1))</f>
        <v/>
      </c>
      <c r="M1046" s="26" t="str">
        <f aca="false">IF($G1046="","",MAX(0,L1046-مهلة_المراجعة))</f>
        <v/>
      </c>
      <c r="N1046" s="30" t="str">
        <f aca="false">IF($A1046="",IF(OR($D1046&lt;&gt;"",$E1046&lt;&gt;""),"رقم المخرج ناقص",""),IF(ISNA(MATCH($A1046,قائمة_المخرجات,0)),"رقم مخرج غير موجود",IF($D1046="","نوع الحركة ناقص",IF(NOT(ISNUMBER($E1046)),"التاريخ ناقص",IF($E1046&gt;تاريخ_الاحتساب,"تاريخ بعد تاريخ الاحتساب",IF(AND($D1046&lt;&gt;"تسليم",COUNTIFS($A$5:$A$1504,$A1046,$D$5:$D$1504,"تسليم",$E$5:$E$1504,"&lt;="&amp;$E1046)=0),"لا يوجد تسليم قبل الحركة دي",""))))))</f>
        <v/>
      </c>
    </row>
    <row r="1047" customFormat="false" ht="15" hidden="false" customHeight="false" outlineLevel="0" collapsed="false">
      <c r="A1047" s="20"/>
      <c r="B1047" s="35" t="str">
        <f aca="false">IF($A1047="","",IFERROR(INDEX(مخرج_البند,MATCH($A1047,قائمة_المخرجات,0)),""))</f>
        <v/>
      </c>
      <c r="C1047" s="30" t="str">
        <f aca="false">IF($A1047="","",IFERROR(INDEX(مخرج_الوصف,MATCH($A1047,قائمة_المخرجات,0)),""))</f>
        <v/>
      </c>
      <c r="D1047" s="20"/>
      <c r="E1047" s="31"/>
      <c r="F1047" s="22"/>
      <c r="G1047" s="36" t="str">
        <f aca="false">IF(OR($A1047="",$D1047&lt;&gt;"تسليم",NOT(ISNUMBER($E1047))),"",COUNTIFS($A$5:$A$1504,$A1047,$D$5:$D$1504,"تسليم",$E$5:$E$1504,"&lt;"&amp;$E1047)+1)</f>
        <v/>
      </c>
      <c r="H1047" s="33" t="str">
        <f aca="false">IF($G1047="","",_xlfn.MINIFS($E$5:$E$1504,$A$5:$A$1504,$A1047,$D$5:$D$1504,"&lt;&gt;تسليم",$E$5:$E$1504,"&gt;="&amp;$E1047))</f>
        <v/>
      </c>
      <c r="I1047" s="33" t="str">
        <f aca="false">IF($G1047="","",_xlfn.MINIFS($E$5:$E$1504,$A$5:$A$1504,$A1047,$D$5:$D$1504,"تسليم",$E$5:$E$1504,"&gt;"&amp;$E1047))</f>
        <v/>
      </c>
      <c r="J1047" s="33" t="str">
        <f aca="false">IF($G1047="","",IF(H1047&gt;0,IF(I1047&gt;0,MIN(H1047,I1047),H1047),IF(I1047&gt;0,I1047,تاريخ_الاحتساب)))</f>
        <v/>
      </c>
      <c r="K1047" s="34" t="str">
        <f aca="false">IF($G1047="","",IF(AND(H1047=0,I1047=0),"جارية","مغلقة"))</f>
        <v/>
      </c>
      <c r="L1047" s="26" t="str">
        <f aca="false">IF($G1047="","",MAX(0,NETWORKDAYS.INTL($E1047,J1047,رمز_العطلة,أيام_الأجازات)-1))</f>
        <v/>
      </c>
      <c r="M1047" s="26" t="str">
        <f aca="false">IF($G1047="","",MAX(0,L1047-مهلة_المراجعة))</f>
        <v/>
      </c>
      <c r="N1047" s="30" t="str">
        <f aca="false">IF($A1047="",IF(OR($D1047&lt;&gt;"",$E1047&lt;&gt;""),"رقم المخرج ناقص",""),IF(ISNA(MATCH($A1047,قائمة_المخرجات,0)),"رقم مخرج غير موجود",IF($D1047="","نوع الحركة ناقص",IF(NOT(ISNUMBER($E1047)),"التاريخ ناقص",IF($E1047&gt;تاريخ_الاحتساب,"تاريخ بعد تاريخ الاحتساب",IF(AND($D1047&lt;&gt;"تسليم",COUNTIFS($A$5:$A$1504,$A1047,$D$5:$D$1504,"تسليم",$E$5:$E$1504,"&lt;="&amp;$E1047)=0),"لا يوجد تسليم قبل الحركة دي",""))))))</f>
        <v/>
      </c>
    </row>
    <row r="1048" customFormat="false" ht="15" hidden="false" customHeight="false" outlineLevel="0" collapsed="false">
      <c r="A1048" s="20"/>
      <c r="B1048" s="35" t="str">
        <f aca="false">IF($A1048="","",IFERROR(INDEX(مخرج_البند,MATCH($A1048,قائمة_المخرجات,0)),""))</f>
        <v/>
      </c>
      <c r="C1048" s="30" t="str">
        <f aca="false">IF($A1048="","",IFERROR(INDEX(مخرج_الوصف,MATCH($A1048,قائمة_المخرجات,0)),""))</f>
        <v/>
      </c>
      <c r="D1048" s="20"/>
      <c r="E1048" s="31"/>
      <c r="F1048" s="22"/>
      <c r="G1048" s="36" t="str">
        <f aca="false">IF(OR($A1048="",$D1048&lt;&gt;"تسليم",NOT(ISNUMBER($E1048))),"",COUNTIFS($A$5:$A$1504,$A1048,$D$5:$D$1504,"تسليم",$E$5:$E$1504,"&lt;"&amp;$E1048)+1)</f>
        <v/>
      </c>
      <c r="H1048" s="33" t="str">
        <f aca="false">IF($G1048="","",_xlfn.MINIFS($E$5:$E$1504,$A$5:$A$1504,$A1048,$D$5:$D$1504,"&lt;&gt;تسليم",$E$5:$E$1504,"&gt;="&amp;$E1048))</f>
        <v/>
      </c>
      <c r="I1048" s="33" t="str">
        <f aca="false">IF($G1048="","",_xlfn.MINIFS($E$5:$E$1504,$A$5:$A$1504,$A1048,$D$5:$D$1504,"تسليم",$E$5:$E$1504,"&gt;"&amp;$E1048))</f>
        <v/>
      </c>
      <c r="J1048" s="33" t="str">
        <f aca="false">IF($G1048="","",IF(H1048&gt;0,IF(I1048&gt;0,MIN(H1048,I1048),H1048),IF(I1048&gt;0,I1048,تاريخ_الاحتساب)))</f>
        <v/>
      </c>
      <c r="K1048" s="34" t="str">
        <f aca="false">IF($G1048="","",IF(AND(H1048=0,I1048=0),"جارية","مغلقة"))</f>
        <v/>
      </c>
      <c r="L1048" s="26" t="str">
        <f aca="false">IF($G1048="","",MAX(0,NETWORKDAYS.INTL($E1048,J1048,رمز_العطلة,أيام_الأجازات)-1))</f>
        <v/>
      </c>
      <c r="M1048" s="26" t="str">
        <f aca="false">IF($G1048="","",MAX(0,L1048-مهلة_المراجعة))</f>
        <v/>
      </c>
      <c r="N1048" s="30" t="str">
        <f aca="false">IF($A1048="",IF(OR($D1048&lt;&gt;"",$E1048&lt;&gt;""),"رقم المخرج ناقص",""),IF(ISNA(MATCH($A1048,قائمة_المخرجات,0)),"رقم مخرج غير موجود",IF($D1048="","نوع الحركة ناقص",IF(NOT(ISNUMBER($E1048)),"التاريخ ناقص",IF($E1048&gt;تاريخ_الاحتساب,"تاريخ بعد تاريخ الاحتساب",IF(AND($D1048&lt;&gt;"تسليم",COUNTIFS($A$5:$A$1504,$A1048,$D$5:$D$1504,"تسليم",$E$5:$E$1504,"&lt;="&amp;$E1048)=0),"لا يوجد تسليم قبل الحركة دي",""))))))</f>
        <v/>
      </c>
    </row>
    <row r="1049" customFormat="false" ht="15" hidden="false" customHeight="false" outlineLevel="0" collapsed="false">
      <c r="A1049" s="20"/>
      <c r="B1049" s="35" t="str">
        <f aca="false">IF($A1049="","",IFERROR(INDEX(مخرج_البند,MATCH($A1049,قائمة_المخرجات,0)),""))</f>
        <v/>
      </c>
      <c r="C1049" s="30" t="str">
        <f aca="false">IF($A1049="","",IFERROR(INDEX(مخرج_الوصف,MATCH($A1049,قائمة_المخرجات,0)),""))</f>
        <v/>
      </c>
      <c r="D1049" s="20"/>
      <c r="E1049" s="31"/>
      <c r="F1049" s="22"/>
      <c r="G1049" s="36" t="str">
        <f aca="false">IF(OR($A1049="",$D1049&lt;&gt;"تسليم",NOT(ISNUMBER($E1049))),"",COUNTIFS($A$5:$A$1504,$A1049,$D$5:$D$1504,"تسليم",$E$5:$E$1504,"&lt;"&amp;$E1049)+1)</f>
        <v/>
      </c>
      <c r="H1049" s="33" t="str">
        <f aca="false">IF($G1049="","",_xlfn.MINIFS($E$5:$E$1504,$A$5:$A$1504,$A1049,$D$5:$D$1504,"&lt;&gt;تسليم",$E$5:$E$1504,"&gt;="&amp;$E1049))</f>
        <v/>
      </c>
      <c r="I1049" s="33" t="str">
        <f aca="false">IF($G1049="","",_xlfn.MINIFS($E$5:$E$1504,$A$5:$A$1504,$A1049,$D$5:$D$1504,"تسليم",$E$5:$E$1504,"&gt;"&amp;$E1049))</f>
        <v/>
      </c>
      <c r="J1049" s="33" t="str">
        <f aca="false">IF($G1049="","",IF(H1049&gt;0,IF(I1049&gt;0,MIN(H1049,I1049),H1049),IF(I1049&gt;0,I1049,تاريخ_الاحتساب)))</f>
        <v/>
      </c>
      <c r="K1049" s="34" t="str">
        <f aca="false">IF($G1049="","",IF(AND(H1049=0,I1049=0),"جارية","مغلقة"))</f>
        <v/>
      </c>
      <c r="L1049" s="26" t="str">
        <f aca="false">IF($G1049="","",MAX(0,NETWORKDAYS.INTL($E1049,J1049,رمز_العطلة,أيام_الأجازات)-1))</f>
        <v/>
      </c>
      <c r="M1049" s="26" t="str">
        <f aca="false">IF($G1049="","",MAX(0,L1049-مهلة_المراجعة))</f>
        <v/>
      </c>
      <c r="N1049" s="30" t="str">
        <f aca="false">IF($A1049="",IF(OR($D1049&lt;&gt;"",$E1049&lt;&gt;""),"رقم المخرج ناقص",""),IF(ISNA(MATCH($A1049,قائمة_المخرجات,0)),"رقم مخرج غير موجود",IF($D1049="","نوع الحركة ناقص",IF(NOT(ISNUMBER($E1049)),"التاريخ ناقص",IF($E1049&gt;تاريخ_الاحتساب,"تاريخ بعد تاريخ الاحتساب",IF(AND($D1049&lt;&gt;"تسليم",COUNTIFS($A$5:$A$1504,$A1049,$D$5:$D$1504,"تسليم",$E$5:$E$1504,"&lt;="&amp;$E1049)=0),"لا يوجد تسليم قبل الحركة دي",""))))))</f>
        <v/>
      </c>
    </row>
    <row r="1050" customFormat="false" ht="15" hidden="false" customHeight="false" outlineLevel="0" collapsed="false">
      <c r="A1050" s="20"/>
      <c r="B1050" s="35" t="str">
        <f aca="false">IF($A1050="","",IFERROR(INDEX(مخرج_البند,MATCH($A1050,قائمة_المخرجات,0)),""))</f>
        <v/>
      </c>
      <c r="C1050" s="30" t="str">
        <f aca="false">IF($A1050="","",IFERROR(INDEX(مخرج_الوصف,MATCH($A1050,قائمة_المخرجات,0)),""))</f>
        <v/>
      </c>
      <c r="D1050" s="20"/>
      <c r="E1050" s="31"/>
      <c r="F1050" s="22"/>
      <c r="G1050" s="36" t="str">
        <f aca="false">IF(OR($A1050="",$D1050&lt;&gt;"تسليم",NOT(ISNUMBER($E1050))),"",COUNTIFS($A$5:$A$1504,$A1050,$D$5:$D$1504,"تسليم",$E$5:$E$1504,"&lt;"&amp;$E1050)+1)</f>
        <v/>
      </c>
      <c r="H1050" s="33" t="str">
        <f aca="false">IF($G1050="","",_xlfn.MINIFS($E$5:$E$1504,$A$5:$A$1504,$A1050,$D$5:$D$1504,"&lt;&gt;تسليم",$E$5:$E$1504,"&gt;="&amp;$E1050))</f>
        <v/>
      </c>
      <c r="I1050" s="33" t="str">
        <f aca="false">IF($G1050="","",_xlfn.MINIFS($E$5:$E$1504,$A$5:$A$1504,$A1050,$D$5:$D$1504,"تسليم",$E$5:$E$1504,"&gt;"&amp;$E1050))</f>
        <v/>
      </c>
      <c r="J1050" s="33" t="str">
        <f aca="false">IF($G1050="","",IF(H1050&gt;0,IF(I1050&gt;0,MIN(H1050,I1050),H1050),IF(I1050&gt;0,I1050,تاريخ_الاحتساب)))</f>
        <v/>
      </c>
      <c r="K1050" s="34" t="str">
        <f aca="false">IF($G1050="","",IF(AND(H1050=0,I1050=0),"جارية","مغلقة"))</f>
        <v/>
      </c>
      <c r="L1050" s="26" t="str">
        <f aca="false">IF($G1050="","",MAX(0,NETWORKDAYS.INTL($E1050,J1050,رمز_العطلة,أيام_الأجازات)-1))</f>
        <v/>
      </c>
      <c r="M1050" s="26" t="str">
        <f aca="false">IF($G1050="","",MAX(0,L1050-مهلة_المراجعة))</f>
        <v/>
      </c>
      <c r="N1050" s="30" t="str">
        <f aca="false">IF($A1050="",IF(OR($D1050&lt;&gt;"",$E1050&lt;&gt;""),"رقم المخرج ناقص",""),IF(ISNA(MATCH($A1050,قائمة_المخرجات,0)),"رقم مخرج غير موجود",IF($D1050="","نوع الحركة ناقص",IF(NOT(ISNUMBER($E1050)),"التاريخ ناقص",IF($E1050&gt;تاريخ_الاحتساب,"تاريخ بعد تاريخ الاحتساب",IF(AND($D1050&lt;&gt;"تسليم",COUNTIFS($A$5:$A$1504,$A1050,$D$5:$D$1504,"تسليم",$E$5:$E$1504,"&lt;="&amp;$E1050)=0),"لا يوجد تسليم قبل الحركة دي",""))))))</f>
        <v/>
      </c>
    </row>
    <row r="1051" customFormat="false" ht="15" hidden="false" customHeight="false" outlineLevel="0" collapsed="false">
      <c r="A1051" s="20"/>
      <c r="B1051" s="35" t="str">
        <f aca="false">IF($A1051="","",IFERROR(INDEX(مخرج_البند,MATCH($A1051,قائمة_المخرجات,0)),""))</f>
        <v/>
      </c>
      <c r="C1051" s="30" t="str">
        <f aca="false">IF($A1051="","",IFERROR(INDEX(مخرج_الوصف,MATCH($A1051,قائمة_المخرجات,0)),""))</f>
        <v/>
      </c>
      <c r="D1051" s="20"/>
      <c r="E1051" s="31"/>
      <c r="F1051" s="22"/>
      <c r="G1051" s="36" t="str">
        <f aca="false">IF(OR($A1051="",$D1051&lt;&gt;"تسليم",NOT(ISNUMBER($E1051))),"",COUNTIFS($A$5:$A$1504,$A1051,$D$5:$D$1504,"تسليم",$E$5:$E$1504,"&lt;"&amp;$E1051)+1)</f>
        <v/>
      </c>
      <c r="H1051" s="33" t="str">
        <f aca="false">IF($G1051="","",_xlfn.MINIFS($E$5:$E$1504,$A$5:$A$1504,$A1051,$D$5:$D$1504,"&lt;&gt;تسليم",$E$5:$E$1504,"&gt;="&amp;$E1051))</f>
        <v/>
      </c>
      <c r="I1051" s="33" t="str">
        <f aca="false">IF($G1051="","",_xlfn.MINIFS($E$5:$E$1504,$A$5:$A$1504,$A1051,$D$5:$D$1504,"تسليم",$E$5:$E$1504,"&gt;"&amp;$E1051))</f>
        <v/>
      </c>
      <c r="J1051" s="33" t="str">
        <f aca="false">IF($G1051="","",IF(H1051&gt;0,IF(I1051&gt;0,MIN(H1051,I1051),H1051),IF(I1051&gt;0,I1051,تاريخ_الاحتساب)))</f>
        <v/>
      </c>
      <c r="K1051" s="34" t="str">
        <f aca="false">IF($G1051="","",IF(AND(H1051=0,I1051=0),"جارية","مغلقة"))</f>
        <v/>
      </c>
      <c r="L1051" s="26" t="str">
        <f aca="false">IF($G1051="","",MAX(0,NETWORKDAYS.INTL($E1051,J1051,رمز_العطلة,أيام_الأجازات)-1))</f>
        <v/>
      </c>
      <c r="M1051" s="26" t="str">
        <f aca="false">IF($G1051="","",MAX(0,L1051-مهلة_المراجعة))</f>
        <v/>
      </c>
      <c r="N1051" s="30" t="str">
        <f aca="false">IF($A1051="",IF(OR($D1051&lt;&gt;"",$E1051&lt;&gt;""),"رقم المخرج ناقص",""),IF(ISNA(MATCH($A1051,قائمة_المخرجات,0)),"رقم مخرج غير موجود",IF($D1051="","نوع الحركة ناقص",IF(NOT(ISNUMBER($E1051)),"التاريخ ناقص",IF($E1051&gt;تاريخ_الاحتساب,"تاريخ بعد تاريخ الاحتساب",IF(AND($D1051&lt;&gt;"تسليم",COUNTIFS($A$5:$A$1504,$A1051,$D$5:$D$1504,"تسليم",$E$5:$E$1504,"&lt;="&amp;$E1051)=0),"لا يوجد تسليم قبل الحركة دي",""))))))</f>
        <v/>
      </c>
    </row>
    <row r="1052" customFormat="false" ht="15" hidden="false" customHeight="false" outlineLevel="0" collapsed="false">
      <c r="A1052" s="20"/>
      <c r="B1052" s="35" t="str">
        <f aca="false">IF($A1052="","",IFERROR(INDEX(مخرج_البند,MATCH($A1052,قائمة_المخرجات,0)),""))</f>
        <v/>
      </c>
      <c r="C1052" s="30" t="str">
        <f aca="false">IF($A1052="","",IFERROR(INDEX(مخرج_الوصف,MATCH($A1052,قائمة_المخرجات,0)),""))</f>
        <v/>
      </c>
      <c r="D1052" s="20"/>
      <c r="E1052" s="31"/>
      <c r="F1052" s="22"/>
      <c r="G1052" s="36" t="str">
        <f aca="false">IF(OR($A1052="",$D1052&lt;&gt;"تسليم",NOT(ISNUMBER($E1052))),"",COUNTIFS($A$5:$A$1504,$A1052,$D$5:$D$1504,"تسليم",$E$5:$E$1504,"&lt;"&amp;$E1052)+1)</f>
        <v/>
      </c>
      <c r="H1052" s="33" t="str">
        <f aca="false">IF($G1052="","",_xlfn.MINIFS($E$5:$E$1504,$A$5:$A$1504,$A1052,$D$5:$D$1504,"&lt;&gt;تسليم",$E$5:$E$1504,"&gt;="&amp;$E1052))</f>
        <v/>
      </c>
      <c r="I1052" s="33" t="str">
        <f aca="false">IF($G1052="","",_xlfn.MINIFS($E$5:$E$1504,$A$5:$A$1504,$A1052,$D$5:$D$1504,"تسليم",$E$5:$E$1504,"&gt;"&amp;$E1052))</f>
        <v/>
      </c>
      <c r="J1052" s="33" t="str">
        <f aca="false">IF($G1052="","",IF(H1052&gt;0,IF(I1052&gt;0,MIN(H1052,I1052),H1052),IF(I1052&gt;0,I1052,تاريخ_الاحتساب)))</f>
        <v/>
      </c>
      <c r="K1052" s="34" t="str">
        <f aca="false">IF($G1052="","",IF(AND(H1052=0,I1052=0),"جارية","مغلقة"))</f>
        <v/>
      </c>
      <c r="L1052" s="26" t="str">
        <f aca="false">IF($G1052="","",MAX(0,NETWORKDAYS.INTL($E1052,J1052,رمز_العطلة,أيام_الأجازات)-1))</f>
        <v/>
      </c>
      <c r="M1052" s="26" t="str">
        <f aca="false">IF($G1052="","",MAX(0,L1052-مهلة_المراجعة))</f>
        <v/>
      </c>
      <c r="N1052" s="30" t="str">
        <f aca="false">IF($A1052="",IF(OR($D1052&lt;&gt;"",$E1052&lt;&gt;""),"رقم المخرج ناقص",""),IF(ISNA(MATCH($A1052,قائمة_المخرجات,0)),"رقم مخرج غير موجود",IF($D1052="","نوع الحركة ناقص",IF(NOT(ISNUMBER($E1052)),"التاريخ ناقص",IF($E1052&gt;تاريخ_الاحتساب,"تاريخ بعد تاريخ الاحتساب",IF(AND($D1052&lt;&gt;"تسليم",COUNTIFS($A$5:$A$1504,$A1052,$D$5:$D$1504,"تسليم",$E$5:$E$1504,"&lt;="&amp;$E1052)=0),"لا يوجد تسليم قبل الحركة دي",""))))))</f>
        <v/>
      </c>
    </row>
    <row r="1053" customFormat="false" ht="15" hidden="false" customHeight="false" outlineLevel="0" collapsed="false">
      <c r="A1053" s="20"/>
      <c r="B1053" s="35" t="str">
        <f aca="false">IF($A1053="","",IFERROR(INDEX(مخرج_البند,MATCH($A1053,قائمة_المخرجات,0)),""))</f>
        <v/>
      </c>
      <c r="C1053" s="30" t="str">
        <f aca="false">IF($A1053="","",IFERROR(INDEX(مخرج_الوصف,MATCH($A1053,قائمة_المخرجات,0)),""))</f>
        <v/>
      </c>
      <c r="D1053" s="20"/>
      <c r="E1053" s="31"/>
      <c r="F1053" s="22"/>
      <c r="G1053" s="36" t="str">
        <f aca="false">IF(OR($A1053="",$D1053&lt;&gt;"تسليم",NOT(ISNUMBER($E1053))),"",COUNTIFS($A$5:$A$1504,$A1053,$D$5:$D$1504,"تسليم",$E$5:$E$1504,"&lt;"&amp;$E1053)+1)</f>
        <v/>
      </c>
      <c r="H1053" s="33" t="str">
        <f aca="false">IF($G1053="","",_xlfn.MINIFS($E$5:$E$1504,$A$5:$A$1504,$A1053,$D$5:$D$1504,"&lt;&gt;تسليم",$E$5:$E$1504,"&gt;="&amp;$E1053))</f>
        <v/>
      </c>
      <c r="I1053" s="33" t="str">
        <f aca="false">IF($G1053="","",_xlfn.MINIFS($E$5:$E$1504,$A$5:$A$1504,$A1053,$D$5:$D$1504,"تسليم",$E$5:$E$1504,"&gt;"&amp;$E1053))</f>
        <v/>
      </c>
      <c r="J1053" s="33" t="str">
        <f aca="false">IF($G1053="","",IF(H1053&gt;0,IF(I1053&gt;0,MIN(H1053,I1053),H1053),IF(I1053&gt;0,I1053,تاريخ_الاحتساب)))</f>
        <v/>
      </c>
      <c r="K1053" s="34" t="str">
        <f aca="false">IF($G1053="","",IF(AND(H1053=0,I1053=0),"جارية","مغلقة"))</f>
        <v/>
      </c>
      <c r="L1053" s="26" t="str">
        <f aca="false">IF($G1053="","",MAX(0,NETWORKDAYS.INTL($E1053,J1053,رمز_العطلة,أيام_الأجازات)-1))</f>
        <v/>
      </c>
      <c r="M1053" s="26" t="str">
        <f aca="false">IF($G1053="","",MAX(0,L1053-مهلة_المراجعة))</f>
        <v/>
      </c>
      <c r="N1053" s="30" t="str">
        <f aca="false">IF($A1053="",IF(OR($D1053&lt;&gt;"",$E1053&lt;&gt;""),"رقم المخرج ناقص",""),IF(ISNA(MATCH($A1053,قائمة_المخرجات,0)),"رقم مخرج غير موجود",IF($D1053="","نوع الحركة ناقص",IF(NOT(ISNUMBER($E1053)),"التاريخ ناقص",IF($E1053&gt;تاريخ_الاحتساب,"تاريخ بعد تاريخ الاحتساب",IF(AND($D1053&lt;&gt;"تسليم",COUNTIFS($A$5:$A$1504,$A1053,$D$5:$D$1504,"تسليم",$E$5:$E$1504,"&lt;="&amp;$E1053)=0),"لا يوجد تسليم قبل الحركة دي",""))))))</f>
        <v/>
      </c>
    </row>
    <row r="1054" customFormat="false" ht="15" hidden="false" customHeight="false" outlineLevel="0" collapsed="false">
      <c r="A1054" s="20"/>
      <c r="B1054" s="35" t="str">
        <f aca="false">IF($A1054="","",IFERROR(INDEX(مخرج_البند,MATCH($A1054,قائمة_المخرجات,0)),""))</f>
        <v/>
      </c>
      <c r="C1054" s="30" t="str">
        <f aca="false">IF($A1054="","",IFERROR(INDEX(مخرج_الوصف,MATCH($A1054,قائمة_المخرجات,0)),""))</f>
        <v/>
      </c>
      <c r="D1054" s="20"/>
      <c r="E1054" s="31"/>
      <c r="F1054" s="22"/>
      <c r="G1054" s="36" t="str">
        <f aca="false">IF(OR($A1054="",$D1054&lt;&gt;"تسليم",NOT(ISNUMBER($E1054))),"",COUNTIFS($A$5:$A$1504,$A1054,$D$5:$D$1504,"تسليم",$E$5:$E$1504,"&lt;"&amp;$E1054)+1)</f>
        <v/>
      </c>
      <c r="H1054" s="33" t="str">
        <f aca="false">IF($G1054="","",_xlfn.MINIFS($E$5:$E$1504,$A$5:$A$1504,$A1054,$D$5:$D$1504,"&lt;&gt;تسليم",$E$5:$E$1504,"&gt;="&amp;$E1054))</f>
        <v/>
      </c>
      <c r="I1054" s="33" t="str">
        <f aca="false">IF($G1054="","",_xlfn.MINIFS($E$5:$E$1504,$A$5:$A$1504,$A1054,$D$5:$D$1504,"تسليم",$E$5:$E$1504,"&gt;"&amp;$E1054))</f>
        <v/>
      </c>
      <c r="J1054" s="33" t="str">
        <f aca="false">IF($G1054="","",IF(H1054&gt;0,IF(I1054&gt;0,MIN(H1054,I1054),H1054),IF(I1054&gt;0,I1054,تاريخ_الاحتساب)))</f>
        <v/>
      </c>
      <c r="K1054" s="34" t="str">
        <f aca="false">IF($G1054="","",IF(AND(H1054=0,I1054=0),"جارية","مغلقة"))</f>
        <v/>
      </c>
      <c r="L1054" s="26" t="str">
        <f aca="false">IF($G1054="","",MAX(0,NETWORKDAYS.INTL($E1054,J1054,رمز_العطلة,أيام_الأجازات)-1))</f>
        <v/>
      </c>
      <c r="M1054" s="26" t="str">
        <f aca="false">IF($G1054="","",MAX(0,L1054-مهلة_المراجعة))</f>
        <v/>
      </c>
      <c r="N1054" s="30" t="str">
        <f aca="false">IF($A1054="",IF(OR($D1054&lt;&gt;"",$E1054&lt;&gt;""),"رقم المخرج ناقص",""),IF(ISNA(MATCH($A1054,قائمة_المخرجات,0)),"رقم مخرج غير موجود",IF($D1054="","نوع الحركة ناقص",IF(NOT(ISNUMBER($E1054)),"التاريخ ناقص",IF($E1054&gt;تاريخ_الاحتساب,"تاريخ بعد تاريخ الاحتساب",IF(AND($D1054&lt;&gt;"تسليم",COUNTIFS($A$5:$A$1504,$A1054,$D$5:$D$1504,"تسليم",$E$5:$E$1504,"&lt;="&amp;$E1054)=0),"لا يوجد تسليم قبل الحركة دي",""))))))</f>
        <v/>
      </c>
    </row>
    <row r="1055" customFormat="false" ht="15" hidden="false" customHeight="false" outlineLevel="0" collapsed="false">
      <c r="A1055" s="20"/>
      <c r="B1055" s="35" t="str">
        <f aca="false">IF($A1055="","",IFERROR(INDEX(مخرج_البند,MATCH($A1055,قائمة_المخرجات,0)),""))</f>
        <v/>
      </c>
      <c r="C1055" s="30" t="str">
        <f aca="false">IF($A1055="","",IFERROR(INDEX(مخرج_الوصف,MATCH($A1055,قائمة_المخرجات,0)),""))</f>
        <v/>
      </c>
      <c r="D1055" s="20"/>
      <c r="E1055" s="31"/>
      <c r="F1055" s="22"/>
      <c r="G1055" s="36" t="str">
        <f aca="false">IF(OR($A1055="",$D1055&lt;&gt;"تسليم",NOT(ISNUMBER($E1055))),"",COUNTIFS($A$5:$A$1504,$A1055,$D$5:$D$1504,"تسليم",$E$5:$E$1504,"&lt;"&amp;$E1055)+1)</f>
        <v/>
      </c>
      <c r="H1055" s="33" t="str">
        <f aca="false">IF($G1055="","",_xlfn.MINIFS($E$5:$E$1504,$A$5:$A$1504,$A1055,$D$5:$D$1504,"&lt;&gt;تسليم",$E$5:$E$1504,"&gt;="&amp;$E1055))</f>
        <v/>
      </c>
      <c r="I1055" s="33" t="str">
        <f aca="false">IF($G1055="","",_xlfn.MINIFS($E$5:$E$1504,$A$5:$A$1504,$A1055,$D$5:$D$1504,"تسليم",$E$5:$E$1504,"&gt;"&amp;$E1055))</f>
        <v/>
      </c>
      <c r="J1055" s="33" t="str">
        <f aca="false">IF($G1055="","",IF(H1055&gt;0,IF(I1055&gt;0,MIN(H1055,I1055),H1055),IF(I1055&gt;0,I1055,تاريخ_الاحتساب)))</f>
        <v/>
      </c>
      <c r="K1055" s="34" t="str">
        <f aca="false">IF($G1055="","",IF(AND(H1055=0,I1055=0),"جارية","مغلقة"))</f>
        <v/>
      </c>
      <c r="L1055" s="26" t="str">
        <f aca="false">IF($G1055="","",MAX(0,NETWORKDAYS.INTL($E1055,J1055,رمز_العطلة,أيام_الأجازات)-1))</f>
        <v/>
      </c>
      <c r="M1055" s="26" t="str">
        <f aca="false">IF($G1055="","",MAX(0,L1055-مهلة_المراجعة))</f>
        <v/>
      </c>
      <c r="N1055" s="30" t="str">
        <f aca="false">IF($A1055="",IF(OR($D1055&lt;&gt;"",$E1055&lt;&gt;""),"رقم المخرج ناقص",""),IF(ISNA(MATCH($A1055,قائمة_المخرجات,0)),"رقم مخرج غير موجود",IF($D1055="","نوع الحركة ناقص",IF(NOT(ISNUMBER($E1055)),"التاريخ ناقص",IF($E1055&gt;تاريخ_الاحتساب,"تاريخ بعد تاريخ الاحتساب",IF(AND($D1055&lt;&gt;"تسليم",COUNTIFS($A$5:$A$1504,$A1055,$D$5:$D$1504,"تسليم",$E$5:$E$1504,"&lt;="&amp;$E1055)=0),"لا يوجد تسليم قبل الحركة دي",""))))))</f>
        <v/>
      </c>
    </row>
    <row r="1056" customFormat="false" ht="15" hidden="false" customHeight="false" outlineLevel="0" collapsed="false">
      <c r="A1056" s="20"/>
      <c r="B1056" s="35" t="str">
        <f aca="false">IF($A1056="","",IFERROR(INDEX(مخرج_البند,MATCH($A1056,قائمة_المخرجات,0)),""))</f>
        <v/>
      </c>
      <c r="C1056" s="30" t="str">
        <f aca="false">IF($A1056="","",IFERROR(INDEX(مخرج_الوصف,MATCH($A1056,قائمة_المخرجات,0)),""))</f>
        <v/>
      </c>
      <c r="D1056" s="20"/>
      <c r="E1056" s="31"/>
      <c r="F1056" s="22"/>
      <c r="G1056" s="36" t="str">
        <f aca="false">IF(OR($A1056="",$D1056&lt;&gt;"تسليم",NOT(ISNUMBER($E1056))),"",COUNTIFS($A$5:$A$1504,$A1056,$D$5:$D$1504,"تسليم",$E$5:$E$1504,"&lt;"&amp;$E1056)+1)</f>
        <v/>
      </c>
      <c r="H1056" s="33" t="str">
        <f aca="false">IF($G1056="","",_xlfn.MINIFS($E$5:$E$1504,$A$5:$A$1504,$A1056,$D$5:$D$1504,"&lt;&gt;تسليم",$E$5:$E$1504,"&gt;="&amp;$E1056))</f>
        <v/>
      </c>
      <c r="I1056" s="33" t="str">
        <f aca="false">IF($G1056="","",_xlfn.MINIFS($E$5:$E$1504,$A$5:$A$1504,$A1056,$D$5:$D$1504,"تسليم",$E$5:$E$1504,"&gt;"&amp;$E1056))</f>
        <v/>
      </c>
      <c r="J1056" s="33" t="str">
        <f aca="false">IF($G1056="","",IF(H1056&gt;0,IF(I1056&gt;0,MIN(H1056,I1056),H1056),IF(I1056&gt;0,I1056,تاريخ_الاحتساب)))</f>
        <v/>
      </c>
      <c r="K1056" s="34" t="str">
        <f aca="false">IF($G1056="","",IF(AND(H1056=0,I1056=0),"جارية","مغلقة"))</f>
        <v/>
      </c>
      <c r="L1056" s="26" t="str">
        <f aca="false">IF($G1056="","",MAX(0,NETWORKDAYS.INTL($E1056,J1056,رمز_العطلة,أيام_الأجازات)-1))</f>
        <v/>
      </c>
      <c r="M1056" s="26" t="str">
        <f aca="false">IF($G1056="","",MAX(0,L1056-مهلة_المراجعة))</f>
        <v/>
      </c>
      <c r="N1056" s="30" t="str">
        <f aca="false">IF($A1056="",IF(OR($D1056&lt;&gt;"",$E1056&lt;&gt;""),"رقم المخرج ناقص",""),IF(ISNA(MATCH($A1056,قائمة_المخرجات,0)),"رقم مخرج غير موجود",IF($D1056="","نوع الحركة ناقص",IF(NOT(ISNUMBER($E1056)),"التاريخ ناقص",IF($E1056&gt;تاريخ_الاحتساب,"تاريخ بعد تاريخ الاحتساب",IF(AND($D1056&lt;&gt;"تسليم",COUNTIFS($A$5:$A$1504,$A1056,$D$5:$D$1504,"تسليم",$E$5:$E$1504,"&lt;="&amp;$E1056)=0),"لا يوجد تسليم قبل الحركة دي",""))))))</f>
        <v/>
      </c>
    </row>
    <row r="1057" customFormat="false" ht="15" hidden="false" customHeight="false" outlineLevel="0" collapsed="false">
      <c r="A1057" s="20"/>
      <c r="B1057" s="35" t="str">
        <f aca="false">IF($A1057="","",IFERROR(INDEX(مخرج_البند,MATCH($A1057,قائمة_المخرجات,0)),""))</f>
        <v/>
      </c>
      <c r="C1057" s="30" t="str">
        <f aca="false">IF($A1057="","",IFERROR(INDEX(مخرج_الوصف,MATCH($A1057,قائمة_المخرجات,0)),""))</f>
        <v/>
      </c>
      <c r="D1057" s="20"/>
      <c r="E1057" s="31"/>
      <c r="F1057" s="22"/>
      <c r="G1057" s="36" t="str">
        <f aca="false">IF(OR($A1057="",$D1057&lt;&gt;"تسليم",NOT(ISNUMBER($E1057))),"",COUNTIFS($A$5:$A$1504,$A1057,$D$5:$D$1504,"تسليم",$E$5:$E$1504,"&lt;"&amp;$E1057)+1)</f>
        <v/>
      </c>
      <c r="H1057" s="33" t="str">
        <f aca="false">IF($G1057="","",_xlfn.MINIFS($E$5:$E$1504,$A$5:$A$1504,$A1057,$D$5:$D$1504,"&lt;&gt;تسليم",$E$5:$E$1504,"&gt;="&amp;$E1057))</f>
        <v/>
      </c>
      <c r="I1057" s="33" t="str">
        <f aca="false">IF($G1057="","",_xlfn.MINIFS($E$5:$E$1504,$A$5:$A$1504,$A1057,$D$5:$D$1504,"تسليم",$E$5:$E$1504,"&gt;"&amp;$E1057))</f>
        <v/>
      </c>
      <c r="J1057" s="33" t="str">
        <f aca="false">IF($G1057="","",IF(H1057&gt;0,IF(I1057&gt;0,MIN(H1057,I1057),H1057),IF(I1057&gt;0,I1057,تاريخ_الاحتساب)))</f>
        <v/>
      </c>
      <c r="K1057" s="34" t="str">
        <f aca="false">IF($G1057="","",IF(AND(H1057=0,I1057=0),"جارية","مغلقة"))</f>
        <v/>
      </c>
      <c r="L1057" s="26" t="str">
        <f aca="false">IF($G1057="","",MAX(0,NETWORKDAYS.INTL($E1057,J1057,رمز_العطلة,أيام_الأجازات)-1))</f>
        <v/>
      </c>
      <c r="M1057" s="26" t="str">
        <f aca="false">IF($G1057="","",MAX(0,L1057-مهلة_المراجعة))</f>
        <v/>
      </c>
      <c r="N1057" s="30" t="str">
        <f aca="false">IF($A1057="",IF(OR($D1057&lt;&gt;"",$E1057&lt;&gt;""),"رقم المخرج ناقص",""),IF(ISNA(MATCH($A1057,قائمة_المخرجات,0)),"رقم مخرج غير موجود",IF($D1057="","نوع الحركة ناقص",IF(NOT(ISNUMBER($E1057)),"التاريخ ناقص",IF($E1057&gt;تاريخ_الاحتساب,"تاريخ بعد تاريخ الاحتساب",IF(AND($D1057&lt;&gt;"تسليم",COUNTIFS($A$5:$A$1504,$A1057,$D$5:$D$1504,"تسليم",$E$5:$E$1504,"&lt;="&amp;$E1057)=0),"لا يوجد تسليم قبل الحركة دي",""))))))</f>
        <v/>
      </c>
    </row>
    <row r="1058" customFormat="false" ht="15" hidden="false" customHeight="false" outlineLevel="0" collapsed="false">
      <c r="A1058" s="20"/>
      <c r="B1058" s="35" t="str">
        <f aca="false">IF($A1058="","",IFERROR(INDEX(مخرج_البند,MATCH($A1058,قائمة_المخرجات,0)),""))</f>
        <v/>
      </c>
      <c r="C1058" s="30" t="str">
        <f aca="false">IF($A1058="","",IFERROR(INDEX(مخرج_الوصف,MATCH($A1058,قائمة_المخرجات,0)),""))</f>
        <v/>
      </c>
      <c r="D1058" s="20"/>
      <c r="E1058" s="31"/>
      <c r="F1058" s="22"/>
      <c r="G1058" s="36" t="str">
        <f aca="false">IF(OR($A1058="",$D1058&lt;&gt;"تسليم",NOT(ISNUMBER($E1058))),"",COUNTIFS($A$5:$A$1504,$A1058,$D$5:$D$1504,"تسليم",$E$5:$E$1504,"&lt;"&amp;$E1058)+1)</f>
        <v/>
      </c>
      <c r="H1058" s="33" t="str">
        <f aca="false">IF($G1058="","",_xlfn.MINIFS($E$5:$E$1504,$A$5:$A$1504,$A1058,$D$5:$D$1504,"&lt;&gt;تسليم",$E$5:$E$1504,"&gt;="&amp;$E1058))</f>
        <v/>
      </c>
      <c r="I1058" s="33" t="str">
        <f aca="false">IF($G1058="","",_xlfn.MINIFS($E$5:$E$1504,$A$5:$A$1504,$A1058,$D$5:$D$1504,"تسليم",$E$5:$E$1504,"&gt;"&amp;$E1058))</f>
        <v/>
      </c>
      <c r="J1058" s="33" t="str">
        <f aca="false">IF($G1058="","",IF(H1058&gt;0,IF(I1058&gt;0,MIN(H1058,I1058),H1058),IF(I1058&gt;0,I1058,تاريخ_الاحتساب)))</f>
        <v/>
      </c>
      <c r="K1058" s="34" t="str">
        <f aca="false">IF($G1058="","",IF(AND(H1058=0,I1058=0),"جارية","مغلقة"))</f>
        <v/>
      </c>
      <c r="L1058" s="26" t="str">
        <f aca="false">IF($G1058="","",MAX(0,NETWORKDAYS.INTL($E1058,J1058,رمز_العطلة,أيام_الأجازات)-1))</f>
        <v/>
      </c>
      <c r="M1058" s="26" t="str">
        <f aca="false">IF($G1058="","",MAX(0,L1058-مهلة_المراجعة))</f>
        <v/>
      </c>
      <c r="N1058" s="30" t="str">
        <f aca="false">IF($A1058="",IF(OR($D1058&lt;&gt;"",$E1058&lt;&gt;""),"رقم المخرج ناقص",""),IF(ISNA(MATCH($A1058,قائمة_المخرجات,0)),"رقم مخرج غير موجود",IF($D1058="","نوع الحركة ناقص",IF(NOT(ISNUMBER($E1058)),"التاريخ ناقص",IF($E1058&gt;تاريخ_الاحتساب,"تاريخ بعد تاريخ الاحتساب",IF(AND($D1058&lt;&gt;"تسليم",COUNTIFS($A$5:$A$1504,$A1058,$D$5:$D$1504,"تسليم",$E$5:$E$1504,"&lt;="&amp;$E1058)=0),"لا يوجد تسليم قبل الحركة دي",""))))))</f>
        <v/>
      </c>
    </row>
    <row r="1059" customFormat="false" ht="15" hidden="false" customHeight="false" outlineLevel="0" collapsed="false">
      <c r="A1059" s="20"/>
      <c r="B1059" s="35" t="str">
        <f aca="false">IF($A1059="","",IFERROR(INDEX(مخرج_البند,MATCH($A1059,قائمة_المخرجات,0)),""))</f>
        <v/>
      </c>
      <c r="C1059" s="30" t="str">
        <f aca="false">IF($A1059="","",IFERROR(INDEX(مخرج_الوصف,MATCH($A1059,قائمة_المخرجات,0)),""))</f>
        <v/>
      </c>
      <c r="D1059" s="20"/>
      <c r="E1059" s="31"/>
      <c r="F1059" s="22"/>
      <c r="G1059" s="36" t="str">
        <f aca="false">IF(OR($A1059="",$D1059&lt;&gt;"تسليم",NOT(ISNUMBER($E1059))),"",COUNTIFS($A$5:$A$1504,$A1059,$D$5:$D$1504,"تسليم",$E$5:$E$1504,"&lt;"&amp;$E1059)+1)</f>
        <v/>
      </c>
      <c r="H1059" s="33" t="str">
        <f aca="false">IF($G1059="","",_xlfn.MINIFS($E$5:$E$1504,$A$5:$A$1504,$A1059,$D$5:$D$1504,"&lt;&gt;تسليم",$E$5:$E$1504,"&gt;="&amp;$E1059))</f>
        <v/>
      </c>
      <c r="I1059" s="33" t="str">
        <f aca="false">IF($G1059="","",_xlfn.MINIFS($E$5:$E$1504,$A$5:$A$1504,$A1059,$D$5:$D$1504,"تسليم",$E$5:$E$1504,"&gt;"&amp;$E1059))</f>
        <v/>
      </c>
      <c r="J1059" s="33" t="str">
        <f aca="false">IF($G1059="","",IF(H1059&gt;0,IF(I1059&gt;0,MIN(H1059,I1059),H1059),IF(I1059&gt;0,I1059,تاريخ_الاحتساب)))</f>
        <v/>
      </c>
      <c r="K1059" s="34" t="str">
        <f aca="false">IF($G1059="","",IF(AND(H1059=0,I1059=0),"جارية","مغلقة"))</f>
        <v/>
      </c>
      <c r="L1059" s="26" t="str">
        <f aca="false">IF($G1059="","",MAX(0,NETWORKDAYS.INTL($E1059,J1059,رمز_العطلة,أيام_الأجازات)-1))</f>
        <v/>
      </c>
      <c r="M1059" s="26" t="str">
        <f aca="false">IF($G1059="","",MAX(0,L1059-مهلة_المراجعة))</f>
        <v/>
      </c>
      <c r="N1059" s="30" t="str">
        <f aca="false">IF($A1059="",IF(OR($D1059&lt;&gt;"",$E1059&lt;&gt;""),"رقم المخرج ناقص",""),IF(ISNA(MATCH($A1059,قائمة_المخرجات,0)),"رقم مخرج غير موجود",IF($D1059="","نوع الحركة ناقص",IF(NOT(ISNUMBER($E1059)),"التاريخ ناقص",IF($E1059&gt;تاريخ_الاحتساب,"تاريخ بعد تاريخ الاحتساب",IF(AND($D1059&lt;&gt;"تسليم",COUNTIFS($A$5:$A$1504,$A1059,$D$5:$D$1504,"تسليم",$E$5:$E$1504,"&lt;="&amp;$E1059)=0),"لا يوجد تسليم قبل الحركة دي",""))))))</f>
        <v/>
      </c>
    </row>
    <row r="1060" customFormat="false" ht="15" hidden="false" customHeight="false" outlineLevel="0" collapsed="false">
      <c r="A1060" s="20"/>
      <c r="B1060" s="35" t="str">
        <f aca="false">IF($A1060="","",IFERROR(INDEX(مخرج_البند,MATCH($A1060,قائمة_المخرجات,0)),""))</f>
        <v/>
      </c>
      <c r="C1060" s="30" t="str">
        <f aca="false">IF($A1060="","",IFERROR(INDEX(مخرج_الوصف,MATCH($A1060,قائمة_المخرجات,0)),""))</f>
        <v/>
      </c>
      <c r="D1060" s="20"/>
      <c r="E1060" s="31"/>
      <c r="F1060" s="22"/>
      <c r="G1060" s="36" t="str">
        <f aca="false">IF(OR($A1060="",$D1060&lt;&gt;"تسليم",NOT(ISNUMBER($E1060))),"",COUNTIFS($A$5:$A$1504,$A1060,$D$5:$D$1504,"تسليم",$E$5:$E$1504,"&lt;"&amp;$E1060)+1)</f>
        <v/>
      </c>
      <c r="H1060" s="33" t="str">
        <f aca="false">IF($G1060="","",_xlfn.MINIFS($E$5:$E$1504,$A$5:$A$1504,$A1060,$D$5:$D$1504,"&lt;&gt;تسليم",$E$5:$E$1504,"&gt;="&amp;$E1060))</f>
        <v/>
      </c>
      <c r="I1060" s="33" t="str">
        <f aca="false">IF($G1060="","",_xlfn.MINIFS($E$5:$E$1504,$A$5:$A$1504,$A1060,$D$5:$D$1504,"تسليم",$E$5:$E$1504,"&gt;"&amp;$E1060))</f>
        <v/>
      </c>
      <c r="J1060" s="33" t="str">
        <f aca="false">IF($G1060="","",IF(H1060&gt;0,IF(I1060&gt;0,MIN(H1060,I1060),H1060),IF(I1060&gt;0,I1060,تاريخ_الاحتساب)))</f>
        <v/>
      </c>
      <c r="K1060" s="34" t="str">
        <f aca="false">IF($G1060="","",IF(AND(H1060=0,I1060=0),"جارية","مغلقة"))</f>
        <v/>
      </c>
      <c r="L1060" s="26" t="str">
        <f aca="false">IF($G1060="","",MAX(0,NETWORKDAYS.INTL($E1060,J1060,رمز_العطلة,أيام_الأجازات)-1))</f>
        <v/>
      </c>
      <c r="M1060" s="26" t="str">
        <f aca="false">IF($G1060="","",MAX(0,L1060-مهلة_المراجعة))</f>
        <v/>
      </c>
      <c r="N1060" s="30" t="str">
        <f aca="false">IF($A1060="",IF(OR($D1060&lt;&gt;"",$E1060&lt;&gt;""),"رقم المخرج ناقص",""),IF(ISNA(MATCH($A1060,قائمة_المخرجات,0)),"رقم مخرج غير موجود",IF($D1060="","نوع الحركة ناقص",IF(NOT(ISNUMBER($E1060)),"التاريخ ناقص",IF($E1060&gt;تاريخ_الاحتساب,"تاريخ بعد تاريخ الاحتساب",IF(AND($D1060&lt;&gt;"تسليم",COUNTIFS($A$5:$A$1504,$A1060,$D$5:$D$1504,"تسليم",$E$5:$E$1504,"&lt;="&amp;$E1060)=0),"لا يوجد تسليم قبل الحركة دي",""))))))</f>
        <v/>
      </c>
    </row>
    <row r="1061" customFormat="false" ht="15" hidden="false" customHeight="false" outlineLevel="0" collapsed="false">
      <c r="A1061" s="20"/>
      <c r="B1061" s="35" t="str">
        <f aca="false">IF($A1061="","",IFERROR(INDEX(مخرج_البند,MATCH($A1061,قائمة_المخرجات,0)),""))</f>
        <v/>
      </c>
      <c r="C1061" s="30" t="str">
        <f aca="false">IF($A1061="","",IFERROR(INDEX(مخرج_الوصف,MATCH($A1061,قائمة_المخرجات,0)),""))</f>
        <v/>
      </c>
      <c r="D1061" s="20"/>
      <c r="E1061" s="31"/>
      <c r="F1061" s="22"/>
      <c r="G1061" s="36" t="str">
        <f aca="false">IF(OR($A1061="",$D1061&lt;&gt;"تسليم",NOT(ISNUMBER($E1061))),"",COUNTIFS($A$5:$A$1504,$A1061,$D$5:$D$1504,"تسليم",$E$5:$E$1504,"&lt;"&amp;$E1061)+1)</f>
        <v/>
      </c>
      <c r="H1061" s="33" t="str">
        <f aca="false">IF($G1061="","",_xlfn.MINIFS($E$5:$E$1504,$A$5:$A$1504,$A1061,$D$5:$D$1504,"&lt;&gt;تسليم",$E$5:$E$1504,"&gt;="&amp;$E1061))</f>
        <v/>
      </c>
      <c r="I1061" s="33" t="str">
        <f aca="false">IF($G1061="","",_xlfn.MINIFS($E$5:$E$1504,$A$5:$A$1504,$A1061,$D$5:$D$1504,"تسليم",$E$5:$E$1504,"&gt;"&amp;$E1061))</f>
        <v/>
      </c>
      <c r="J1061" s="33" t="str">
        <f aca="false">IF($G1061="","",IF(H1061&gt;0,IF(I1061&gt;0,MIN(H1061,I1061),H1061),IF(I1061&gt;0,I1061,تاريخ_الاحتساب)))</f>
        <v/>
      </c>
      <c r="K1061" s="34" t="str">
        <f aca="false">IF($G1061="","",IF(AND(H1061=0,I1061=0),"جارية","مغلقة"))</f>
        <v/>
      </c>
      <c r="L1061" s="26" t="str">
        <f aca="false">IF($G1061="","",MAX(0,NETWORKDAYS.INTL($E1061,J1061,رمز_العطلة,أيام_الأجازات)-1))</f>
        <v/>
      </c>
      <c r="M1061" s="26" t="str">
        <f aca="false">IF($G1061="","",MAX(0,L1061-مهلة_المراجعة))</f>
        <v/>
      </c>
      <c r="N1061" s="30" t="str">
        <f aca="false">IF($A1061="",IF(OR($D1061&lt;&gt;"",$E1061&lt;&gt;""),"رقم المخرج ناقص",""),IF(ISNA(MATCH($A1061,قائمة_المخرجات,0)),"رقم مخرج غير موجود",IF($D1061="","نوع الحركة ناقص",IF(NOT(ISNUMBER($E1061)),"التاريخ ناقص",IF($E1061&gt;تاريخ_الاحتساب,"تاريخ بعد تاريخ الاحتساب",IF(AND($D1061&lt;&gt;"تسليم",COUNTIFS($A$5:$A$1504,$A1061,$D$5:$D$1504,"تسليم",$E$5:$E$1504,"&lt;="&amp;$E1061)=0),"لا يوجد تسليم قبل الحركة دي",""))))))</f>
        <v/>
      </c>
    </row>
    <row r="1062" customFormat="false" ht="15" hidden="false" customHeight="false" outlineLevel="0" collapsed="false">
      <c r="A1062" s="20"/>
      <c r="B1062" s="35" t="str">
        <f aca="false">IF($A1062="","",IFERROR(INDEX(مخرج_البند,MATCH($A1062,قائمة_المخرجات,0)),""))</f>
        <v/>
      </c>
      <c r="C1062" s="30" t="str">
        <f aca="false">IF($A1062="","",IFERROR(INDEX(مخرج_الوصف,MATCH($A1062,قائمة_المخرجات,0)),""))</f>
        <v/>
      </c>
      <c r="D1062" s="20"/>
      <c r="E1062" s="31"/>
      <c r="F1062" s="22"/>
      <c r="G1062" s="36" t="str">
        <f aca="false">IF(OR($A1062="",$D1062&lt;&gt;"تسليم",NOT(ISNUMBER($E1062))),"",COUNTIFS($A$5:$A$1504,$A1062,$D$5:$D$1504,"تسليم",$E$5:$E$1504,"&lt;"&amp;$E1062)+1)</f>
        <v/>
      </c>
      <c r="H1062" s="33" t="str">
        <f aca="false">IF($G1062="","",_xlfn.MINIFS($E$5:$E$1504,$A$5:$A$1504,$A1062,$D$5:$D$1504,"&lt;&gt;تسليم",$E$5:$E$1504,"&gt;="&amp;$E1062))</f>
        <v/>
      </c>
      <c r="I1062" s="33" t="str">
        <f aca="false">IF($G1062="","",_xlfn.MINIFS($E$5:$E$1504,$A$5:$A$1504,$A1062,$D$5:$D$1504,"تسليم",$E$5:$E$1504,"&gt;"&amp;$E1062))</f>
        <v/>
      </c>
      <c r="J1062" s="33" t="str">
        <f aca="false">IF($G1062="","",IF(H1062&gt;0,IF(I1062&gt;0,MIN(H1062,I1062),H1062),IF(I1062&gt;0,I1062,تاريخ_الاحتساب)))</f>
        <v/>
      </c>
      <c r="K1062" s="34" t="str">
        <f aca="false">IF($G1062="","",IF(AND(H1062=0,I1062=0),"جارية","مغلقة"))</f>
        <v/>
      </c>
      <c r="L1062" s="26" t="str">
        <f aca="false">IF($G1062="","",MAX(0,NETWORKDAYS.INTL($E1062,J1062,رمز_العطلة,أيام_الأجازات)-1))</f>
        <v/>
      </c>
      <c r="M1062" s="26" t="str">
        <f aca="false">IF($G1062="","",MAX(0,L1062-مهلة_المراجعة))</f>
        <v/>
      </c>
      <c r="N1062" s="30" t="str">
        <f aca="false">IF($A1062="",IF(OR($D1062&lt;&gt;"",$E1062&lt;&gt;""),"رقم المخرج ناقص",""),IF(ISNA(MATCH($A1062,قائمة_المخرجات,0)),"رقم مخرج غير موجود",IF($D1062="","نوع الحركة ناقص",IF(NOT(ISNUMBER($E1062)),"التاريخ ناقص",IF($E1062&gt;تاريخ_الاحتساب,"تاريخ بعد تاريخ الاحتساب",IF(AND($D1062&lt;&gt;"تسليم",COUNTIFS($A$5:$A$1504,$A1062,$D$5:$D$1504,"تسليم",$E$5:$E$1504,"&lt;="&amp;$E1062)=0),"لا يوجد تسليم قبل الحركة دي",""))))))</f>
        <v/>
      </c>
    </row>
    <row r="1063" customFormat="false" ht="15" hidden="false" customHeight="false" outlineLevel="0" collapsed="false">
      <c r="A1063" s="20"/>
      <c r="B1063" s="35" t="str">
        <f aca="false">IF($A1063="","",IFERROR(INDEX(مخرج_البند,MATCH($A1063,قائمة_المخرجات,0)),""))</f>
        <v/>
      </c>
      <c r="C1063" s="30" t="str">
        <f aca="false">IF($A1063="","",IFERROR(INDEX(مخرج_الوصف,MATCH($A1063,قائمة_المخرجات,0)),""))</f>
        <v/>
      </c>
      <c r="D1063" s="20"/>
      <c r="E1063" s="31"/>
      <c r="F1063" s="22"/>
      <c r="G1063" s="36" t="str">
        <f aca="false">IF(OR($A1063="",$D1063&lt;&gt;"تسليم",NOT(ISNUMBER($E1063))),"",COUNTIFS($A$5:$A$1504,$A1063,$D$5:$D$1504,"تسليم",$E$5:$E$1504,"&lt;"&amp;$E1063)+1)</f>
        <v/>
      </c>
      <c r="H1063" s="33" t="str">
        <f aca="false">IF($G1063="","",_xlfn.MINIFS($E$5:$E$1504,$A$5:$A$1504,$A1063,$D$5:$D$1504,"&lt;&gt;تسليم",$E$5:$E$1504,"&gt;="&amp;$E1063))</f>
        <v/>
      </c>
      <c r="I1063" s="33" t="str">
        <f aca="false">IF($G1063="","",_xlfn.MINIFS($E$5:$E$1504,$A$5:$A$1504,$A1063,$D$5:$D$1504,"تسليم",$E$5:$E$1504,"&gt;"&amp;$E1063))</f>
        <v/>
      </c>
      <c r="J1063" s="33" t="str">
        <f aca="false">IF($G1063="","",IF(H1063&gt;0,IF(I1063&gt;0,MIN(H1063,I1063),H1063),IF(I1063&gt;0,I1063,تاريخ_الاحتساب)))</f>
        <v/>
      </c>
      <c r="K1063" s="34" t="str">
        <f aca="false">IF($G1063="","",IF(AND(H1063=0,I1063=0),"جارية","مغلقة"))</f>
        <v/>
      </c>
      <c r="L1063" s="26" t="str">
        <f aca="false">IF($G1063="","",MAX(0,NETWORKDAYS.INTL($E1063,J1063,رمز_العطلة,أيام_الأجازات)-1))</f>
        <v/>
      </c>
      <c r="M1063" s="26" t="str">
        <f aca="false">IF($G1063="","",MAX(0,L1063-مهلة_المراجعة))</f>
        <v/>
      </c>
      <c r="N1063" s="30" t="str">
        <f aca="false">IF($A1063="",IF(OR($D1063&lt;&gt;"",$E1063&lt;&gt;""),"رقم المخرج ناقص",""),IF(ISNA(MATCH($A1063,قائمة_المخرجات,0)),"رقم مخرج غير موجود",IF($D1063="","نوع الحركة ناقص",IF(NOT(ISNUMBER($E1063)),"التاريخ ناقص",IF($E1063&gt;تاريخ_الاحتساب,"تاريخ بعد تاريخ الاحتساب",IF(AND($D1063&lt;&gt;"تسليم",COUNTIFS($A$5:$A$1504,$A1063,$D$5:$D$1504,"تسليم",$E$5:$E$1504,"&lt;="&amp;$E1063)=0),"لا يوجد تسليم قبل الحركة دي",""))))))</f>
        <v/>
      </c>
    </row>
    <row r="1064" customFormat="false" ht="15" hidden="false" customHeight="false" outlineLevel="0" collapsed="false">
      <c r="A1064" s="20"/>
      <c r="B1064" s="35" t="str">
        <f aca="false">IF($A1064="","",IFERROR(INDEX(مخرج_البند,MATCH($A1064,قائمة_المخرجات,0)),""))</f>
        <v/>
      </c>
      <c r="C1064" s="30" t="str">
        <f aca="false">IF($A1064="","",IFERROR(INDEX(مخرج_الوصف,MATCH($A1064,قائمة_المخرجات,0)),""))</f>
        <v/>
      </c>
      <c r="D1064" s="20"/>
      <c r="E1064" s="31"/>
      <c r="F1064" s="22"/>
      <c r="G1064" s="36" t="str">
        <f aca="false">IF(OR($A1064="",$D1064&lt;&gt;"تسليم",NOT(ISNUMBER($E1064))),"",COUNTIFS($A$5:$A$1504,$A1064,$D$5:$D$1504,"تسليم",$E$5:$E$1504,"&lt;"&amp;$E1064)+1)</f>
        <v/>
      </c>
      <c r="H1064" s="33" t="str">
        <f aca="false">IF($G1064="","",_xlfn.MINIFS($E$5:$E$1504,$A$5:$A$1504,$A1064,$D$5:$D$1504,"&lt;&gt;تسليم",$E$5:$E$1504,"&gt;="&amp;$E1064))</f>
        <v/>
      </c>
      <c r="I1064" s="33" t="str">
        <f aca="false">IF($G1064="","",_xlfn.MINIFS($E$5:$E$1504,$A$5:$A$1504,$A1064,$D$5:$D$1504,"تسليم",$E$5:$E$1504,"&gt;"&amp;$E1064))</f>
        <v/>
      </c>
      <c r="J1064" s="33" t="str">
        <f aca="false">IF($G1064="","",IF(H1064&gt;0,IF(I1064&gt;0,MIN(H1064,I1064),H1064),IF(I1064&gt;0,I1064,تاريخ_الاحتساب)))</f>
        <v/>
      </c>
      <c r="K1064" s="34" t="str">
        <f aca="false">IF($G1064="","",IF(AND(H1064=0,I1064=0),"جارية","مغلقة"))</f>
        <v/>
      </c>
      <c r="L1064" s="26" t="str">
        <f aca="false">IF($G1064="","",MAX(0,NETWORKDAYS.INTL($E1064,J1064,رمز_العطلة,أيام_الأجازات)-1))</f>
        <v/>
      </c>
      <c r="M1064" s="26" t="str">
        <f aca="false">IF($G1064="","",MAX(0,L1064-مهلة_المراجعة))</f>
        <v/>
      </c>
      <c r="N1064" s="30" t="str">
        <f aca="false">IF($A1064="",IF(OR($D1064&lt;&gt;"",$E1064&lt;&gt;""),"رقم المخرج ناقص",""),IF(ISNA(MATCH($A1064,قائمة_المخرجات,0)),"رقم مخرج غير موجود",IF($D1064="","نوع الحركة ناقص",IF(NOT(ISNUMBER($E1064)),"التاريخ ناقص",IF($E1064&gt;تاريخ_الاحتساب,"تاريخ بعد تاريخ الاحتساب",IF(AND($D1064&lt;&gt;"تسليم",COUNTIFS($A$5:$A$1504,$A1064,$D$5:$D$1504,"تسليم",$E$5:$E$1504,"&lt;="&amp;$E1064)=0),"لا يوجد تسليم قبل الحركة دي",""))))))</f>
        <v/>
      </c>
    </row>
    <row r="1065" customFormat="false" ht="15" hidden="false" customHeight="false" outlineLevel="0" collapsed="false">
      <c r="A1065" s="20"/>
      <c r="B1065" s="35" t="str">
        <f aca="false">IF($A1065="","",IFERROR(INDEX(مخرج_البند,MATCH($A1065,قائمة_المخرجات,0)),""))</f>
        <v/>
      </c>
      <c r="C1065" s="30" t="str">
        <f aca="false">IF($A1065="","",IFERROR(INDEX(مخرج_الوصف,MATCH($A1065,قائمة_المخرجات,0)),""))</f>
        <v/>
      </c>
      <c r="D1065" s="20"/>
      <c r="E1065" s="31"/>
      <c r="F1065" s="22"/>
      <c r="G1065" s="36" t="str">
        <f aca="false">IF(OR($A1065="",$D1065&lt;&gt;"تسليم",NOT(ISNUMBER($E1065))),"",COUNTIFS($A$5:$A$1504,$A1065,$D$5:$D$1504,"تسليم",$E$5:$E$1504,"&lt;"&amp;$E1065)+1)</f>
        <v/>
      </c>
      <c r="H1065" s="33" t="str">
        <f aca="false">IF($G1065="","",_xlfn.MINIFS($E$5:$E$1504,$A$5:$A$1504,$A1065,$D$5:$D$1504,"&lt;&gt;تسليم",$E$5:$E$1504,"&gt;="&amp;$E1065))</f>
        <v/>
      </c>
      <c r="I1065" s="33" t="str">
        <f aca="false">IF($G1065="","",_xlfn.MINIFS($E$5:$E$1504,$A$5:$A$1504,$A1065,$D$5:$D$1504,"تسليم",$E$5:$E$1504,"&gt;"&amp;$E1065))</f>
        <v/>
      </c>
      <c r="J1065" s="33" t="str">
        <f aca="false">IF($G1065="","",IF(H1065&gt;0,IF(I1065&gt;0,MIN(H1065,I1065),H1065),IF(I1065&gt;0,I1065,تاريخ_الاحتساب)))</f>
        <v/>
      </c>
      <c r="K1065" s="34" t="str">
        <f aca="false">IF($G1065="","",IF(AND(H1065=0,I1065=0),"جارية","مغلقة"))</f>
        <v/>
      </c>
      <c r="L1065" s="26" t="str">
        <f aca="false">IF($G1065="","",MAX(0,NETWORKDAYS.INTL($E1065,J1065,رمز_العطلة,أيام_الأجازات)-1))</f>
        <v/>
      </c>
      <c r="M1065" s="26" t="str">
        <f aca="false">IF($G1065="","",MAX(0,L1065-مهلة_المراجعة))</f>
        <v/>
      </c>
      <c r="N1065" s="30" t="str">
        <f aca="false">IF($A1065="",IF(OR($D1065&lt;&gt;"",$E1065&lt;&gt;""),"رقم المخرج ناقص",""),IF(ISNA(MATCH($A1065,قائمة_المخرجات,0)),"رقم مخرج غير موجود",IF($D1065="","نوع الحركة ناقص",IF(NOT(ISNUMBER($E1065)),"التاريخ ناقص",IF($E1065&gt;تاريخ_الاحتساب,"تاريخ بعد تاريخ الاحتساب",IF(AND($D1065&lt;&gt;"تسليم",COUNTIFS($A$5:$A$1504,$A1065,$D$5:$D$1504,"تسليم",$E$5:$E$1504,"&lt;="&amp;$E1065)=0),"لا يوجد تسليم قبل الحركة دي",""))))))</f>
        <v/>
      </c>
    </row>
    <row r="1066" customFormat="false" ht="15" hidden="false" customHeight="false" outlineLevel="0" collapsed="false">
      <c r="A1066" s="20"/>
      <c r="B1066" s="35" t="str">
        <f aca="false">IF($A1066="","",IFERROR(INDEX(مخرج_البند,MATCH($A1066,قائمة_المخرجات,0)),""))</f>
        <v/>
      </c>
      <c r="C1066" s="30" t="str">
        <f aca="false">IF($A1066="","",IFERROR(INDEX(مخرج_الوصف,MATCH($A1066,قائمة_المخرجات,0)),""))</f>
        <v/>
      </c>
      <c r="D1066" s="20"/>
      <c r="E1066" s="31"/>
      <c r="F1066" s="22"/>
      <c r="G1066" s="36" t="str">
        <f aca="false">IF(OR($A1066="",$D1066&lt;&gt;"تسليم",NOT(ISNUMBER($E1066))),"",COUNTIFS($A$5:$A$1504,$A1066,$D$5:$D$1504,"تسليم",$E$5:$E$1504,"&lt;"&amp;$E1066)+1)</f>
        <v/>
      </c>
      <c r="H1066" s="33" t="str">
        <f aca="false">IF($G1066="","",_xlfn.MINIFS($E$5:$E$1504,$A$5:$A$1504,$A1066,$D$5:$D$1504,"&lt;&gt;تسليم",$E$5:$E$1504,"&gt;="&amp;$E1066))</f>
        <v/>
      </c>
      <c r="I1066" s="33" t="str">
        <f aca="false">IF($G1066="","",_xlfn.MINIFS($E$5:$E$1504,$A$5:$A$1504,$A1066,$D$5:$D$1504,"تسليم",$E$5:$E$1504,"&gt;"&amp;$E1066))</f>
        <v/>
      </c>
      <c r="J1066" s="33" t="str">
        <f aca="false">IF($G1066="","",IF(H1066&gt;0,IF(I1066&gt;0,MIN(H1066,I1066),H1066),IF(I1066&gt;0,I1066,تاريخ_الاحتساب)))</f>
        <v/>
      </c>
      <c r="K1066" s="34" t="str">
        <f aca="false">IF($G1066="","",IF(AND(H1066=0,I1066=0),"جارية","مغلقة"))</f>
        <v/>
      </c>
      <c r="L1066" s="26" t="str">
        <f aca="false">IF($G1066="","",MAX(0,NETWORKDAYS.INTL($E1066,J1066,رمز_العطلة,أيام_الأجازات)-1))</f>
        <v/>
      </c>
      <c r="M1066" s="26" t="str">
        <f aca="false">IF($G1066="","",MAX(0,L1066-مهلة_المراجعة))</f>
        <v/>
      </c>
      <c r="N1066" s="30" t="str">
        <f aca="false">IF($A1066="",IF(OR($D1066&lt;&gt;"",$E1066&lt;&gt;""),"رقم المخرج ناقص",""),IF(ISNA(MATCH($A1066,قائمة_المخرجات,0)),"رقم مخرج غير موجود",IF($D1066="","نوع الحركة ناقص",IF(NOT(ISNUMBER($E1066)),"التاريخ ناقص",IF($E1066&gt;تاريخ_الاحتساب,"تاريخ بعد تاريخ الاحتساب",IF(AND($D1066&lt;&gt;"تسليم",COUNTIFS($A$5:$A$1504,$A1066,$D$5:$D$1504,"تسليم",$E$5:$E$1504,"&lt;="&amp;$E1066)=0),"لا يوجد تسليم قبل الحركة دي",""))))))</f>
        <v/>
      </c>
    </row>
    <row r="1067" customFormat="false" ht="15" hidden="false" customHeight="false" outlineLevel="0" collapsed="false">
      <c r="A1067" s="20"/>
      <c r="B1067" s="35" t="str">
        <f aca="false">IF($A1067="","",IFERROR(INDEX(مخرج_البند,MATCH($A1067,قائمة_المخرجات,0)),""))</f>
        <v/>
      </c>
      <c r="C1067" s="30" t="str">
        <f aca="false">IF($A1067="","",IFERROR(INDEX(مخرج_الوصف,MATCH($A1067,قائمة_المخرجات,0)),""))</f>
        <v/>
      </c>
      <c r="D1067" s="20"/>
      <c r="E1067" s="31"/>
      <c r="F1067" s="22"/>
      <c r="G1067" s="36" t="str">
        <f aca="false">IF(OR($A1067="",$D1067&lt;&gt;"تسليم",NOT(ISNUMBER($E1067))),"",COUNTIFS($A$5:$A$1504,$A1067,$D$5:$D$1504,"تسليم",$E$5:$E$1504,"&lt;"&amp;$E1067)+1)</f>
        <v/>
      </c>
      <c r="H1067" s="33" t="str">
        <f aca="false">IF($G1067="","",_xlfn.MINIFS($E$5:$E$1504,$A$5:$A$1504,$A1067,$D$5:$D$1504,"&lt;&gt;تسليم",$E$5:$E$1504,"&gt;="&amp;$E1067))</f>
        <v/>
      </c>
      <c r="I1067" s="33" t="str">
        <f aca="false">IF($G1067="","",_xlfn.MINIFS($E$5:$E$1504,$A$5:$A$1504,$A1067,$D$5:$D$1504,"تسليم",$E$5:$E$1504,"&gt;"&amp;$E1067))</f>
        <v/>
      </c>
      <c r="J1067" s="33" t="str">
        <f aca="false">IF($G1067="","",IF(H1067&gt;0,IF(I1067&gt;0,MIN(H1067,I1067),H1067),IF(I1067&gt;0,I1067,تاريخ_الاحتساب)))</f>
        <v/>
      </c>
      <c r="K1067" s="34" t="str">
        <f aca="false">IF($G1067="","",IF(AND(H1067=0,I1067=0),"جارية","مغلقة"))</f>
        <v/>
      </c>
      <c r="L1067" s="26" t="str">
        <f aca="false">IF($G1067="","",MAX(0,NETWORKDAYS.INTL($E1067,J1067,رمز_العطلة,أيام_الأجازات)-1))</f>
        <v/>
      </c>
      <c r="M1067" s="26" t="str">
        <f aca="false">IF($G1067="","",MAX(0,L1067-مهلة_المراجعة))</f>
        <v/>
      </c>
      <c r="N1067" s="30" t="str">
        <f aca="false">IF($A1067="",IF(OR($D1067&lt;&gt;"",$E1067&lt;&gt;""),"رقم المخرج ناقص",""),IF(ISNA(MATCH($A1067,قائمة_المخرجات,0)),"رقم مخرج غير موجود",IF($D1067="","نوع الحركة ناقص",IF(NOT(ISNUMBER($E1067)),"التاريخ ناقص",IF($E1067&gt;تاريخ_الاحتساب,"تاريخ بعد تاريخ الاحتساب",IF(AND($D1067&lt;&gt;"تسليم",COUNTIFS($A$5:$A$1504,$A1067,$D$5:$D$1504,"تسليم",$E$5:$E$1504,"&lt;="&amp;$E1067)=0),"لا يوجد تسليم قبل الحركة دي",""))))))</f>
        <v/>
      </c>
    </row>
    <row r="1068" customFormat="false" ht="15" hidden="false" customHeight="false" outlineLevel="0" collapsed="false">
      <c r="A1068" s="20"/>
      <c r="B1068" s="35" t="str">
        <f aca="false">IF($A1068="","",IFERROR(INDEX(مخرج_البند,MATCH($A1068,قائمة_المخرجات,0)),""))</f>
        <v/>
      </c>
      <c r="C1068" s="30" t="str">
        <f aca="false">IF($A1068="","",IFERROR(INDEX(مخرج_الوصف,MATCH($A1068,قائمة_المخرجات,0)),""))</f>
        <v/>
      </c>
      <c r="D1068" s="20"/>
      <c r="E1068" s="31"/>
      <c r="F1068" s="22"/>
      <c r="G1068" s="36" t="str">
        <f aca="false">IF(OR($A1068="",$D1068&lt;&gt;"تسليم",NOT(ISNUMBER($E1068))),"",COUNTIFS($A$5:$A$1504,$A1068,$D$5:$D$1504,"تسليم",$E$5:$E$1504,"&lt;"&amp;$E1068)+1)</f>
        <v/>
      </c>
      <c r="H1068" s="33" t="str">
        <f aca="false">IF($G1068="","",_xlfn.MINIFS($E$5:$E$1504,$A$5:$A$1504,$A1068,$D$5:$D$1504,"&lt;&gt;تسليم",$E$5:$E$1504,"&gt;="&amp;$E1068))</f>
        <v/>
      </c>
      <c r="I1068" s="33" t="str">
        <f aca="false">IF($G1068="","",_xlfn.MINIFS($E$5:$E$1504,$A$5:$A$1504,$A1068,$D$5:$D$1504,"تسليم",$E$5:$E$1504,"&gt;"&amp;$E1068))</f>
        <v/>
      </c>
      <c r="J1068" s="33" t="str">
        <f aca="false">IF($G1068="","",IF(H1068&gt;0,IF(I1068&gt;0,MIN(H1068,I1068),H1068),IF(I1068&gt;0,I1068,تاريخ_الاحتساب)))</f>
        <v/>
      </c>
      <c r="K1068" s="34" t="str">
        <f aca="false">IF($G1068="","",IF(AND(H1068=0,I1068=0),"جارية","مغلقة"))</f>
        <v/>
      </c>
      <c r="L1068" s="26" t="str">
        <f aca="false">IF($G1068="","",MAX(0,NETWORKDAYS.INTL($E1068,J1068,رمز_العطلة,أيام_الأجازات)-1))</f>
        <v/>
      </c>
      <c r="M1068" s="26" t="str">
        <f aca="false">IF($G1068="","",MAX(0,L1068-مهلة_المراجعة))</f>
        <v/>
      </c>
      <c r="N1068" s="30" t="str">
        <f aca="false">IF($A1068="",IF(OR($D1068&lt;&gt;"",$E1068&lt;&gt;""),"رقم المخرج ناقص",""),IF(ISNA(MATCH($A1068,قائمة_المخرجات,0)),"رقم مخرج غير موجود",IF($D1068="","نوع الحركة ناقص",IF(NOT(ISNUMBER($E1068)),"التاريخ ناقص",IF($E1068&gt;تاريخ_الاحتساب,"تاريخ بعد تاريخ الاحتساب",IF(AND($D1068&lt;&gt;"تسليم",COUNTIFS($A$5:$A$1504,$A1068,$D$5:$D$1504,"تسليم",$E$5:$E$1504,"&lt;="&amp;$E1068)=0),"لا يوجد تسليم قبل الحركة دي",""))))))</f>
        <v/>
      </c>
    </row>
    <row r="1069" customFormat="false" ht="15" hidden="false" customHeight="false" outlineLevel="0" collapsed="false">
      <c r="A1069" s="20"/>
      <c r="B1069" s="35" t="str">
        <f aca="false">IF($A1069="","",IFERROR(INDEX(مخرج_البند,MATCH($A1069,قائمة_المخرجات,0)),""))</f>
        <v/>
      </c>
      <c r="C1069" s="30" t="str">
        <f aca="false">IF($A1069="","",IFERROR(INDEX(مخرج_الوصف,MATCH($A1069,قائمة_المخرجات,0)),""))</f>
        <v/>
      </c>
      <c r="D1069" s="20"/>
      <c r="E1069" s="31"/>
      <c r="F1069" s="22"/>
      <c r="G1069" s="36" t="str">
        <f aca="false">IF(OR($A1069="",$D1069&lt;&gt;"تسليم",NOT(ISNUMBER($E1069))),"",COUNTIFS($A$5:$A$1504,$A1069,$D$5:$D$1504,"تسليم",$E$5:$E$1504,"&lt;"&amp;$E1069)+1)</f>
        <v/>
      </c>
      <c r="H1069" s="33" t="str">
        <f aca="false">IF($G1069="","",_xlfn.MINIFS($E$5:$E$1504,$A$5:$A$1504,$A1069,$D$5:$D$1504,"&lt;&gt;تسليم",$E$5:$E$1504,"&gt;="&amp;$E1069))</f>
        <v/>
      </c>
      <c r="I1069" s="33" t="str">
        <f aca="false">IF($G1069="","",_xlfn.MINIFS($E$5:$E$1504,$A$5:$A$1504,$A1069,$D$5:$D$1504,"تسليم",$E$5:$E$1504,"&gt;"&amp;$E1069))</f>
        <v/>
      </c>
      <c r="J1069" s="33" t="str">
        <f aca="false">IF($G1069="","",IF(H1069&gt;0,IF(I1069&gt;0,MIN(H1069,I1069),H1069),IF(I1069&gt;0,I1069,تاريخ_الاحتساب)))</f>
        <v/>
      </c>
      <c r="K1069" s="34" t="str">
        <f aca="false">IF($G1069="","",IF(AND(H1069=0,I1069=0),"جارية","مغلقة"))</f>
        <v/>
      </c>
      <c r="L1069" s="26" t="str">
        <f aca="false">IF($G1069="","",MAX(0,NETWORKDAYS.INTL($E1069,J1069,رمز_العطلة,أيام_الأجازات)-1))</f>
        <v/>
      </c>
      <c r="M1069" s="26" t="str">
        <f aca="false">IF($G1069="","",MAX(0,L1069-مهلة_المراجعة))</f>
        <v/>
      </c>
      <c r="N1069" s="30" t="str">
        <f aca="false">IF($A1069="",IF(OR($D1069&lt;&gt;"",$E1069&lt;&gt;""),"رقم المخرج ناقص",""),IF(ISNA(MATCH($A1069,قائمة_المخرجات,0)),"رقم مخرج غير موجود",IF($D1069="","نوع الحركة ناقص",IF(NOT(ISNUMBER($E1069)),"التاريخ ناقص",IF($E1069&gt;تاريخ_الاحتساب,"تاريخ بعد تاريخ الاحتساب",IF(AND($D1069&lt;&gt;"تسليم",COUNTIFS($A$5:$A$1504,$A1069,$D$5:$D$1504,"تسليم",$E$5:$E$1504,"&lt;="&amp;$E1069)=0),"لا يوجد تسليم قبل الحركة دي",""))))))</f>
        <v/>
      </c>
    </row>
    <row r="1070" customFormat="false" ht="15" hidden="false" customHeight="false" outlineLevel="0" collapsed="false">
      <c r="A1070" s="20"/>
      <c r="B1070" s="35" t="str">
        <f aca="false">IF($A1070="","",IFERROR(INDEX(مخرج_البند,MATCH($A1070,قائمة_المخرجات,0)),""))</f>
        <v/>
      </c>
      <c r="C1070" s="30" t="str">
        <f aca="false">IF($A1070="","",IFERROR(INDEX(مخرج_الوصف,MATCH($A1070,قائمة_المخرجات,0)),""))</f>
        <v/>
      </c>
      <c r="D1070" s="20"/>
      <c r="E1070" s="31"/>
      <c r="F1070" s="22"/>
      <c r="G1070" s="36" t="str">
        <f aca="false">IF(OR($A1070="",$D1070&lt;&gt;"تسليم",NOT(ISNUMBER($E1070))),"",COUNTIFS($A$5:$A$1504,$A1070,$D$5:$D$1504,"تسليم",$E$5:$E$1504,"&lt;"&amp;$E1070)+1)</f>
        <v/>
      </c>
      <c r="H1070" s="33" t="str">
        <f aca="false">IF($G1070="","",_xlfn.MINIFS($E$5:$E$1504,$A$5:$A$1504,$A1070,$D$5:$D$1504,"&lt;&gt;تسليم",$E$5:$E$1504,"&gt;="&amp;$E1070))</f>
        <v/>
      </c>
      <c r="I1070" s="33" t="str">
        <f aca="false">IF($G1070="","",_xlfn.MINIFS($E$5:$E$1504,$A$5:$A$1504,$A1070,$D$5:$D$1504,"تسليم",$E$5:$E$1504,"&gt;"&amp;$E1070))</f>
        <v/>
      </c>
      <c r="J1070" s="33" t="str">
        <f aca="false">IF($G1070="","",IF(H1070&gt;0,IF(I1070&gt;0,MIN(H1070,I1070),H1070),IF(I1070&gt;0,I1070,تاريخ_الاحتساب)))</f>
        <v/>
      </c>
      <c r="K1070" s="34" t="str">
        <f aca="false">IF($G1070="","",IF(AND(H1070=0,I1070=0),"جارية","مغلقة"))</f>
        <v/>
      </c>
      <c r="L1070" s="26" t="str">
        <f aca="false">IF($G1070="","",MAX(0,NETWORKDAYS.INTL($E1070,J1070,رمز_العطلة,أيام_الأجازات)-1))</f>
        <v/>
      </c>
      <c r="M1070" s="26" t="str">
        <f aca="false">IF($G1070="","",MAX(0,L1070-مهلة_المراجعة))</f>
        <v/>
      </c>
      <c r="N1070" s="30" t="str">
        <f aca="false">IF($A1070="",IF(OR($D1070&lt;&gt;"",$E1070&lt;&gt;""),"رقم المخرج ناقص",""),IF(ISNA(MATCH($A1070,قائمة_المخرجات,0)),"رقم مخرج غير موجود",IF($D1070="","نوع الحركة ناقص",IF(NOT(ISNUMBER($E1070)),"التاريخ ناقص",IF($E1070&gt;تاريخ_الاحتساب,"تاريخ بعد تاريخ الاحتساب",IF(AND($D1070&lt;&gt;"تسليم",COUNTIFS($A$5:$A$1504,$A1070,$D$5:$D$1504,"تسليم",$E$5:$E$1504,"&lt;="&amp;$E1070)=0),"لا يوجد تسليم قبل الحركة دي",""))))))</f>
        <v/>
      </c>
    </row>
    <row r="1071" customFormat="false" ht="15" hidden="false" customHeight="false" outlineLevel="0" collapsed="false">
      <c r="A1071" s="20"/>
      <c r="B1071" s="35" t="str">
        <f aca="false">IF($A1071="","",IFERROR(INDEX(مخرج_البند,MATCH($A1071,قائمة_المخرجات,0)),""))</f>
        <v/>
      </c>
      <c r="C1071" s="30" t="str">
        <f aca="false">IF($A1071="","",IFERROR(INDEX(مخرج_الوصف,MATCH($A1071,قائمة_المخرجات,0)),""))</f>
        <v/>
      </c>
      <c r="D1071" s="20"/>
      <c r="E1071" s="31"/>
      <c r="F1071" s="22"/>
      <c r="G1071" s="36" t="str">
        <f aca="false">IF(OR($A1071="",$D1071&lt;&gt;"تسليم",NOT(ISNUMBER($E1071))),"",COUNTIFS($A$5:$A$1504,$A1071,$D$5:$D$1504,"تسليم",$E$5:$E$1504,"&lt;"&amp;$E1071)+1)</f>
        <v/>
      </c>
      <c r="H1071" s="33" t="str">
        <f aca="false">IF($G1071="","",_xlfn.MINIFS($E$5:$E$1504,$A$5:$A$1504,$A1071,$D$5:$D$1504,"&lt;&gt;تسليم",$E$5:$E$1504,"&gt;="&amp;$E1071))</f>
        <v/>
      </c>
      <c r="I1071" s="33" t="str">
        <f aca="false">IF($G1071="","",_xlfn.MINIFS($E$5:$E$1504,$A$5:$A$1504,$A1071,$D$5:$D$1504,"تسليم",$E$5:$E$1504,"&gt;"&amp;$E1071))</f>
        <v/>
      </c>
      <c r="J1071" s="33" t="str">
        <f aca="false">IF($G1071="","",IF(H1071&gt;0,IF(I1071&gt;0,MIN(H1071,I1071),H1071),IF(I1071&gt;0,I1071,تاريخ_الاحتساب)))</f>
        <v/>
      </c>
      <c r="K1071" s="34" t="str">
        <f aca="false">IF($G1071="","",IF(AND(H1071=0,I1071=0),"جارية","مغلقة"))</f>
        <v/>
      </c>
      <c r="L1071" s="26" t="str">
        <f aca="false">IF($G1071="","",MAX(0,NETWORKDAYS.INTL($E1071,J1071,رمز_العطلة,أيام_الأجازات)-1))</f>
        <v/>
      </c>
      <c r="M1071" s="26" t="str">
        <f aca="false">IF($G1071="","",MAX(0,L1071-مهلة_المراجعة))</f>
        <v/>
      </c>
      <c r="N1071" s="30" t="str">
        <f aca="false">IF($A1071="",IF(OR($D1071&lt;&gt;"",$E1071&lt;&gt;""),"رقم المخرج ناقص",""),IF(ISNA(MATCH($A1071,قائمة_المخرجات,0)),"رقم مخرج غير موجود",IF($D1071="","نوع الحركة ناقص",IF(NOT(ISNUMBER($E1071)),"التاريخ ناقص",IF($E1071&gt;تاريخ_الاحتساب,"تاريخ بعد تاريخ الاحتساب",IF(AND($D1071&lt;&gt;"تسليم",COUNTIFS($A$5:$A$1504,$A1071,$D$5:$D$1504,"تسليم",$E$5:$E$1504,"&lt;="&amp;$E1071)=0),"لا يوجد تسليم قبل الحركة دي",""))))))</f>
        <v/>
      </c>
    </row>
    <row r="1072" customFormat="false" ht="15" hidden="false" customHeight="false" outlineLevel="0" collapsed="false">
      <c r="A1072" s="20"/>
      <c r="B1072" s="35" t="str">
        <f aca="false">IF($A1072="","",IFERROR(INDEX(مخرج_البند,MATCH($A1072,قائمة_المخرجات,0)),""))</f>
        <v/>
      </c>
      <c r="C1072" s="30" t="str">
        <f aca="false">IF($A1072="","",IFERROR(INDEX(مخرج_الوصف,MATCH($A1072,قائمة_المخرجات,0)),""))</f>
        <v/>
      </c>
      <c r="D1072" s="20"/>
      <c r="E1072" s="31"/>
      <c r="F1072" s="22"/>
      <c r="G1072" s="36" t="str">
        <f aca="false">IF(OR($A1072="",$D1072&lt;&gt;"تسليم",NOT(ISNUMBER($E1072))),"",COUNTIFS($A$5:$A$1504,$A1072,$D$5:$D$1504,"تسليم",$E$5:$E$1504,"&lt;"&amp;$E1072)+1)</f>
        <v/>
      </c>
      <c r="H1072" s="33" t="str">
        <f aca="false">IF($G1072="","",_xlfn.MINIFS($E$5:$E$1504,$A$5:$A$1504,$A1072,$D$5:$D$1504,"&lt;&gt;تسليم",$E$5:$E$1504,"&gt;="&amp;$E1072))</f>
        <v/>
      </c>
      <c r="I1072" s="33" t="str">
        <f aca="false">IF($G1072="","",_xlfn.MINIFS($E$5:$E$1504,$A$5:$A$1504,$A1072,$D$5:$D$1504,"تسليم",$E$5:$E$1504,"&gt;"&amp;$E1072))</f>
        <v/>
      </c>
      <c r="J1072" s="33" t="str">
        <f aca="false">IF($G1072="","",IF(H1072&gt;0,IF(I1072&gt;0,MIN(H1072,I1072),H1072),IF(I1072&gt;0,I1072,تاريخ_الاحتساب)))</f>
        <v/>
      </c>
      <c r="K1072" s="34" t="str">
        <f aca="false">IF($G1072="","",IF(AND(H1072=0,I1072=0),"جارية","مغلقة"))</f>
        <v/>
      </c>
      <c r="L1072" s="26" t="str">
        <f aca="false">IF($G1072="","",MAX(0,NETWORKDAYS.INTL($E1072,J1072,رمز_العطلة,أيام_الأجازات)-1))</f>
        <v/>
      </c>
      <c r="M1072" s="26" t="str">
        <f aca="false">IF($G1072="","",MAX(0,L1072-مهلة_المراجعة))</f>
        <v/>
      </c>
      <c r="N1072" s="30" t="str">
        <f aca="false">IF($A1072="",IF(OR($D1072&lt;&gt;"",$E1072&lt;&gt;""),"رقم المخرج ناقص",""),IF(ISNA(MATCH($A1072,قائمة_المخرجات,0)),"رقم مخرج غير موجود",IF($D1072="","نوع الحركة ناقص",IF(NOT(ISNUMBER($E1072)),"التاريخ ناقص",IF($E1072&gt;تاريخ_الاحتساب,"تاريخ بعد تاريخ الاحتساب",IF(AND($D1072&lt;&gt;"تسليم",COUNTIFS($A$5:$A$1504,$A1072,$D$5:$D$1504,"تسليم",$E$5:$E$1504,"&lt;="&amp;$E1072)=0),"لا يوجد تسليم قبل الحركة دي",""))))))</f>
        <v/>
      </c>
    </row>
    <row r="1073" customFormat="false" ht="15" hidden="false" customHeight="false" outlineLevel="0" collapsed="false">
      <c r="A1073" s="20"/>
      <c r="B1073" s="35" t="str">
        <f aca="false">IF($A1073="","",IFERROR(INDEX(مخرج_البند,MATCH($A1073,قائمة_المخرجات,0)),""))</f>
        <v/>
      </c>
      <c r="C1073" s="30" t="str">
        <f aca="false">IF($A1073="","",IFERROR(INDEX(مخرج_الوصف,MATCH($A1073,قائمة_المخرجات,0)),""))</f>
        <v/>
      </c>
      <c r="D1073" s="20"/>
      <c r="E1073" s="31"/>
      <c r="F1073" s="22"/>
      <c r="G1073" s="36" t="str">
        <f aca="false">IF(OR($A1073="",$D1073&lt;&gt;"تسليم",NOT(ISNUMBER($E1073))),"",COUNTIFS($A$5:$A$1504,$A1073,$D$5:$D$1504,"تسليم",$E$5:$E$1504,"&lt;"&amp;$E1073)+1)</f>
        <v/>
      </c>
      <c r="H1073" s="33" t="str">
        <f aca="false">IF($G1073="","",_xlfn.MINIFS($E$5:$E$1504,$A$5:$A$1504,$A1073,$D$5:$D$1504,"&lt;&gt;تسليم",$E$5:$E$1504,"&gt;="&amp;$E1073))</f>
        <v/>
      </c>
      <c r="I1073" s="33" t="str">
        <f aca="false">IF($G1073="","",_xlfn.MINIFS($E$5:$E$1504,$A$5:$A$1504,$A1073,$D$5:$D$1504,"تسليم",$E$5:$E$1504,"&gt;"&amp;$E1073))</f>
        <v/>
      </c>
      <c r="J1073" s="33" t="str">
        <f aca="false">IF($G1073="","",IF(H1073&gt;0,IF(I1073&gt;0,MIN(H1073,I1073),H1073),IF(I1073&gt;0,I1073,تاريخ_الاحتساب)))</f>
        <v/>
      </c>
      <c r="K1073" s="34" t="str">
        <f aca="false">IF($G1073="","",IF(AND(H1073=0,I1073=0),"جارية","مغلقة"))</f>
        <v/>
      </c>
      <c r="L1073" s="26" t="str">
        <f aca="false">IF($G1073="","",MAX(0,NETWORKDAYS.INTL($E1073,J1073,رمز_العطلة,أيام_الأجازات)-1))</f>
        <v/>
      </c>
      <c r="M1073" s="26" t="str">
        <f aca="false">IF($G1073="","",MAX(0,L1073-مهلة_المراجعة))</f>
        <v/>
      </c>
      <c r="N1073" s="30" t="str">
        <f aca="false">IF($A1073="",IF(OR($D1073&lt;&gt;"",$E1073&lt;&gt;""),"رقم المخرج ناقص",""),IF(ISNA(MATCH($A1073,قائمة_المخرجات,0)),"رقم مخرج غير موجود",IF($D1073="","نوع الحركة ناقص",IF(NOT(ISNUMBER($E1073)),"التاريخ ناقص",IF($E1073&gt;تاريخ_الاحتساب,"تاريخ بعد تاريخ الاحتساب",IF(AND($D1073&lt;&gt;"تسليم",COUNTIFS($A$5:$A$1504,$A1073,$D$5:$D$1504,"تسليم",$E$5:$E$1504,"&lt;="&amp;$E1073)=0),"لا يوجد تسليم قبل الحركة دي",""))))))</f>
        <v/>
      </c>
    </row>
    <row r="1074" customFormat="false" ht="15" hidden="false" customHeight="false" outlineLevel="0" collapsed="false">
      <c r="A1074" s="20"/>
      <c r="B1074" s="35" t="str">
        <f aca="false">IF($A1074="","",IFERROR(INDEX(مخرج_البند,MATCH($A1074,قائمة_المخرجات,0)),""))</f>
        <v/>
      </c>
      <c r="C1074" s="30" t="str">
        <f aca="false">IF($A1074="","",IFERROR(INDEX(مخرج_الوصف,MATCH($A1074,قائمة_المخرجات,0)),""))</f>
        <v/>
      </c>
      <c r="D1074" s="20"/>
      <c r="E1074" s="31"/>
      <c r="F1074" s="22"/>
      <c r="G1074" s="36" t="str">
        <f aca="false">IF(OR($A1074="",$D1074&lt;&gt;"تسليم",NOT(ISNUMBER($E1074))),"",COUNTIFS($A$5:$A$1504,$A1074,$D$5:$D$1504,"تسليم",$E$5:$E$1504,"&lt;"&amp;$E1074)+1)</f>
        <v/>
      </c>
      <c r="H1074" s="33" t="str">
        <f aca="false">IF($G1074="","",_xlfn.MINIFS($E$5:$E$1504,$A$5:$A$1504,$A1074,$D$5:$D$1504,"&lt;&gt;تسليم",$E$5:$E$1504,"&gt;="&amp;$E1074))</f>
        <v/>
      </c>
      <c r="I1074" s="33" t="str">
        <f aca="false">IF($G1074="","",_xlfn.MINIFS($E$5:$E$1504,$A$5:$A$1504,$A1074,$D$5:$D$1504,"تسليم",$E$5:$E$1504,"&gt;"&amp;$E1074))</f>
        <v/>
      </c>
      <c r="J1074" s="33" t="str">
        <f aca="false">IF($G1074="","",IF(H1074&gt;0,IF(I1074&gt;0,MIN(H1074,I1074),H1074),IF(I1074&gt;0,I1074,تاريخ_الاحتساب)))</f>
        <v/>
      </c>
      <c r="K1074" s="34" t="str">
        <f aca="false">IF($G1074="","",IF(AND(H1074=0,I1074=0),"جارية","مغلقة"))</f>
        <v/>
      </c>
      <c r="L1074" s="26" t="str">
        <f aca="false">IF($G1074="","",MAX(0,NETWORKDAYS.INTL($E1074,J1074,رمز_العطلة,أيام_الأجازات)-1))</f>
        <v/>
      </c>
      <c r="M1074" s="26" t="str">
        <f aca="false">IF($G1074="","",MAX(0,L1074-مهلة_المراجعة))</f>
        <v/>
      </c>
      <c r="N1074" s="30" t="str">
        <f aca="false">IF($A1074="",IF(OR($D1074&lt;&gt;"",$E1074&lt;&gt;""),"رقم المخرج ناقص",""),IF(ISNA(MATCH($A1074,قائمة_المخرجات,0)),"رقم مخرج غير موجود",IF($D1074="","نوع الحركة ناقص",IF(NOT(ISNUMBER($E1074)),"التاريخ ناقص",IF($E1074&gt;تاريخ_الاحتساب,"تاريخ بعد تاريخ الاحتساب",IF(AND($D1074&lt;&gt;"تسليم",COUNTIFS($A$5:$A$1504,$A1074,$D$5:$D$1504,"تسليم",$E$5:$E$1504,"&lt;="&amp;$E1074)=0),"لا يوجد تسليم قبل الحركة دي",""))))))</f>
        <v/>
      </c>
    </row>
    <row r="1075" customFormat="false" ht="15" hidden="false" customHeight="false" outlineLevel="0" collapsed="false">
      <c r="A1075" s="20"/>
      <c r="B1075" s="35" t="str">
        <f aca="false">IF($A1075="","",IFERROR(INDEX(مخرج_البند,MATCH($A1075,قائمة_المخرجات,0)),""))</f>
        <v/>
      </c>
      <c r="C1075" s="30" t="str">
        <f aca="false">IF($A1075="","",IFERROR(INDEX(مخرج_الوصف,MATCH($A1075,قائمة_المخرجات,0)),""))</f>
        <v/>
      </c>
      <c r="D1075" s="20"/>
      <c r="E1075" s="31"/>
      <c r="F1075" s="22"/>
      <c r="G1075" s="36" t="str">
        <f aca="false">IF(OR($A1075="",$D1075&lt;&gt;"تسليم",NOT(ISNUMBER($E1075))),"",COUNTIFS($A$5:$A$1504,$A1075,$D$5:$D$1504,"تسليم",$E$5:$E$1504,"&lt;"&amp;$E1075)+1)</f>
        <v/>
      </c>
      <c r="H1075" s="33" t="str">
        <f aca="false">IF($G1075="","",_xlfn.MINIFS($E$5:$E$1504,$A$5:$A$1504,$A1075,$D$5:$D$1504,"&lt;&gt;تسليم",$E$5:$E$1504,"&gt;="&amp;$E1075))</f>
        <v/>
      </c>
      <c r="I1075" s="33" t="str">
        <f aca="false">IF($G1075="","",_xlfn.MINIFS($E$5:$E$1504,$A$5:$A$1504,$A1075,$D$5:$D$1504,"تسليم",$E$5:$E$1504,"&gt;"&amp;$E1075))</f>
        <v/>
      </c>
      <c r="J1075" s="33" t="str">
        <f aca="false">IF($G1075="","",IF(H1075&gt;0,IF(I1075&gt;0,MIN(H1075,I1075),H1075),IF(I1075&gt;0,I1075,تاريخ_الاحتساب)))</f>
        <v/>
      </c>
      <c r="K1075" s="34" t="str">
        <f aca="false">IF($G1075="","",IF(AND(H1075=0,I1075=0),"جارية","مغلقة"))</f>
        <v/>
      </c>
      <c r="L1075" s="26" t="str">
        <f aca="false">IF($G1075="","",MAX(0,NETWORKDAYS.INTL($E1075,J1075,رمز_العطلة,أيام_الأجازات)-1))</f>
        <v/>
      </c>
      <c r="M1075" s="26" t="str">
        <f aca="false">IF($G1075="","",MAX(0,L1075-مهلة_المراجعة))</f>
        <v/>
      </c>
      <c r="N1075" s="30" t="str">
        <f aca="false">IF($A1075="",IF(OR($D1075&lt;&gt;"",$E1075&lt;&gt;""),"رقم المخرج ناقص",""),IF(ISNA(MATCH($A1075,قائمة_المخرجات,0)),"رقم مخرج غير موجود",IF($D1075="","نوع الحركة ناقص",IF(NOT(ISNUMBER($E1075)),"التاريخ ناقص",IF($E1075&gt;تاريخ_الاحتساب,"تاريخ بعد تاريخ الاحتساب",IF(AND($D1075&lt;&gt;"تسليم",COUNTIFS($A$5:$A$1504,$A1075,$D$5:$D$1504,"تسليم",$E$5:$E$1504,"&lt;="&amp;$E1075)=0),"لا يوجد تسليم قبل الحركة دي",""))))))</f>
        <v/>
      </c>
    </row>
    <row r="1076" customFormat="false" ht="15" hidden="false" customHeight="false" outlineLevel="0" collapsed="false">
      <c r="A1076" s="20"/>
      <c r="B1076" s="35" t="str">
        <f aca="false">IF($A1076="","",IFERROR(INDEX(مخرج_البند,MATCH($A1076,قائمة_المخرجات,0)),""))</f>
        <v/>
      </c>
      <c r="C1076" s="30" t="str">
        <f aca="false">IF($A1076="","",IFERROR(INDEX(مخرج_الوصف,MATCH($A1076,قائمة_المخرجات,0)),""))</f>
        <v/>
      </c>
      <c r="D1076" s="20"/>
      <c r="E1076" s="31"/>
      <c r="F1076" s="22"/>
      <c r="G1076" s="36" t="str">
        <f aca="false">IF(OR($A1076="",$D1076&lt;&gt;"تسليم",NOT(ISNUMBER($E1076))),"",COUNTIFS($A$5:$A$1504,$A1076,$D$5:$D$1504,"تسليم",$E$5:$E$1504,"&lt;"&amp;$E1076)+1)</f>
        <v/>
      </c>
      <c r="H1076" s="33" t="str">
        <f aca="false">IF($G1076="","",_xlfn.MINIFS($E$5:$E$1504,$A$5:$A$1504,$A1076,$D$5:$D$1504,"&lt;&gt;تسليم",$E$5:$E$1504,"&gt;="&amp;$E1076))</f>
        <v/>
      </c>
      <c r="I1076" s="33" t="str">
        <f aca="false">IF($G1076="","",_xlfn.MINIFS($E$5:$E$1504,$A$5:$A$1504,$A1076,$D$5:$D$1504,"تسليم",$E$5:$E$1504,"&gt;"&amp;$E1076))</f>
        <v/>
      </c>
      <c r="J1076" s="33" t="str">
        <f aca="false">IF($G1076="","",IF(H1076&gt;0,IF(I1076&gt;0,MIN(H1076,I1076),H1076),IF(I1076&gt;0,I1076,تاريخ_الاحتساب)))</f>
        <v/>
      </c>
      <c r="K1076" s="34" t="str">
        <f aca="false">IF($G1076="","",IF(AND(H1076=0,I1076=0),"جارية","مغلقة"))</f>
        <v/>
      </c>
      <c r="L1076" s="26" t="str">
        <f aca="false">IF($G1076="","",MAX(0,NETWORKDAYS.INTL($E1076,J1076,رمز_العطلة,أيام_الأجازات)-1))</f>
        <v/>
      </c>
      <c r="M1076" s="26" t="str">
        <f aca="false">IF($G1076="","",MAX(0,L1076-مهلة_المراجعة))</f>
        <v/>
      </c>
      <c r="N1076" s="30" t="str">
        <f aca="false">IF($A1076="",IF(OR($D1076&lt;&gt;"",$E1076&lt;&gt;""),"رقم المخرج ناقص",""),IF(ISNA(MATCH($A1076,قائمة_المخرجات,0)),"رقم مخرج غير موجود",IF($D1076="","نوع الحركة ناقص",IF(NOT(ISNUMBER($E1076)),"التاريخ ناقص",IF($E1076&gt;تاريخ_الاحتساب,"تاريخ بعد تاريخ الاحتساب",IF(AND($D1076&lt;&gt;"تسليم",COUNTIFS($A$5:$A$1504,$A1076,$D$5:$D$1504,"تسليم",$E$5:$E$1504,"&lt;="&amp;$E1076)=0),"لا يوجد تسليم قبل الحركة دي",""))))))</f>
        <v/>
      </c>
    </row>
    <row r="1077" customFormat="false" ht="15" hidden="false" customHeight="false" outlineLevel="0" collapsed="false">
      <c r="A1077" s="20"/>
      <c r="B1077" s="35" t="str">
        <f aca="false">IF($A1077="","",IFERROR(INDEX(مخرج_البند,MATCH($A1077,قائمة_المخرجات,0)),""))</f>
        <v/>
      </c>
      <c r="C1077" s="30" t="str">
        <f aca="false">IF($A1077="","",IFERROR(INDEX(مخرج_الوصف,MATCH($A1077,قائمة_المخرجات,0)),""))</f>
        <v/>
      </c>
      <c r="D1077" s="20"/>
      <c r="E1077" s="31"/>
      <c r="F1077" s="22"/>
      <c r="G1077" s="36" t="str">
        <f aca="false">IF(OR($A1077="",$D1077&lt;&gt;"تسليم",NOT(ISNUMBER($E1077))),"",COUNTIFS($A$5:$A$1504,$A1077,$D$5:$D$1504,"تسليم",$E$5:$E$1504,"&lt;"&amp;$E1077)+1)</f>
        <v/>
      </c>
      <c r="H1077" s="33" t="str">
        <f aca="false">IF($G1077="","",_xlfn.MINIFS($E$5:$E$1504,$A$5:$A$1504,$A1077,$D$5:$D$1504,"&lt;&gt;تسليم",$E$5:$E$1504,"&gt;="&amp;$E1077))</f>
        <v/>
      </c>
      <c r="I1077" s="33" t="str">
        <f aca="false">IF($G1077="","",_xlfn.MINIFS($E$5:$E$1504,$A$5:$A$1504,$A1077,$D$5:$D$1504,"تسليم",$E$5:$E$1504,"&gt;"&amp;$E1077))</f>
        <v/>
      </c>
      <c r="J1077" s="33" t="str">
        <f aca="false">IF($G1077="","",IF(H1077&gt;0,IF(I1077&gt;0,MIN(H1077,I1077),H1077),IF(I1077&gt;0,I1077,تاريخ_الاحتساب)))</f>
        <v/>
      </c>
      <c r="K1077" s="34" t="str">
        <f aca="false">IF($G1077="","",IF(AND(H1077=0,I1077=0),"جارية","مغلقة"))</f>
        <v/>
      </c>
      <c r="L1077" s="26" t="str">
        <f aca="false">IF($G1077="","",MAX(0,NETWORKDAYS.INTL($E1077,J1077,رمز_العطلة,أيام_الأجازات)-1))</f>
        <v/>
      </c>
      <c r="M1077" s="26" t="str">
        <f aca="false">IF($G1077="","",MAX(0,L1077-مهلة_المراجعة))</f>
        <v/>
      </c>
      <c r="N1077" s="30" t="str">
        <f aca="false">IF($A1077="",IF(OR($D1077&lt;&gt;"",$E1077&lt;&gt;""),"رقم المخرج ناقص",""),IF(ISNA(MATCH($A1077,قائمة_المخرجات,0)),"رقم مخرج غير موجود",IF($D1077="","نوع الحركة ناقص",IF(NOT(ISNUMBER($E1077)),"التاريخ ناقص",IF($E1077&gt;تاريخ_الاحتساب,"تاريخ بعد تاريخ الاحتساب",IF(AND($D1077&lt;&gt;"تسليم",COUNTIFS($A$5:$A$1504,$A1077,$D$5:$D$1504,"تسليم",$E$5:$E$1504,"&lt;="&amp;$E1077)=0),"لا يوجد تسليم قبل الحركة دي",""))))))</f>
        <v/>
      </c>
    </row>
    <row r="1078" customFormat="false" ht="15" hidden="false" customHeight="false" outlineLevel="0" collapsed="false">
      <c r="A1078" s="20"/>
      <c r="B1078" s="35" t="str">
        <f aca="false">IF($A1078="","",IFERROR(INDEX(مخرج_البند,MATCH($A1078,قائمة_المخرجات,0)),""))</f>
        <v/>
      </c>
      <c r="C1078" s="30" t="str">
        <f aca="false">IF($A1078="","",IFERROR(INDEX(مخرج_الوصف,MATCH($A1078,قائمة_المخرجات,0)),""))</f>
        <v/>
      </c>
      <c r="D1078" s="20"/>
      <c r="E1078" s="31"/>
      <c r="F1078" s="22"/>
      <c r="G1078" s="36" t="str">
        <f aca="false">IF(OR($A1078="",$D1078&lt;&gt;"تسليم",NOT(ISNUMBER($E1078))),"",COUNTIFS($A$5:$A$1504,$A1078,$D$5:$D$1504,"تسليم",$E$5:$E$1504,"&lt;"&amp;$E1078)+1)</f>
        <v/>
      </c>
      <c r="H1078" s="33" t="str">
        <f aca="false">IF($G1078="","",_xlfn.MINIFS($E$5:$E$1504,$A$5:$A$1504,$A1078,$D$5:$D$1504,"&lt;&gt;تسليم",$E$5:$E$1504,"&gt;="&amp;$E1078))</f>
        <v/>
      </c>
      <c r="I1078" s="33" t="str">
        <f aca="false">IF($G1078="","",_xlfn.MINIFS($E$5:$E$1504,$A$5:$A$1504,$A1078,$D$5:$D$1504,"تسليم",$E$5:$E$1504,"&gt;"&amp;$E1078))</f>
        <v/>
      </c>
      <c r="J1078" s="33" t="str">
        <f aca="false">IF($G1078="","",IF(H1078&gt;0,IF(I1078&gt;0,MIN(H1078,I1078),H1078),IF(I1078&gt;0,I1078,تاريخ_الاحتساب)))</f>
        <v/>
      </c>
      <c r="K1078" s="34" t="str">
        <f aca="false">IF($G1078="","",IF(AND(H1078=0,I1078=0),"جارية","مغلقة"))</f>
        <v/>
      </c>
      <c r="L1078" s="26" t="str">
        <f aca="false">IF($G1078="","",MAX(0,NETWORKDAYS.INTL($E1078,J1078,رمز_العطلة,أيام_الأجازات)-1))</f>
        <v/>
      </c>
      <c r="M1078" s="26" t="str">
        <f aca="false">IF($G1078="","",MAX(0,L1078-مهلة_المراجعة))</f>
        <v/>
      </c>
      <c r="N1078" s="30" t="str">
        <f aca="false">IF($A1078="",IF(OR($D1078&lt;&gt;"",$E1078&lt;&gt;""),"رقم المخرج ناقص",""),IF(ISNA(MATCH($A1078,قائمة_المخرجات,0)),"رقم مخرج غير موجود",IF($D1078="","نوع الحركة ناقص",IF(NOT(ISNUMBER($E1078)),"التاريخ ناقص",IF($E1078&gt;تاريخ_الاحتساب,"تاريخ بعد تاريخ الاحتساب",IF(AND($D1078&lt;&gt;"تسليم",COUNTIFS($A$5:$A$1504,$A1078,$D$5:$D$1504,"تسليم",$E$5:$E$1504,"&lt;="&amp;$E1078)=0),"لا يوجد تسليم قبل الحركة دي",""))))))</f>
        <v/>
      </c>
    </row>
    <row r="1079" customFormat="false" ht="15" hidden="false" customHeight="false" outlineLevel="0" collapsed="false">
      <c r="A1079" s="20"/>
      <c r="B1079" s="35" t="str">
        <f aca="false">IF($A1079="","",IFERROR(INDEX(مخرج_البند,MATCH($A1079,قائمة_المخرجات,0)),""))</f>
        <v/>
      </c>
      <c r="C1079" s="30" t="str">
        <f aca="false">IF($A1079="","",IFERROR(INDEX(مخرج_الوصف,MATCH($A1079,قائمة_المخرجات,0)),""))</f>
        <v/>
      </c>
      <c r="D1079" s="20"/>
      <c r="E1079" s="31"/>
      <c r="F1079" s="22"/>
      <c r="G1079" s="36" t="str">
        <f aca="false">IF(OR($A1079="",$D1079&lt;&gt;"تسليم",NOT(ISNUMBER($E1079))),"",COUNTIFS($A$5:$A$1504,$A1079,$D$5:$D$1504,"تسليم",$E$5:$E$1504,"&lt;"&amp;$E1079)+1)</f>
        <v/>
      </c>
      <c r="H1079" s="33" t="str">
        <f aca="false">IF($G1079="","",_xlfn.MINIFS($E$5:$E$1504,$A$5:$A$1504,$A1079,$D$5:$D$1504,"&lt;&gt;تسليم",$E$5:$E$1504,"&gt;="&amp;$E1079))</f>
        <v/>
      </c>
      <c r="I1079" s="33" t="str">
        <f aca="false">IF($G1079="","",_xlfn.MINIFS($E$5:$E$1504,$A$5:$A$1504,$A1079,$D$5:$D$1504,"تسليم",$E$5:$E$1504,"&gt;"&amp;$E1079))</f>
        <v/>
      </c>
      <c r="J1079" s="33" t="str">
        <f aca="false">IF($G1079="","",IF(H1079&gt;0,IF(I1079&gt;0,MIN(H1079,I1079),H1079),IF(I1079&gt;0,I1079,تاريخ_الاحتساب)))</f>
        <v/>
      </c>
      <c r="K1079" s="34" t="str">
        <f aca="false">IF($G1079="","",IF(AND(H1079=0,I1079=0),"جارية","مغلقة"))</f>
        <v/>
      </c>
      <c r="L1079" s="26" t="str">
        <f aca="false">IF($G1079="","",MAX(0,NETWORKDAYS.INTL($E1079,J1079,رمز_العطلة,أيام_الأجازات)-1))</f>
        <v/>
      </c>
      <c r="M1079" s="26" t="str">
        <f aca="false">IF($G1079="","",MAX(0,L1079-مهلة_المراجعة))</f>
        <v/>
      </c>
      <c r="N1079" s="30" t="str">
        <f aca="false">IF($A1079="",IF(OR($D1079&lt;&gt;"",$E1079&lt;&gt;""),"رقم المخرج ناقص",""),IF(ISNA(MATCH($A1079,قائمة_المخرجات,0)),"رقم مخرج غير موجود",IF($D1079="","نوع الحركة ناقص",IF(NOT(ISNUMBER($E1079)),"التاريخ ناقص",IF($E1079&gt;تاريخ_الاحتساب,"تاريخ بعد تاريخ الاحتساب",IF(AND($D1079&lt;&gt;"تسليم",COUNTIFS($A$5:$A$1504,$A1079,$D$5:$D$1504,"تسليم",$E$5:$E$1504,"&lt;="&amp;$E1079)=0),"لا يوجد تسليم قبل الحركة دي",""))))))</f>
        <v/>
      </c>
    </row>
    <row r="1080" customFormat="false" ht="15" hidden="false" customHeight="false" outlineLevel="0" collapsed="false">
      <c r="A1080" s="20"/>
      <c r="B1080" s="35" t="str">
        <f aca="false">IF($A1080="","",IFERROR(INDEX(مخرج_البند,MATCH($A1080,قائمة_المخرجات,0)),""))</f>
        <v/>
      </c>
      <c r="C1080" s="30" t="str">
        <f aca="false">IF($A1080="","",IFERROR(INDEX(مخرج_الوصف,MATCH($A1080,قائمة_المخرجات,0)),""))</f>
        <v/>
      </c>
      <c r="D1080" s="20"/>
      <c r="E1080" s="31"/>
      <c r="F1080" s="22"/>
      <c r="G1080" s="36" t="str">
        <f aca="false">IF(OR($A1080="",$D1080&lt;&gt;"تسليم",NOT(ISNUMBER($E1080))),"",COUNTIFS($A$5:$A$1504,$A1080,$D$5:$D$1504,"تسليم",$E$5:$E$1504,"&lt;"&amp;$E1080)+1)</f>
        <v/>
      </c>
      <c r="H1080" s="33" t="str">
        <f aca="false">IF($G1080="","",_xlfn.MINIFS($E$5:$E$1504,$A$5:$A$1504,$A1080,$D$5:$D$1504,"&lt;&gt;تسليم",$E$5:$E$1504,"&gt;="&amp;$E1080))</f>
        <v/>
      </c>
      <c r="I1080" s="33" t="str">
        <f aca="false">IF($G1080="","",_xlfn.MINIFS($E$5:$E$1504,$A$5:$A$1504,$A1080,$D$5:$D$1504,"تسليم",$E$5:$E$1504,"&gt;"&amp;$E1080))</f>
        <v/>
      </c>
      <c r="J1080" s="33" t="str">
        <f aca="false">IF($G1080="","",IF(H1080&gt;0,IF(I1080&gt;0,MIN(H1080,I1080),H1080),IF(I1080&gt;0,I1080,تاريخ_الاحتساب)))</f>
        <v/>
      </c>
      <c r="K1080" s="34" t="str">
        <f aca="false">IF($G1080="","",IF(AND(H1080=0,I1080=0),"جارية","مغلقة"))</f>
        <v/>
      </c>
      <c r="L1080" s="26" t="str">
        <f aca="false">IF($G1080="","",MAX(0,NETWORKDAYS.INTL($E1080,J1080,رمز_العطلة,أيام_الأجازات)-1))</f>
        <v/>
      </c>
      <c r="M1080" s="26" t="str">
        <f aca="false">IF($G1080="","",MAX(0,L1080-مهلة_المراجعة))</f>
        <v/>
      </c>
      <c r="N1080" s="30" t="str">
        <f aca="false">IF($A1080="",IF(OR($D1080&lt;&gt;"",$E1080&lt;&gt;""),"رقم المخرج ناقص",""),IF(ISNA(MATCH($A1080,قائمة_المخرجات,0)),"رقم مخرج غير موجود",IF($D1080="","نوع الحركة ناقص",IF(NOT(ISNUMBER($E1080)),"التاريخ ناقص",IF($E1080&gt;تاريخ_الاحتساب,"تاريخ بعد تاريخ الاحتساب",IF(AND($D1080&lt;&gt;"تسليم",COUNTIFS($A$5:$A$1504,$A1080,$D$5:$D$1504,"تسليم",$E$5:$E$1504,"&lt;="&amp;$E1080)=0),"لا يوجد تسليم قبل الحركة دي",""))))))</f>
        <v/>
      </c>
    </row>
    <row r="1081" customFormat="false" ht="15" hidden="false" customHeight="false" outlineLevel="0" collapsed="false">
      <c r="A1081" s="20"/>
      <c r="B1081" s="35" t="str">
        <f aca="false">IF($A1081="","",IFERROR(INDEX(مخرج_البند,MATCH($A1081,قائمة_المخرجات,0)),""))</f>
        <v/>
      </c>
      <c r="C1081" s="30" t="str">
        <f aca="false">IF($A1081="","",IFERROR(INDEX(مخرج_الوصف,MATCH($A1081,قائمة_المخرجات,0)),""))</f>
        <v/>
      </c>
      <c r="D1081" s="20"/>
      <c r="E1081" s="31"/>
      <c r="F1081" s="22"/>
      <c r="G1081" s="36" t="str">
        <f aca="false">IF(OR($A1081="",$D1081&lt;&gt;"تسليم",NOT(ISNUMBER($E1081))),"",COUNTIFS($A$5:$A$1504,$A1081,$D$5:$D$1504,"تسليم",$E$5:$E$1504,"&lt;"&amp;$E1081)+1)</f>
        <v/>
      </c>
      <c r="H1081" s="33" t="str">
        <f aca="false">IF($G1081="","",_xlfn.MINIFS($E$5:$E$1504,$A$5:$A$1504,$A1081,$D$5:$D$1504,"&lt;&gt;تسليم",$E$5:$E$1504,"&gt;="&amp;$E1081))</f>
        <v/>
      </c>
      <c r="I1081" s="33" t="str">
        <f aca="false">IF($G1081="","",_xlfn.MINIFS($E$5:$E$1504,$A$5:$A$1504,$A1081,$D$5:$D$1504,"تسليم",$E$5:$E$1504,"&gt;"&amp;$E1081))</f>
        <v/>
      </c>
      <c r="J1081" s="33" t="str">
        <f aca="false">IF($G1081="","",IF(H1081&gt;0,IF(I1081&gt;0,MIN(H1081,I1081),H1081),IF(I1081&gt;0,I1081,تاريخ_الاحتساب)))</f>
        <v/>
      </c>
      <c r="K1081" s="34" t="str">
        <f aca="false">IF($G1081="","",IF(AND(H1081=0,I1081=0),"جارية","مغلقة"))</f>
        <v/>
      </c>
      <c r="L1081" s="26" t="str">
        <f aca="false">IF($G1081="","",MAX(0,NETWORKDAYS.INTL($E1081,J1081,رمز_العطلة,أيام_الأجازات)-1))</f>
        <v/>
      </c>
      <c r="M1081" s="26" t="str">
        <f aca="false">IF($G1081="","",MAX(0,L1081-مهلة_المراجعة))</f>
        <v/>
      </c>
      <c r="N1081" s="30" t="str">
        <f aca="false">IF($A1081="",IF(OR($D1081&lt;&gt;"",$E1081&lt;&gt;""),"رقم المخرج ناقص",""),IF(ISNA(MATCH($A1081,قائمة_المخرجات,0)),"رقم مخرج غير موجود",IF($D1081="","نوع الحركة ناقص",IF(NOT(ISNUMBER($E1081)),"التاريخ ناقص",IF($E1081&gt;تاريخ_الاحتساب,"تاريخ بعد تاريخ الاحتساب",IF(AND($D1081&lt;&gt;"تسليم",COUNTIFS($A$5:$A$1504,$A1081,$D$5:$D$1504,"تسليم",$E$5:$E$1504,"&lt;="&amp;$E1081)=0),"لا يوجد تسليم قبل الحركة دي",""))))))</f>
        <v/>
      </c>
    </row>
    <row r="1082" customFormat="false" ht="15" hidden="false" customHeight="false" outlineLevel="0" collapsed="false">
      <c r="A1082" s="20"/>
      <c r="B1082" s="35" t="str">
        <f aca="false">IF($A1082="","",IFERROR(INDEX(مخرج_البند,MATCH($A1082,قائمة_المخرجات,0)),""))</f>
        <v/>
      </c>
      <c r="C1082" s="30" t="str">
        <f aca="false">IF($A1082="","",IFERROR(INDEX(مخرج_الوصف,MATCH($A1082,قائمة_المخرجات,0)),""))</f>
        <v/>
      </c>
      <c r="D1082" s="20"/>
      <c r="E1082" s="31"/>
      <c r="F1082" s="22"/>
      <c r="G1082" s="36" t="str">
        <f aca="false">IF(OR($A1082="",$D1082&lt;&gt;"تسليم",NOT(ISNUMBER($E1082))),"",COUNTIFS($A$5:$A$1504,$A1082,$D$5:$D$1504,"تسليم",$E$5:$E$1504,"&lt;"&amp;$E1082)+1)</f>
        <v/>
      </c>
      <c r="H1082" s="33" t="str">
        <f aca="false">IF($G1082="","",_xlfn.MINIFS($E$5:$E$1504,$A$5:$A$1504,$A1082,$D$5:$D$1504,"&lt;&gt;تسليم",$E$5:$E$1504,"&gt;="&amp;$E1082))</f>
        <v/>
      </c>
      <c r="I1082" s="33" t="str">
        <f aca="false">IF($G1082="","",_xlfn.MINIFS($E$5:$E$1504,$A$5:$A$1504,$A1082,$D$5:$D$1504,"تسليم",$E$5:$E$1504,"&gt;"&amp;$E1082))</f>
        <v/>
      </c>
      <c r="J1082" s="33" t="str">
        <f aca="false">IF($G1082="","",IF(H1082&gt;0,IF(I1082&gt;0,MIN(H1082,I1082),H1082),IF(I1082&gt;0,I1082,تاريخ_الاحتساب)))</f>
        <v/>
      </c>
      <c r="K1082" s="34" t="str">
        <f aca="false">IF($G1082="","",IF(AND(H1082=0,I1082=0),"جارية","مغلقة"))</f>
        <v/>
      </c>
      <c r="L1082" s="26" t="str">
        <f aca="false">IF($G1082="","",MAX(0,NETWORKDAYS.INTL($E1082,J1082,رمز_العطلة,أيام_الأجازات)-1))</f>
        <v/>
      </c>
      <c r="M1082" s="26" t="str">
        <f aca="false">IF($G1082="","",MAX(0,L1082-مهلة_المراجعة))</f>
        <v/>
      </c>
      <c r="N1082" s="30" t="str">
        <f aca="false">IF($A1082="",IF(OR($D1082&lt;&gt;"",$E1082&lt;&gt;""),"رقم المخرج ناقص",""),IF(ISNA(MATCH($A1082,قائمة_المخرجات,0)),"رقم مخرج غير موجود",IF($D1082="","نوع الحركة ناقص",IF(NOT(ISNUMBER($E1082)),"التاريخ ناقص",IF($E1082&gt;تاريخ_الاحتساب,"تاريخ بعد تاريخ الاحتساب",IF(AND($D1082&lt;&gt;"تسليم",COUNTIFS($A$5:$A$1504,$A1082,$D$5:$D$1504,"تسليم",$E$5:$E$1504,"&lt;="&amp;$E1082)=0),"لا يوجد تسليم قبل الحركة دي",""))))))</f>
        <v/>
      </c>
    </row>
    <row r="1083" customFormat="false" ht="15" hidden="false" customHeight="false" outlineLevel="0" collapsed="false">
      <c r="A1083" s="20"/>
      <c r="B1083" s="35" t="str">
        <f aca="false">IF($A1083="","",IFERROR(INDEX(مخرج_البند,MATCH($A1083,قائمة_المخرجات,0)),""))</f>
        <v/>
      </c>
      <c r="C1083" s="30" t="str">
        <f aca="false">IF($A1083="","",IFERROR(INDEX(مخرج_الوصف,MATCH($A1083,قائمة_المخرجات,0)),""))</f>
        <v/>
      </c>
      <c r="D1083" s="20"/>
      <c r="E1083" s="31"/>
      <c r="F1083" s="22"/>
      <c r="G1083" s="36" t="str">
        <f aca="false">IF(OR($A1083="",$D1083&lt;&gt;"تسليم",NOT(ISNUMBER($E1083))),"",COUNTIFS($A$5:$A$1504,$A1083,$D$5:$D$1504,"تسليم",$E$5:$E$1504,"&lt;"&amp;$E1083)+1)</f>
        <v/>
      </c>
      <c r="H1083" s="33" t="str">
        <f aca="false">IF($G1083="","",_xlfn.MINIFS($E$5:$E$1504,$A$5:$A$1504,$A1083,$D$5:$D$1504,"&lt;&gt;تسليم",$E$5:$E$1504,"&gt;="&amp;$E1083))</f>
        <v/>
      </c>
      <c r="I1083" s="33" t="str">
        <f aca="false">IF($G1083="","",_xlfn.MINIFS($E$5:$E$1504,$A$5:$A$1504,$A1083,$D$5:$D$1504,"تسليم",$E$5:$E$1504,"&gt;"&amp;$E1083))</f>
        <v/>
      </c>
      <c r="J1083" s="33" t="str">
        <f aca="false">IF($G1083="","",IF(H1083&gt;0,IF(I1083&gt;0,MIN(H1083,I1083),H1083),IF(I1083&gt;0,I1083,تاريخ_الاحتساب)))</f>
        <v/>
      </c>
      <c r="K1083" s="34" t="str">
        <f aca="false">IF($G1083="","",IF(AND(H1083=0,I1083=0),"جارية","مغلقة"))</f>
        <v/>
      </c>
      <c r="L1083" s="26" t="str">
        <f aca="false">IF($G1083="","",MAX(0,NETWORKDAYS.INTL($E1083,J1083,رمز_العطلة,أيام_الأجازات)-1))</f>
        <v/>
      </c>
      <c r="M1083" s="26" t="str">
        <f aca="false">IF($G1083="","",MAX(0,L1083-مهلة_المراجعة))</f>
        <v/>
      </c>
      <c r="N1083" s="30" t="str">
        <f aca="false">IF($A1083="",IF(OR($D1083&lt;&gt;"",$E1083&lt;&gt;""),"رقم المخرج ناقص",""),IF(ISNA(MATCH($A1083,قائمة_المخرجات,0)),"رقم مخرج غير موجود",IF($D1083="","نوع الحركة ناقص",IF(NOT(ISNUMBER($E1083)),"التاريخ ناقص",IF($E1083&gt;تاريخ_الاحتساب,"تاريخ بعد تاريخ الاحتساب",IF(AND($D1083&lt;&gt;"تسليم",COUNTIFS($A$5:$A$1504,$A1083,$D$5:$D$1504,"تسليم",$E$5:$E$1504,"&lt;="&amp;$E1083)=0),"لا يوجد تسليم قبل الحركة دي",""))))))</f>
        <v/>
      </c>
    </row>
    <row r="1084" customFormat="false" ht="15" hidden="false" customHeight="false" outlineLevel="0" collapsed="false">
      <c r="A1084" s="20"/>
      <c r="B1084" s="35" t="str">
        <f aca="false">IF($A1084="","",IFERROR(INDEX(مخرج_البند,MATCH($A1084,قائمة_المخرجات,0)),""))</f>
        <v/>
      </c>
      <c r="C1084" s="30" t="str">
        <f aca="false">IF($A1084="","",IFERROR(INDEX(مخرج_الوصف,MATCH($A1084,قائمة_المخرجات,0)),""))</f>
        <v/>
      </c>
      <c r="D1084" s="20"/>
      <c r="E1084" s="31"/>
      <c r="F1084" s="22"/>
      <c r="G1084" s="36" t="str">
        <f aca="false">IF(OR($A1084="",$D1084&lt;&gt;"تسليم",NOT(ISNUMBER($E1084))),"",COUNTIFS($A$5:$A$1504,$A1084,$D$5:$D$1504,"تسليم",$E$5:$E$1504,"&lt;"&amp;$E1084)+1)</f>
        <v/>
      </c>
      <c r="H1084" s="33" t="str">
        <f aca="false">IF($G1084="","",_xlfn.MINIFS($E$5:$E$1504,$A$5:$A$1504,$A1084,$D$5:$D$1504,"&lt;&gt;تسليم",$E$5:$E$1504,"&gt;="&amp;$E1084))</f>
        <v/>
      </c>
      <c r="I1084" s="33" t="str">
        <f aca="false">IF($G1084="","",_xlfn.MINIFS($E$5:$E$1504,$A$5:$A$1504,$A1084,$D$5:$D$1504,"تسليم",$E$5:$E$1504,"&gt;"&amp;$E1084))</f>
        <v/>
      </c>
      <c r="J1084" s="33" t="str">
        <f aca="false">IF($G1084="","",IF(H1084&gt;0,IF(I1084&gt;0,MIN(H1084,I1084),H1084),IF(I1084&gt;0,I1084,تاريخ_الاحتساب)))</f>
        <v/>
      </c>
      <c r="K1084" s="34" t="str">
        <f aca="false">IF($G1084="","",IF(AND(H1084=0,I1084=0),"جارية","مغلقة"))</f>
        <v/>
      </c>
      <c r="L1084" s="26" t="str">
        <f aca="false">IF($G1084="","",MAX(0,NETWORKDAYS.INTL($E1084,J1084,رمز_العطلة,أيام_الأجازات)-1))</f>
        <v/>
      </c>
      <c r="M1084" s="26" t="str">
        <f aca="false">IF($G1084="","",MAX(0,L1084-مهلة_المراجعة))</f>
        <v/>
      </c>
      <c r="N1084" s="30" t="str">
        <f aca="false">IF($A1084="",IF(OR($D1084&lt;&gt;"",$E1084&lt;&gt;""),"رقم المخرج ناقص",""),IF(ISNA(MATCH($A1084,قائمة_المخرجات,0)),"رقم مخرج غير موجود",IF($D1084="","نوع الحركة ناقص",IF(NOT(ISNUMBER($E1084)),"التاريخ ناقص",IF($E1084&gt;تاريخ_الاحتساب,"تاريخ بعد تاريخ الاحتساب",IF(AND($D1084&lt;&gt;"تسليم",COUNTIFS($A$5:$A$1504,$A1084,$D$5:$D$1504,"تسليم",$E$5:$E$1504,"&lt;="&amp;$E1084)=0),"لا يوجد تسليم قبل الحركة دي",""))))))</f>
        <v/>
      </c>
    </row>
    <row r="1085" customFormat="false" ht="15" hidden="false" customHeight="false" outlineLevel="0" collapsed="false">
      <c r="A1085" s="20"/>
      <c r="B1085" s="35" t="str">
        <f aca="false">IF($A1085="","",IFERROR(INDEX(مخرج_البند,MATCH($A1085,قائمة_المخرجات,0)),""))</f>
        <v/>
      </c>
      <c r="C1085" s="30" t="str">
        <f aca="false">IF($A1085="","",IFERROR(INDEX(مخرج_الوصف,MATCH($A1085,قائمة_المخرجات,0)),""))</f>
        <v/>
      </c>
      <c r="D1085" s="20"/>
      <c r="E1085" s="31"/>
      <c r="F1085" s="22"/>
      <c r="G1085" s="36" t="str">
        <f aca="false">IF(OR($A1085="",$D1085&lt;&gt;"تسليم",NOT(ISNUMBER($E1085))),"",COUNTIFS($A$5:$A$1504,$A1085,$D$5:$D$1504,"تسليم",$E$5:$E$1504,"&lt;"&amp;$E1085)+1)</f>
        <v/>
      </c>
      <c r="H1085" s="33" t="str">
        <f aca="false">IF($G1085="","",_xlfn.MINIFS($E$5:$E$1504,$A$5:$A$1504,$A1085,$D$5:$D$1504,"&lt;&gt;تسليم",$E$5:$E$1504,"&gt;="&amp;$E1085))</f>
        <v/>
      </c>
      <c r="I1085" s="33" t="str">
        <f aca="false">IF($G1085="","",_xlfn.MINIFS($E$5:$E$1504,$A$5:$A$1504,$A1085,$D$5:$D$1504,"تسليم",$E$5:$E$1504,"&gt;"&amp;$E1085))</f>
        <v/>
      </c>
      <c r="J1085" s="33" t="str">
        <f aca="false">IF($G1085="","",IF(H1085&gt;0,IF(I1085&gt;0,MIN(H1085,I1085),H1085),IF(I1085&gt;0,I1085,تاريخ_الاحتساب)))</f>
        <v/>
      </c>
      <c r="K1085" s="34" t="str">
        <f aca="false">IF($G1085="","",IF(AND(H1085=0,I1085=0),"جارية","مغلقة"))</f>
        <v/>
      </c>
      <c r="L1085" s="26" t="str">
        <f aca="false">IF($G1085="","",MAX(0,NETWORKDAYS.INTL($E1085,J1085,رمز_العطلة,أيام_الأجازات)-1))</f>
        <v/>
      </c>
      <c r="M1085" s="26" t="str">
        <f aca="false">IF($G1085="","",MAX(0,L1085-مهلة_المراجعة))</f>
        <v/>
      </c>
      <c r="N1085" s="30" t="str">
        <f aca="false">IF($A1085="",IF(OR($D1085&lt;&gt;"",$E1085&lt;&gt;""),"رقم المخرج ناقص",""),IF(ISNA(MATCH($A1085,قائمة_المخرجات,0)),"رقم مخرج غير موجود",IF($D1085="","نوع الحركة ناقص",IF(NOT(ISNUMBER($E1085)),"التاريخ ناقص",IF($E1085&gt;تاريخ_الاحتساب,"تاريخ بعد تاريخ الاحتساب",IF(AND($D1085&lt;&gt;"تسليم",COUNTIFS($A$5:$A$1504,$A1085,$D$5:$D$1504,"تسليم",$E$5:$E$1504,"&lt;="&amp;$E1085)=0),"لا يوجد تسليم قبل الحركة دي",""))))))</f>
        <v/>
      </c>
    </row>
    <row r="1086" customFormat="false" ht="15" hidden="false" customHeight="false" outlineLevel="0" collapsed="false">
      <c r="A1086" s="20"/>
      <c r="B1086" s="35" t="str">
        <f aca="false">IF($A1086="","",IFERROR(INDEX(مخرج_البند,MATCH($A1086,قائمة_المخرجات,0)),""))</f>
        <v/>
      </c>
      <c r="C1086" s="30" t="str">
        <f aca="false">IF($A1086="","",IFERROR(INDEX(مخرج_الوصف,MATCH($A1086,قائمة_المخرجات,0)),""))</f>
        <v/>
      </c>
      <c r="D1086" s="20"/>
      <c r="E1086" s="31"/>
      <c r="F1086" s="22"/>
      <c r="G1086" s="36" t="str">
        <f aca="false">IF(OR($A1086="",$D1086&lt;&gt;"تسليم",NOT(ISNUMBER($E1086))),"",COUNTIFS($A$5:$A$1504,$A1086,$D$5:$D$1504,"تسليم",$E$5:$E$1504,"&lt;"&amp;$E1086)+1)</f>
        <v/>
      </c>
      <c r="H1086" s="33" t="str">
        <f aca="false">IF($G1086="","",_xlfn.MINIFS($E$5:$E$1504,$A$5:$A$1504,$A1086,$D$5:$D$1504,"&lt;&gt;تسليم",$E$5:$E$1504,"&gt;="&amp;$E1086))</f>
        <v/>
      </c>
      <c r="I1086" s="33" t="str">
        <f aca="false">IF($G1086="","",_xlfn.MINIFS($E$5:$E$1504,$A$5:$A$1504,$A1086,$D$5:$D$1504,"تسليم",$E$5:$E$1504,"&gt;"&amp;$E1086))</f>
        <v/>
      </c>
      <c r="J1086" s="33" t="str">
        <f aca="false">IF($G1086="","",IF(H1086&gt;0,IF(I1086&gt;0,MIN(H1086,I1086),H1086),IF(I1086&gt;0,I1086,تاريخ_الاحتساب)))</f>
        <v/>
      </c>
      <c r="K1086" s="34" t="str">
        <f aca="false">IF($G1086="","",IF(AND(H1086=0,I1086=0),"جارية","مغلقة"))</f>
        <v/>
      </c>
      <c r="L1086" s="26" t="str">
        <f aca="false">IF($G1086="","",MAX(0,NETWORKDAYS.INTL($E1086,J1086,رمز_العطلة,أيام_الأجازات)-1))</f>
        <v/>
      </c>
      <c r="M1086" s="26" t="str">
        <f aca="false">IF($G1086="","",MAX(0,L1086-مهلة_المراجعة))</f>
        <v/>
      </c>
      <c r="N1086" s="30" t="str">
        <f aca="false">IF($A1086="",IF(OR($D1086&lt;&gt;"",$E1086&lt;&gt;""),"رقم المخرج ناقص",""),IF(ISNA(MATCH($A1086,قائمة_المخرجات,0)),"رقم مخرج غير موجود",IF($D1086="","نوع الحركة ناقص",IF(NOT(ISNUMBER($E1086)),"التاريخ ناقص",IF($E1086&gt;تاريخ_الاحتساب,"تاريخ بعد تاريخ الاحتساب",IF(AND($D1086&lt;&gt;"تسليم",COUNTIFS($A$5:$A$1504,$A1086,$D$5:$D$1504,"تسليم",$E$5:$E$1504,"&lt;="&amp;$E1086)=0),"لا يوجد تسليم قبل الحركة دي",""))))))</f>
        <v/>
      </c>
    </row>
    <row r="1087" customFormat="false" ht="15" hidden="false" customHeight="false" outlineLevel="0" collapsed="false">
      <c r="A1087" s="20"/>
      <c r="B1087" s="35" t="str">
        <f aca="false">IF($A1087="","",IFERROR(INDEX(مخرج_البند,MATCH($A1087,قائمة_المخرجات,0)),""))</f>
        <v/>
      </c>
      <c r="C1087" s="30" t="str">
        <f aca="false">IF($A1087="","",IFERROR(INDEX(مخرج_الوصف,MATCH($A1087,قائمة_المخرجات,0)),""))</f>
        <v/>
      </c>
      <c r="D1087" s="20"/>
      <c r="E1087" s="31"/>
      <c r="F1087" s="22"/>
      <c r="G1087" s="36" t="str">
        <f aca="false">IF(OR($A1087="",$D1087&lt;&gt;"تسليم",NOT(ISNUMBER($E1087))),"",COUNTIFS($A$5:$A$1504,$A1087,$D$5:$D$1504,"تسليم",$E$5:$E$1504,"&lt;"&amp;$E1087)+1)</f>
        <v/>
      </c>
      <c r="H1087" s="33" t="str">
        <f aca="false">IF($G1087="","",_xlfn.MINIFS($E$5:$E$1504,$A$5:$A$1504,$A1087,$D$5:$D$1504,"&lt;&gt;تسليم",$E$5:$E$1504,"&gt;="&amp;$E1087))</f>
        <v/>
      </c>
      <c r="I1087" s="33" t="str">
        <f aca="false">IF($G1087="","",_xlfn.MINIFS($E$5:$E$1504,$A$5:$A$1504,$A1087,$D$5:$D$1504,"تسليم",$E$5:$E$1504,"&gt;"&amp;$E1087))</f>
        <v/>
      </c>
      <c r="J1087" s="33" t="str">
        <f aca="false">IF($G1087="","",IF(H1087&gt;0,IF(I1087&gt;0,MIN(H1087,I1087),H1087),IF(I1087&gt;0,I1087,تاريخ_الاحتساب)))</f>
        <v/>
      </c>
      <c r="K1087" s="34" t="str">
        <f aca="false">IF($G1087="","",IF(AND(H1087=0,I1087=0),"جارية","مغلقة"))</f>
        <v/>
      </c>
      <c r="L1087" s="26" t="str">
        <f aca="false">IF($G1087="","",MAX(0,NETWORKDAYS.INTL($E1087,J1087,رمز_العطلة,أيام_الأجازات)-1))</f>
        <v/>
      </c>
      <c r="M1087" s="26" t="str">
        <f aca="false">IF($G1087="","",MAX(0,L1087-مهلة_المراجعة))</f>
        <v/>
      </c>
      <c r="N1087" s="30" t="str">
        <f aca="false">IF($A1087="",IF(OR($D1087&lt;&gt;"",$E1087&lt;&gt;""),"رقم المخرج ناقص",""),IF(ISNA(MATCH($A1087,قائمة_المخرجات,0)),"رقم مخرج غير موجود",IF($D1087="","نوع الحركة ناقص",IF(NOT(ISNUMBER($E1087)),"التاريخ ناقص",IF($E1087&gt;تاريخ_الاحتساب,"تاريخ بعد تاريخ الاحتساب",IF(AND($D1087&lt;&gt;"تسليم",COUNTIFS($A$5:$A$1504,$A1087,$D$5:$D$1504,"تسليم",$E$5:$E$1504,"&lt;="&amp;$E1087)=0),"لا يوجد تسليم قبل الحركة دي",""))))))</f>
        <v/>
      </c>
    </row>
    <row r="1088" customFormat="false" ht="15" hidden="false" customHeight="false" outlineLevel="0" collapsed="false">
      <c r="A1088" s="20"/>
      <c r="B1088" s="35" t="str">
        <f aca="false">IF($A1088="","",IFERROR(INDEX(مخرج_البند,MATCH($A1088,قائمة_المخرجات,0)),""))</f>
        <v/>
      </c>
      <c r="C1088" s="30" t="str">
        <f aca="false">IF($A1088="","",IFERROR(INDEX(مخرج_الوصف,MATCH($A1088,قائمة_المخرجات,0)),""))</f>
        <v/>
      </c>
      <c r="D1088" s="20"/>
      <c r="E1088" s="31"/>
      <c r="F1088" s="22"/>
      <c r="G1088" s="36" t="str">
        <f aca="false">IF(OR($A1088="",$D1088&lt;&gt;"تسليم",NOT(ISNUMBER($E1088))),"",COUNTIFS($A$5:$A$1504,$A1088,$D$5:$D$1504,"تسليم",$E$5:$E$1504,"&lt;"&amp;$E1088)+1)</f>
        <v/>
      </c>
      <c r="H1088" s="33" t="str">
        <f aca="false">IF($G1088="","",_xlfn.MINIFS($E$5:$E$1504,$A$5:$A$1504,$A1088,$D$5:$D$1504,"&lt;&gt;تسليم",$E$5:$E$1504,"&gt;="&amp;$E1088))</f>
        <v/>
      </c>
      <c r="I1088" s="33" t="str">
        <f aca="false">IF($G1088="","",_xlfn.MINIFS($E$5:$E$1504,$A$5:$A$1504,$A1088,$D$5:$D$1504,"تسليم",$E$5:$E$1504,"&gt;"&amp;$E1088))</f>
        <v/>
      </c>
      <c r="J1088" s="33" t="str">
        <f aca="false">IF($G1088="","",IF(H1088&gt;0,IF(I1088&gt;0,MIN(H1088,I1088),H1088),IF(I1088&gt;0,I1088,تاريخ_الاحتساب)))</f>
        <v/>
      </c>
      <c r="K1088" s="34" t="str">
        <f aca="false">IF($G1088="","",IF(AND(H1088=0,I1088=0),"جارية","مغلقة"))</f>
        <v/>
      </c>
      <c r="L1088" s="26" t="str">
        <f aca="false">IF($G1088="","",MAX(0,NETWORKDAYS.INTL($E1088,J1088,رمز_العطلة,أيام_الأجازات)-1))</f>
        <v/>
      </c>
      <c r="M1088" s="26" t="str">
        <f aca="false">IF($G1088="","",MAX(0,L1088-مهلة_المراجعة))</f>
        <v/>
      </c>
      <c r="N1088" s="30" t="str">
        <f aca="false">IF($A1088="",IF(OR($D1088&lt;&gt;"",$E1088&lt;&gt;""),"رقم المخرج ناقص",""),IF(ISNA(MATCH($A1088,قائمة_المخرجات,0)),"رقم مخرج غير موجود",IF($D1088="","نوع الحركة ناقص",IF(NOT(ISNUMBER($E1088)),"التاريخ ناقص",IF($E1088&gt;تاريخ_الاحتساب,"تاريخ بعد تاريخ الاحتساب",IF(AND($D1088&lt;&gt;"تسليم",COUNTIFS($A$5:$A$1504,$A1088,$D$5:$D$1504,"تسليم",$E$5:$E$1504,"&lt;="&amp;$E1088)=0),"لا يوجد تسليم قبل الحركة دي",""))))))</f>
        <v/>
      </c>
    </row>
    <row r="1089" customFormat="false" ht="15" hidden="false" customHeight="false" outlineLevel="0" collapsed="false">
      <c r="A1089" s="20"/>
      <c r="B1089" s="35" t="str">
        <f aca="false">IF($A1089="","",IFERROR(INDEX(مخرج_البند,MATCH($A1089,قائمة_المخرجات,0)),""))</f>
        <v/>
      </c>
      <c r="C1089" s="30" t="str">
        <f aca="false">IF($A1089="","",IFERROR(INDEX(مخرج_الوصف,MATCH($A1089,قائمة_المخرجات,0)),""))</f>
        <v/>
      </c>
      <c r="D1089" s="20"/>
      <c r="E1089" s="31"/>
      <c r="F1089" s="22"/>
      <c r="G1089" s="36" t="str">
        <f aca="false">IF(OR($A1089="",$D1089&lt;&gt;"تسليم",NOT(ISNUMBER($E1089))),"",COUNTIFS($A$5:$A$1504,$A1089,$D$5:$D$1504,"تسليم",$E$5:$E$1504,"&lt;"&amp;$E1089)+1)</f>
        <v/>
      </c>
      <c r="H1089" s="33" t="str">
        <f aca="false">IF($G1089="","",_xlfn.MINIFS($E$5:$E$1504,$A$5:$A$1504,$A1089,$D$5:$D$1504,"&lt;&gt;تسليم",$E$5:$E$1504,"&gt;="&amp;$E1089))</f>
        <v/>
      </c>
      <c r="I1089" s="33" t="str">
        <f aca="false">IF($G1089="","",_xlfn.MINIFS($E$5:$E$1504,$A$5:$A$1504,$A1089,$D$5:$D$1504,"تسليم",$E$5:$E$1504,"&gt;"&amp;$E1089))</f>
        <v/>
      </c>
      <c r="J1089" s="33" t="str">
        <f aca="false">IF($G1089="","",IF(H1089&gt;0,IF(I1089&gt;0,MIN(H1089,I1089),H1089),IF(I1089&gt;0,I1089,تاريخ_الاحتساب)))</f>
        <v/>
      </c>
      <c r="K1089" s="34" t="str">
        <f aca="false">IF($G1089="","",IF(AND(H1089=0,I1089=0),"جارية","مغلقة"))</f>
        <v/>
      </c>
      <c r="L1089" s="26" t="str">
        <f aca="false">IF($G1089="","",MAX(0,NETWORKDAYS.INTL($E1089,J1089,رمز_العطلة,أيام_الأجازات)-1))</f>
        <v/>
      </c>
      <c r="M1089" s="26" t="str">
        <f aca="false">IF($G1089="","",MAX(0,L1089-مهلة_المراجعة))</f>
        <v/>
      </c>
      <c r="N1089" s="30" t="str">
        <f aca="false">IF($A1089="",IF(OR($D1089&lt;&gt;"",$E1089&lt;&gt;""),"رقم المخرج ناقص",""),IF(ISNA(MATCH($A1089,قائمة_المخرجات,0)),"رقم مخرج غير موجود",IF($D1089="","نوع الحركة ناقص",IF(NOT(ISNUMBER($E1089)),"التاريخ ناقص",IF($E1089&gt;تاريخ_الاحتساب,"تاريخ بعد تاريخ الاحتساب",IF(AND($D1089&lt;&gt;"تسليم",COUNTIFS($A$5:$A$1504,$A1089,$D$5:$D$1504,"تسليم",$E$5:$E$1504,"&lt;="&amp;$E1089)=0),"لا يوجد تسليم قبل الحركة دي",""))))))</f>
        <v/>
      </c>
    </row>
    <row r="1090" customFormat="false" ht="15" hidden="false" customHeight="false" outlineLevel="0" collapsed="false">
      <c r="A1090" s="20"/>
      <c r="B1090" s="35" t="str">
        <f aca="false">IF($A1090="","",IFERROR(INDEX(مخرج_البند,MATCH($A1090,قائمة_المخرجات,0)),""))</f>
        <v/>
      </c>
      <c r="C1090" s="30" t="str">
        <f aca="false">IF($A1090="","",IFERROR(INDEX(مخرج_الوصف,MATCH($A1090,قائمة_المخرجات,0)),""))</f>
        <v/>
      </c>
      <c r="D1090" s="20"/>
      <c r="E1090" s="31"/>
      <c r="F1090" s="22"/>
      <c r="G1090" s="36" t="str">
        <f aca="false">IF(OR($A1090="",$D1090&lt;&gt;"تسليم",NOT(ISNUMBER($E1090))),"",COUNTIFS($A$5:$A$1504,$A1090,$D$5:$D$1504,"تسليم",$E$5:$E$1504,"&lt;"&amp;$E1090)+1)</f>
        <v/>
      </c>
      <c r="H1090" s="33" t="str">
        <f aca="false">IF($G1090="","",_xlfn.MINIFS($E$5:$E$1504,$A$5:$A$1504,$A1090,$D$5:$D$1504,"&lt;&gt;تسليم",$E$5:$E$1504,"&gt;="&amp;$E1090))</f>
        <v/>
      </c>
      <c r="I1090" s="33" t="str">
        <f aca="false">IF($G1090="","",_xlfn.MINIFS($E$5:$E$1504,$A$5:$A$1504,$A1090,$D$5:$D$1504,"تسليم",$E$5:$E$1504,"&gt;"&amp;$E1090))</f>
        <v/>
      </c>
      <c r="J1090" s="33" t="str">
        <f aca="false">IF($G1090="","",IF(H1090&gt;0,IF(I1090&gt;0,MIN(H1090,I1090),H1090),IF(I1090&gt;0,I1090,تاريخ_الاحتساب)))</f>
        <v/>
      </c>
      <c r="K1090" s="34" t="str">
        <f aca="false">IF($G1090="","",IF(AND(H1090=0,I1090=0),"جارية","مغلقة"))</f>
        <v/>
      </c>
      <c r="L1090" s="26" t="str">
        <f aca="false">IF($G1090="","",MAX(0,NETWORKDAYS.INTL($E1090,J1090,رمز_العطلة,أيام_الأجازات)-1))</f>
        <v/>
      </c>
      <c r="M1090" s="26" t="str">
        <f aca="false">IF($G1090="","",MAX(0,L1090-مهلة_المراجعة))</f>
        <v/>
      </c>
      <c r="N1090" s="30" t="str">
        <f aca="false">IF($A1090="",IF(OR($D1090&lt;&gt;"",$E1090&lt;&gt;""),"رقم المخرج ناقص",""),IF(ISNA(MATCH($A1090,قائمة_المخرجات,0)),"رقم مخرج غير موجود",IF($D1090="","نوع الحركة ناقص",IF(NOT(ISNUMBER($E1090)),"التاريخ ناقص",IF($E1090&gt;تاريخ_الاحتساب,"تاريخ بعد تاريخ الاحتساب",IF(AND($D1090&lt;&gt;"تسليم",COUNTIFS($A$5:$A$1504,$A1090,$D$5:$D$1504,"تسليم",$E$5:$E$1504,"&lt;="&amp;$E1090)=0),"لا يوجد تسليم قبل الحركة دي",""))))))</f>
        <v/>
      </c>
    </row>
    <row r="1091" customFormat="false" ht="15" hidden="false" customHeight="false" outlineLevel="0" collapsed="false">
      <c r="A1091" s="20"/>
      <c r="B1091" s="35" t="str">
        <f aca="false">IF($A1091="","",IFERROR(INDEX(مخرج_البند,MATCH($A1091,قائمة_المخرجات,0)),""))</f>
        <v/>
      </c>
      <c r="C1091" s="30" t="str">
        <f aca="false">IF($A1091="","",IFERROR(INDEX(مخرج_الوصف,MATCH($A1091,قائمة_المخرجات,0)),""))</f>
        <v/>
      </c>
      <c r="D1091" s="20"/>
      <c r="E1091" s="31"/>
      <c r="F1091" s="22"/>
      <c r="G1091" s="36" t="str">
        <f aca="false">IF(OR($A1091="",$D1091&lt;&gt;"تسليم",NOT(ISNUMBER($E1091))),"",COUNTIFS($A$5:$A$1504,$A1091,$D$5:$D$1504,"تسليم",$E$5:$E$1504,"&lt;"&amp;$E1091)+1)</f>
        <v/>
      </c>
      <c r="H1091" s="33" t="str">
        <f aca="false">IF($G1091="","",_xlfn.MINIFS($E$5:$E$1504,$A$5:$A$1504,$A1091,$D$5:$D$1504,"&lt;&gt;تسليم",$E$5:$E$1504,"&gt;="&amp;$E1091))</f>
        <v/>
      </c>
      <c r="I1091" s="33" t="str">
        <f aca="false">IF($G1091="","",_xlfn.MINIFS($E$5:$E$1504,$A$5:$A$1504,$A1091,$D$5:$D$1504,"تسليم",$E$5:$E$1504,"&gt;"&amp;$E1091))</f>
        <v/>
      </c>
      <c r="J1091" s="33" t="str">
        <f aca="false">IF($G1091="","",IF(H1091&gt;0,IF(I1091&gt;0,MIN(H1091,I1091),H1091),IF(I1091&gt;0,I1091,تاريخ_الاحتساب)))</f>
        <v/>
      </c>
      <c r="K1091" s="34" t="str">
        <f aca="false">IF($G1091="","",IF(AND(H1091=0,I1091=0),"جارية","مغلقة"))</f>
        <v/>
      </c>
      <c r="L1091" s="26" t="str">
        <f aca="false">IF($G1091="","",MAX(0,NETWORKDAYS.INTL($E1091,J1091,رمز_العطلة,أيام_الأجازات)-1))</f>
        <v/>
      </c>
      <c r="M1091" s="26" t="str">
        <f aca="false">IF($G1091="","",MAX(0,L1091-مهلة_المراجعة))</f>
        <v/>
      </c>
      <c r="N1091" s="30" t="str">
        <f aca="false">IF($A1091="",IF(OR($D1091&lt;&gt;"",$E1091&lt;&gt;""),"رقم المخرج ناقص",""),IF(ISNA(MATCH($A1091,قائمة_المخرجات,0)),"رقم مخرج غير موجود",IF($D1091="","نوع الحركة ناقص",IF(NOT(ISNUMBER($E1091)),"التاريخ ناقص",IF($E1091&gt;تاريخ_الاحتساب,"تاريخ بعد تاريخ الاحتساب",IF(AND($D1091&lt;&gt;"تسليم",COUNTIFS($A$5:$A$1504,$A1091,$D$5:$D$1504,"تسليم",$E$5:$E$1504,"&lt;="&amp;$E1091)=0),"لا يوجد تسليم قبل الحركة دي",""))))))</f>
        <v/>
      </c>
    </row>
    <row r="1092" customFormat="false" ht="15" hidden="false" customHeight="false" outlineLevel="0" collapsed="false">
      <c r="A1092" s="20"/>
      <c r="B1092" s="35" t="str">
        <f aca="false">IF($A1092="","",IFERROR(INDEX(مخرج_البند,MATCH($A1092,قائمة_المخرجات,0)),""))</f>
        <v/>
      </c>
      <c r="C1092" s="30" t="str">
        <f aca="false">IF($A1092="","",IFERROR(INDEX(مخرج_الوصف,MATCH($A1092,قائمة_المخرجات,0)),""))</f>
        <v/>
      </c>
      <c r="D1092" s="20"/>
      <c r="E1092" s="31"/>
      <c r="F1092" s="22"/>
      <c r="G1092" s="36" t="str">
        <f aca="false">IF(OR($A1092="",$D1092&lt;&gt;"تسليم",NOT(ISNUMBER($E1092))),"",COUNTIFS($A$5:$A$1504,$A1092,$D$5:$D$1504,"تسليم",$E$5:$E$1504,"&lt;"&amp;$E1092)+1)</f>
        <v/>
      </c>
      <c r="H1092" s="33" t="str">
        <f aca="false">IF($G1092="","",_xlfn.MINIFS($E$5:$E$1504,$A$5:$A$1504,$A1092,$D$5:$D$1504,"&lt;&gt;تسليم",$E$5:$E$1504,"&gt;="&amp;$E1092))</f>
        <v/>
      </c>
      <c r="I1092" s="33" t="str">
        <f aca="false">IF($G1092="","",_xlfn.MINIFS($E$5:$E$1504,$A$5:$A$1504,$A1092,$D$5:$D$1504,"تسليم",$E$5:$E$1504,"&gt;"&amp;$E1092))</f>
        <v/>
      </c>
      <c r="J1092" s="33" t="str">
        <f aca="false">IF($G1092="","",IF(H1092&gt;0,IF(I1092&gt;0,MIN(H1092,I1092),H1092),IF(I1092&gt;0,I1092,تاريخ_الاحتساب)))</f>
        <v/>
      </c>
      <c r="K1092" s="34" t="str">
        <f aca="false">IF($G1092="","",IF(AND(H1092=0,I1092=0),"جارية","مغلقة"))</f>
        <v/>
      </c>
      <c r="L1092" s="26" t="str">
        <f aca="false">IF($G1092="","",MAX(0,NETWORKDAYS.INTL($E1092,J1092,رمز_العطلة,أيام_الأجازات)-1))</f>
        <v/>
      </c>
      <c r="M1092" s="26" t="str">
        <f aca="false">IF($G1092="","",MAX(0,L1092-مهلة_المراجعة))</f>
        <v/>
      </c>
      <c r="N1092" s="30" t="str">
        <f aca="false">IF($A1092="",IF(OR($D1092&lt;&gt;"",$E1092&lt;&gt;""),"رقم المخرج ناقص",""),IF(ISNA(MATCH($A1092,قائمة_المخرجات,0)),"رقم مخرج غير موجود",IF($D1092="","نوع الحركة ناقص",IF(NOT(ISNUMBER($E1092)),"التاريخ ناقص",IF($E1092&gt;تاريخ_الاحتساب,"تاريخ بعد تاريخ الاحتساب",IF(AND($D1092&lt;&gt;"تسليم",COUNTIFS($A$5:$A$1504,$A1092,$D$5:$D$1504,"تسليم",$E$5:$E$1504,"&lt;="&amp;$E1092)=0),"لا يوجد تسليم قبل الحركة دي",""))))))</f>
        <v/>
      </c>
    </row>
    <row r="1093" customFormat="false" ht="15" hidden="false" customHeight="false" outlineLevel="0" collapsed="false">
      <c r="A1093" s="20"/>
      <c r="B1093" s="35" t="str">
        <f aca="false">IF($A1093="","",IFERROR(INDEX(مخرج_البند,MATCH($A1093,قائمة_المخرجات,0)),""))</f>
        <v/>
      </c>
      <c r="C1093" s="30" t="str">
        <f aca="false">IF($A1093="","",IFERROR(INDEX(مخرج_الوصف,MATCH($A1093,قائمة_المخرجات,0)),""))</f>
        <v/>
      </c>
      <c r="D1093" s="20"/>
      <c r="E1093" s="31"/>
      <c r="F1093" s="22"/>
      <c r="G1093" s="36" t="str">
        <f aca="false">IF(OR($A1093="",$D1093&lt;&gt;"تسليم",NOT(ISNUMBER($E1093))),"",COUNTIFS($A$5:$A$1504,$A1093,$D$5:$D$1504,"تسليم",$E$5:$E$1504,"&lt;"&amp;$E1093)+1)</f>
        <v/>
      </c>
      <c r="H1093" s="33" t="str">
        <f aca="false">IF($G1093="","",_xlfn.MINIFS($E$5:$E$1504,$A$5:$A$1504,$A1093,$D$5:$D$1504,"&lt;&gt;تسليم",$E$5:$E$1504,"&gt;="&amp;$E1093))</f>
        <v/>
      </c>
      <c r="I1093" s="33" t="str">
        <f aca="false">IF($G1093="","",_xlfn.MINIFS($E$5:$E$1504,$A$5:$A$1504,$A1093,$D$5:$D$1504,"تسليم",$E$5:$E$1504,"&gt;"&amp;$E1093))</f>
        <v/>
      </c>
      <c r="J1093" s="33" t="str">
        <f aca="false">IF($G1093="","",IF(H1093&gt;0,IF(I1093&gt;0,MIN(H1093,I1093),H1093),IF(I1093&gt;0,I1093,تاريخ_الاحتساب)))</f>
        <v/>
      </c>
      <c r="K1093" s="34" t="str">
        <f aca="false">IF($G1093="","",IF(AND(H1093=0,I1093=0),"جارية","مغلقة"))</f>
        <v/>
      </c>
      <c r="L1093" s="26" t="str">
        <f aca="false">IF($G1093="","",MAX(0,NETWORKDAYS.INTL($E1093,J1093,رمز_العطلة,أيام_الأجازات)-1))</f>
        <v/>
      </c>
      <c r="M1093" s="26" t="str">
        <f aca="false">IF($G1093="","",MAX(0,L1093-مهلة_المراجعة))</f>
        <v/>
      </c>
      <c r="N1093" s="30" t="str">
        <f aca="false">IF($A1093="",IF(OR($D1093&lt;&gt;"",$E1093&lt;&gt;""),"رقم المخرج ناقص",""),IF(ISNA(MATCH($A1093,قائمة_المخرجات,0)),"رقم مخرج غير موجود",IF($D1093="","نوع الحركة ناقص",IF(NOT(ISNUMBER($E1093)),"التاريخ ناقص",IF($E1093&gt;تاريخ_الاحتساب,"تاريخ بعد تاريخ الاحتساب",IF(AND($D1093&lt;&gt;"تسليم",COUNTIFS($A$5:$A$1504,$A1093,$D$5:$D$1504,"تسليم",$E$5:$E$1504,"&lt;="&amp;$E1093)=0),"لا يوجد تسليم قبل الحركة دي",""))))))</f>
        <v/>
      </c>
    </row>
    <row r="1094" customFormat="false" ht="15" hidden="false" customHeight="false" outlineLevel="0" collapsed="false">
      <c r="A1094" s="20"/>
      <c r="B1094" s="35" t="str">
        <f aca="false">IF($A1094="","",IFERROR(INDEX(مخرج_البند,MATCH($A1094,قائمة_المخرجات,0)),""))</f>
        <v/>
      </c>
      <c r="C1094" s="30" t="str">
        <f aca="false">IF($A1094="","",IFERROR(INDEX(مخرج_الوصف,MATCH($A1094,قائمة_المخرجات,0)),""))</f>
        <v/>
      </c>
      <c r="D1094" s="20"/>
      <c r="E1094" s="31"/>
      <c r="F1094" s="22"/>
      <c r="G1094" s="36" t="str">
        <f aca="false">IF(OR($A1094="",$D1094&lt;&gt;"تسليم",NOT(ISNUMBER($E1094))),"",COUNTIFS($A$5:$A$1504,$A1094,$D$5:$D$1504,"تسليم",$E$5:$E$1504,"&lt;"&amp;$E1094)+1)</f>
        <v/>
      </c>
      <c r="H1094" s="33" t="str">
        <f aca="false">IF($G1094="","",_xlfn.MINIFS($E$5:$E$1504,$A$5:$A$1504,$A1094,$D$5:$D$1504,"&lt;&gt;تسليم",$E$5:$E$1504,"&gt;="&amp;$E1094))</f>
        <v/>
      </c>
      <c r="I1094" s="33" t="str">
        <f aca="false">IF($G1094="","",_xlfn.MINIFS($E$5:$E$1504,$A$5:$A$1504,$A1094,$D$5:$D$1504,"تسليم",$E$5:$E$1504,"&gt;"&amp;$E1094))</f>
        <v/>
      </c>
      <c r="J1094" s="33" t="str">
        <f aca="false">IF($G1094="","",IF(H1094&gt;0,IF(I1094&gt;0,MIN(H1094,I1094),H1094),IF(I1094&gt;0,I1094,تاريخ_الاحتساب)))</f>
        <v/>
      </c>
      <c r="K1094" s="34" t="str">
        <f aca="false">IF($G1094="","",IF(AND(H1094=0,I1094=0),"جارية","مغلقة"))</f>
        <v/>
      </c>
      <c r="L1094" s="26" t="str">
        <f aca="false">IF($G1094="","",MAX(0,NETWORKDAYS.INTL($E1094,J1094,رمز_العطلة,أيام_الأجازات)-1))</f>
        <v/>
      </c>
      <c r="M1094" s="26" t="str">
        <f aca="false">IF($G1094="","",MAX(0,L1094-مهلة_المراجعة))</f>
        <v/>
      </c>
      <c r="N1094" s="30" t="str">
        <f aca="false">IF($A1094="",IF(OR($D1094&lt;&gt;"",$E1094&lt;&gt;""),"رقم المخرج ناقص",""),IF(ISNA(MATCH($A1094,قائمة_المخرجات,0)),"رقم مخرج غير موجود",IF($D1094="","نوع الحركة ناقص",IF(NOT(ISNUMBER($E1094)),"التاريخ ناقص",IF($E1094&gt;تاريخ_الاحتساب,"تاريخ بعد تاريخ الاحتساب",IF(AND($D1094&lt;&gt;"تسليم",COUNTIFS($A$5:$A$1504,$A1094,$D$5:$D$1504,"تسليم",$E$5:$E$1504,"&lt;="&amp;$E1094)=0),"لا يوجد تسليم قبل الحركة دي",""))))))</f>
        <v/>
      </c>
    </row>
    <row r="1095" customFormat="false" ht="15" hidden="false" customHeight="false" outlineLevel="0" collapsed="false">
      <c r="A1095" s="20"/>
      <c r="B1095" s="35" t="str">
        <f aca="false">IF($A1095="","",IFERROR(INDEX(مخرج_البند,MATCH($A1095,قائمة_المخرجات,0)),""))</f>
        <v/>
      </c>
      <c r="C1095" s="30" t="str">
        <f aca="false">IF($A1095="","",IFERROR(INDEX(مخرج_الوصف,MATCH($A1095,قائمة_المخرجات,0)),""))</f>
        <v/>
      </c>
      <c r="D1095" s="20"/>
      <c r="E1095" s="31"/>
      <c r="F1095" s="22"/>
      <c r="G1095" s="36" t="str">
        <f aca="false">IF(OR($A1095="",$D1095&lt;&gt;"تسليم",NOT(ISNUMBER($E1095))),"",COUNTIFS($A$5:$A$1504,$A1095,$D$5:$D$1504,"تسليم",$E$5:$E$1504,"&lt;"&amp;$E1095)+1)</f>
        <v/>
      </c>
      <c r="H1095" s="33" t="str">
        <f aca="false">IF($G1095="","",_xlfn.MINIFS($E$5:$E$1504,$A$5:$A$1504,$A1095,$D$5:$D$1504,"&lt;&gt;تسليم",$E$5:$E$1504,"&gt;="&amp;$E1095))</f>
        <v/>
      </c>
      <c r="I1095" s="33" t="str">
        <f aca="false">IF($G1095="","",_xlfn.MINIFS($E$5:$E$1504,$A$5:$A$1504,$A1095,$D$5:$D$1504,"تسليم",$E$5:$E$1504,"&gt;"&amp;$E1095))</f>
        <v/>
      </c>
      <c r="J1095" s="33" t="str">
        <f aca="false">IF($G1095="","",IF(H1095&gt;0,IF(I1095&gt;0,MIN(H1095,I1095),H1095),IF(I1095&gt;0,I1095,تاريخ_الاحتساب)))</f>
        <v/>
      </c>
      <c r="K1095" s="34" t="str">
        <f aca="false">IF($G1095="","",IF(AND(H1095=0,I1095=0),"جارية","مغلقة"))</f>
        <v/>
      </c>
      <c r="L1095" s="26" t="str">
        <f aca="false">IF($G1095="","",MAX(0,NETWORKDAYS.INTL($E1095,J1095,رمز_العطلة,أيام_الأجازات)-1))</f>
        <v/>
      </c>
      <c r="M1095" s="26" t="str">
        <f aca="false">IF($G1095="","",MAX(0,L1095-مهلة_المراجعة))</f>
        <v/>
      </c>
      <c r="N1095" s="30" t="str">
        <f aca="false">IF($A1095="",IF(OR($D1095&lt;&gt;"",$E1095&lt;&gt;""),"رقم المخرج ناقص",""),IF(ISNA(MATCH($A1095,قائمة_المخرجات,0)),"رقم مخرج غير موجود",IF($D1095="","نوع الحركة ناقص",IF(NOT(ISNUMBER($E1095)),"التاريخ ناقص",IF($E1095&gt;تاريخ_الاحتساب,"تاريخ بعد تاريخ الاحتساب",IF(AND($D1095&lt;&gt;"تسليم",COUNTIFS($A$5:$A$1504,$A1095,$D$5:$D$1504,"تسليم",$E$5:$E$1504,"&lt;="&amp;$E1095)=0),"لا يوجد تسليم قبل الحركة دي",""))))))</f>
        <v/>
      </c>
    </row>
    <row r="1096" customFormat="false" ht="15" hidden="false" customHeight="false" outlineLevel="0" collapsed="false">
      <c r="A1096" s="20"/>
      <c r="B1096" s="35" t="str">
        <f aca="false">IF($A1096="","",IFERROR(INDEX(مخرج_البند,MATCH($A1096,قائمة_المخرجات,0)),""))</f>
        <v/>
      </c>
      <c r="C1096" s="30" t="str">
        <f aca="false">IF($A1096="","",IFERROR(INDEX(مخرج_الوصف,MATCH($A1096,قائمة_المخرجات,0)),""))</f>
        <v/>
      </c>
      <c r="D1096" s="20"/>
      <c r="E1096" s="31"/>
      <c r="F1096" s="22"/>
      <c r="G1096" s="36" t="str">
        <f aca="false">IF(OR($A1096="",$D1096&lt;&gt;"تسليم",NOT(ISNUMBER($E1096))),"",COUNTIFS($A$5:$A$1504,$A1096,$D$5:$D$1504,"تسليم",$E$5:$E$1504,"&lt;"&amp;$E1096)+1)</f>
        <v/>
      </c>
      <c r="H1096" s="33" t="str">
        <f aca="false">IF($G1096="","",_xlfn.MINIFS($E$5:$E$1504,$A$5:$A$1504,$A1096,$D$5:$D$1504,"&lt;&gt;تسليم",$E$5:$E$1504,"&gt;="&amp;$E1096))</f>
        <v/>
      </c>
      <c r="I1096" s="33" t="str">
        <f aca="false">IF($G1096="","",_xlfn.MINIFS($E$5:$E$1504,$A$5:$A$1504,$A1096,$D$5:$D$1504,"تسليم",$E$5:$E$1504,"&gt;"&amp;$E1096))</f>
        <v/>
      </c>
      <c r="J1096" s="33" t="str">
        <f aca="false">IF($G1096="","",IF(H1096&gt;0,IF(I1096&gt;0,MIN(H1096,I1096),H1096),IF(I1096&gt;0,I1096,تاريخ_الاحتساب)))</f>
        <v/>
      </c>
      <c r="K1096" s="34" t="str">
        <f aca="false">IF($G1096="","",IF(AND(H1096=0,I1096=0),"جارية","مغلقة"))</f>
        <v/>
      </c>
      <c r="L1096" s="26" t="str">
        <f aca="false">IF($G1096="","",MAX(0,NETWORKDAYS.INTL($E1096,J1096,رمز_العطلة,أيام_الأجازات)-1))</f>
        <v/>
      </c>
      <c r="M1096" s="26" t="str">
        <f aca="false">IF($G1096="","",MAX(0,L1096-مهلة_المراجعة))</f>
        <v/>
      </c>
      <c r="N1096" s="30" t="str">
        <f aca="false">IF($A1096="",IF(OR($D1096&lt;&gt;"",$E1096&lt;&gt;""),"رقم المخرج ناقص",""),IF(ISNA(MATCH($A1096,قائمة_المخرجات,0)),"رقم مخرج غير موجود",IF($D1096="","نوع الحركة ناقص",IF(NOT(ISNUMBER($E1096)),"التاريخ ناقص",IF($E1096&gt;تاريخ_الاحتساب,"تاريخ بعد تاريخ الاحتساب",IF(AND($D1096&lt;&gt;"تسليم",COUNTIFS($A$5:$A$1504,$A1096,$D$5:$D$1504,"تسليم",$E$5:$E$1504,"&lt;="&amp;$E1096)=0),"لا يوجد تسليم قبل الحركة دي",""))))))</f>
        <v/>
      </c>
    </row>
    <row r="1097" customFormat="false" ht="15" hidden="false" customHeight="false" outlineLevel="0" collapsed="false">
      <c r="A1097" s="20"/>
      <c r="B1097" s="35" t="str">
        <f aca="false">IF($A1097="","",IFERROR(INDEX(مخرج_البند,MATCH($A1097,قائمة_المخرجات,0)),""))</f>
        <v/>
      </c>
      <c r="C1097" s="30" t="str">
        <f aca="false">IF($A1097="","",IFERROR(INDEX(مخرج_الوصف,MATCH($A1097,قائمة_المخرجات,0)),""))</f>
        <v/>
      </c>
      <c r="D1097" s="20"/>
      <c r="E1097" s="31"/>
      <c r="F1097" s="22"/>
      <c r="G1097" s="36" t="str">
        <f aca="false">IF(OR($A1097="",$D1097&lt;&gt;"تسليم",NOT(ISNUMBER($E1097))),"",COUNTIFS($A$5:$A$1504,$A1097,$D$5:$D$1504,"تسليم",$E$5:$E$1504,"&lt;"&amp;$E1097)+1)</f>
        <v/>
      </c>
      <c r="H1097" s="33" t="str">
        <f aca="false">IF($G1097="","",_xlfn.MINIFS($E$5:$E$1504,$A$5:$A$1504,$A1097,$D$5:$D$1504,"&lt;&gt;تسليم",$E$5:$E$1504,"&gt;="&amp;$E1097))</f>
        <v/>
      </c>
      <c r="I1097" s="33" t="str">
        <f aca="false">IF($G1097="","",_xlfn.MINIFS($E$5:$E$1504,$A$5:$A$1504,$A1097,$D$5:$D$1504,"تسليم",$E$5:$E$1504,"&gt;"&amp;$E1097))</f>
        <v/>
      </c>
      <c r="J1097" s="33" t="str">
        <f aca="false">IF($G1097="","",IF(H1097&gt;0,IF(I1097&gt;0,MIN(H1097,I1097),H1097),IF(I1097&gt;0,I1097,تاريخ_الاحتساب)))</f>
        <v/>
      </c>
      <c r="K1097" s="34" t="str">
        <f aca="false">IF($G1097="","",IF(AND(H1097=0,I1097=0),"جارية","مغلقة"))</f>
        <v/>
      </c>
      <c r="L1097" s="26" t="str">
        <f aca="false">IF($G1097="","",MAX(0,NETWORKDAYS.INTL($E1097,J1097,رمز_العطلة,أيام_الأجازات)-1))</f>
        <v/>
      </c>
      <c r="M1097" s="26" t="str">
        <f aca="false">IF($G1097="","",MAX(0,L1097-مهلة_المراجعة))</f>
        <v/>
      </c>
      <c r="N1097" s="30" t="str">
        <f aca="false">IF($A1097="",IF(OR($D1097&lt;&gt;"",$E1097&lt;&gt;""),"رقم المخرج ناقص",""),IF(ISNA(MATCH($A1097,قائمة_المخرجات,0)),"رقم مخرج غير موجود",IF($D1097="","نوع الحركة ناقص",IF(NOT(ISNUMBER($E1097)),"التاريخ ناقص",IF($E1097&gt;تاريخ_الاحتساب,"تاريخ بعد تاريخ الاحتساب",IF(AND($D1097&lt;&gt;"تسليم",COUNTIFS($A$5:$A$1504,$A1097,$D$5:$D$1504,"تسليم",$E$5:$E$1504,"&lt;="&amp;$E1097)=0),"لا يوجد تسليم قبل الحركة دي",""))))))</f>
        <v/>
      </c>
    </row>
    <row r="1098" customFormat="false" ht="15" hidden="false" customHeight="false" outlineLevel="0" collapsed="false">
      <c r="A1098" s="20"/>
      <c r="B1098" s="35" t="str">
        <f aca="false">IF($A1098="","",IFERROR(INDEX(مخرج_البند,MATCH($A1098,قائمة_المخرجات,0)),""))</f>
        <v/>
      </c>
      <c r="C1098" s="30" t="str">
        <f aca="false">IF($A1098="","",IFERROR(INDEX(مخرج_الوصف,MATCH($A1098,قائمة_المخرجات,0)),""))</f>
        <v/>
      </c>
      <c r="D1098" s="20"/>
      <c r="E1098" s="31"/>
      <c r="F1098" s="22"/>
      <c r="G1098" s="36" t="str">
        <f aca="false">IF(OR($A1098="",$D1098&lt;&gt;"تسليم",NOT(ISNUMBER($E1098))),"",COUNTIFS($A$5:$A$1504,$A1098,$D$5:$D$1504,"تسليم",$E$5:$E$1504,"&lt;"&amp;$E1098)+1)</f>
        <v/>
      </c>
      <c r="H1098" s="33" t="str">
        <f aca="false">IF($G1098="","",_xlfn.MINIFS($E$5:$E$1504,$A$5:$A$1504,$A1098,$D$5:$D$1504,"&lt;&gt;تسليم",$E$5:$E$1504,"&gt;="&amp;$E1098))</f>
        <v/>
      </c>
      <c r="I1098" s="33" t="str">
        <f aca="false">IF($G1098="","",_xlfn.MINIFS($E$5:$E$1504,$A$5:$A$1504,$A1098,$D$5:$D$1504,"تسليم",$E$5:$E$1504,"&gt;"&amp;$E1098))</f>
        <v/>
      </c>
      <c r="J1098" s="33" t="str">
        <f aca="false">IF($G1098="","",IF(H1098&gt;0,IF(I1098&gt;0,MIN(H1098,I1098),H1098),IF(I1098&gt;0,I1098,تاريخ_الاحتساب)))</f>
        <v/>
      </c>
      <c r="K1098" s="34" t="str">
        <f aca="false">IF($G1098="","",IF(AND(H1098=0,I1098=0),"جارية","مغلقة"))</f>
        <v/>
      </c>
      <c r="L1098" s="26" t="str">
        <f aca="false">IF($G1098="","",MAX(0,NETWORKDAYS.INTL($E1098,J1098,رمز_العطلة,أيام_الأجازات)-1))</f>
        <v/>
      </c>
      <c r="M1098" s="26" t="str">
        <f aca="false">IF($G1098="","",MAX(0,L1098-مهلة_المراجعة))</f>
        <v/>
      </c>
      <c r="N1098" s="30" t="str">
        <f aca="false">IF($A1098="",IF(OR($D1098&lt;&gt;"",$E1098&lt;&gt;""),"رقم المخرج ناقص",""),IF(ISNA(MATCH($A1098,قائمة_المخرجات,0)),"رقم مخرج غير موجود",IF($D1098="","نوع الحركة ناقص",IF(NOT(ISNUMBER($E1098)),"التاريخ ناقص",IF($E1098&gt;تاريخ_الاحتساب,"تاريخ بعد تاريخ الاحتساب",IF(AND($D1098&lt;&gt;"تسليم",COUNTIFS($A$5:$A$1504,$A1098,$D$5:$D$1504,"تسليم",$E$5:$E$1504,"&lt;="&amp;$E1098)=0),"لا يوجد تسليم قبل الحركة دي",""))))))</f>
        <v/>
      </c>
    </row>
    <row r="1099" customFormat="false" ht="15" hidden="false" customHeight="false" outlineLevel="0" collapsed="false">
      <c r="A1099" s="20"/>
      <c r="B1099" s="35" t="str">
        <f aca="false">IF($A1099="","",IFERROR(INDEX(مخرج_البند,MATCH($A1099,قائمة_المخرجات,0)),""))</f>
        <v/>
      </c>
      <c r="C1099" s="30" t="str">
        <f aca="false">IF($A1099="","",IFERROR(INDEX(مخرج_الوصف,MATCH($A1099,قائمة_المخرجات,0)),""))</f>
        <v/>
      </c>
      <c r="D1099" s="20"/>
      <c r="E1099" s="31"/>
      <c r="F1099" s="22"/>
      <c r="G1099" s="36" t="str">
        <f aca="false">IF(OR($A1099="",$D1099&lt;&gt;"تسليم",NOT(ISNUMBER($E1099))),"",COUNTIFS($A$5:$A$1504,$A1099,$D$5:$D$1504,"تسليم",$E$5:$E$1504,"&lt;"&amp;$E1099)+1)</f>
        <v/>
      </c>
      <c r="H1099" s="33" t="str">
        <f aca="false">IF($G1099="","",_xlfn.MINIFS($E$5:$E$1504,$A$5:$A$1504,$A1099,$D$5:$D$1504,"&lt;&gt;تسليم",$E$5:$E$1504,"&gt;="&amp;$E1099))</f>
        <v/>
      </c>
      <c r="I1099" s="33" t="str">
        <f aca="false">IF($G1099="","",_xlfn.MINIFS($E$5:$E$1504,$A$5:$A$1504,$A1099,$D$5:$D$1504,"تسليم",$E$5:$E$1504,"&gt;"&amp;$E1099))</f>
        <v/>
      </c>
      <c r="J1099" s="33" t="str">
        <f aca="false">IF($G1099="","",IF(H1099&gt;0,IF(I1099&gt;0,MIN(H1099,I1099),H1099),IF(I1099&gt;0,I1099,تاريخ_الاحتساب)))</f>
        <v/>
      </c>
      <c r="K1099" s="34" t="str">
        <f aca="false">IF($G1099="","",IF(AND(H1099=0,I1099=0),"جارية","مغلقة"))</f>
        <v/>
      </c>
      <c r="L1099" s="26" t="str">
        <f aca="false">IF($G1099="","",MAX(0,NETWORKDAYS.INTL($E1099,J1099,رمز_العطلة,أيام_الأجازات)-1))</f>
        <v/>
      </c>
      <c r="M1099" s="26" t="str">
        <f aca="false">IF($G1099="","",MAX(0,L1099-مهلة_المراجعة))</f>
        <v/>
      </c>
      <c r="N1099" s="30" t="str">
        <f aca="false">IF($A1099="",IF(OR($D1099&lt;&gt;"",$E1099&lt;&gt;""),"رقم المخرج ناقص",""),IF(ISNA(MATCH($A1099,قائمة_المخرجات,0)),"رقم مخرج غير موجود",IF($D1099="","نوع الحركة ناقص",IF(NOT(ISNUMBER($E1099)),"التاريخ ناقص",IF($E1099&gt;تاريخ_الاحتساب,"تاريخ بعد تاريخ الاحتساب",IF(AND($D1099&lt;&gt;"تسليم",COUNTIFS($A$5:$A$1504,$A1099,$D$5:$D$1504,"تسليم",$E$5:$E$1504,"&lt;="&amp;$E1099)=0),"لا يوجد تسليم قبل الحركة دي",""))))))</f>
        <v/>
      </c>
    </row>
    <row r="1100" customFormat="false" ht="15" hidden="false" customHeight="false" outlineLevel="0" collapsed="false">
      <c r="A1100" s="20"/>
      <c r="B1100" s="35" t="str">
        <f aca="false">IF($A1100="","",IFERROR(INDEX(مخرج_البند,MATCH($A1100,قائمة_المخرجات,0)),""))</f>
        <v/>
      </c>
      <c r="C1100" s="30" t="str">
        <f aca="false">IF($A1100="","",IFERROR(INDEX(مخرج_الوصف,MATCH($A1100,قائمة_المخرجات,0)),""))</f>
        <v/>
      </c>
      <c r="D1100" s="20"/>
      <c r="E1100" s="31"/>
      <c r="F1100" s="22"/>
      <c r="G1100" s="36" t="str">
        <f aca="false">IF(OR($A1100="",$D1100&lt;&gt;"تسليم",NOT(ISNUMBER($E1100))),"",COUNTIFS($A$5:$A$1504,$A1100,$D$5:$D$1504,"تسليم",$E$5:$E$1504,"&lt;"&amp;$E1100)+1)</f>
        <v/>
      </c>
      <c r="H1100" s="33" t="str">
        <f aca="false">IF($G1100="","",_xlfn.MINIFS($E$5:$E$1504,$A$5:$A$1504,$A1100,$D$5:$D$1504,"&lt;&gt;تسليم",$E$5:$E$1504,"&gt;="&amp;$E1100))</f>
        <v/>
      </c>
      <c r="I1100" s="33" t="str">
        <f aca="false">IF($G1100="","",_xlfn.MINIFS($E$5:$E$1504,$A$5:$A$1504,$A1100,$D$5:$D$1504,"تسليم",$E$5:$E$1504,"&gt;"&amp;$E1100))</f>
        <v/>
      </c>
      <c r="J1100" s="33" t="str">
        <f aca="false">IF($G1100="","",IF(H1100&gt;0,IF(I1100&gt;0,MIN(H1100,I1100),H1100),IF(I1100&gt;0,I1100,تاريخ_الاحتساب)))</f>
        <v/>
      </c>
      <c r="K1100" s="34" t="str">
        <f aca="false">IF($G1100="","",IF(AND(H1100=0,I1100=0),"جارية","مغلقة"))</f>
        <v/>
      </c>
      <c r="L1100" s="26" t="str">
        <f aca="false">IF($G1100="","",MAX(0,NETWORKDAYS.INTL($E1100,J1100,رمز_العطلة,أيام_الأجازات)-1))</f>
        <v/>
      </c>
      <c r="M1100" s="26" t="str">
        <f aca="false">IF($G1100="","",MAX(0,L1100-مهلة_المراجعة))</f>
        <v/>
      </c>
      <c r="N1100" s="30" t="str">
        <f aca="false">IF($A1100="",IF(OR($D1100&lt;&gt;"",$E1100&lt;&gt;""),"رقم المخرج ناقص",""),IF(ISNA(MATCH($A1100,قائمة_المخرجات,0)),"رقم مخرج غير موجود",IF($D1100="","نوع الحركة ناقص",IF(NOT(ISNUMBER($E1100)),"التاريخ ناقص",IF($E1100&gt;تاريخ_الاحتساب,"تاريخ بعد تاريخ الاحتساب",IF(AND($D1100&lt;&gt;"تسليم",COUNTIFS($A$5:$A$1504,$A1100,$D$5:$D$1504,"تسليم",$E$5:$E$1504,"&lt;="&amp;$E1100)=0),"لا يوجد تسليم قبل الحركة دي",""))))))</f>
        <v/>
      </c>
    </row>
    <row r="1101" customFormat="false" ht="15" hidden="false" customHeight="false" outlineLevel="0" collapsed="false">
      <c r="A1101" s="20"/>
      <c r="B1101" s="35" t="str">
        <f aca="false">IF($A1101="","",IFERROR(INDEX(مخرج_البند,MATCH($A1101,قائمة_المخرجات,0)),""))</f>
        <v/>
      </c>
      <c r="C1101" s="30" t="str">
        <f aca="false">IF($A1101="","",IFERROR(INDEX(مخرج_الوصف,MATCH($A1101,قائمة_المخرجات,0)),""))</f>
        <v/>
      </c>
      <c r="D1101" s="20"/>
      <c r="E1101" s="31"/>
      <c r="F1101" s="22"/>
      <c r="G1101" s="36" t="str">
        <f aca="false">IF(OR($A1101="",$D1101&lt;&gt;"تسليم",NOT(ISNUMBER($E1101))),"",COUNTIFS($A$5:$A$1504,$A1101,$D$5:$D$1504,"تسليم",$E$5:$E$1504,"&lt;"&amp;$E1101)+1)</f>
        <v/>
      </c>
      <c r="H1101" s="33" t="str">
        <f aca="false">IF($G1101="","",_xlfn.MINIFS($E$5:$E$1504,$A$5:$A$1504,$A1101,$D$5:$D$1504,"&lt;&gt;تسليم",$E$5:$E$1504,"&gt;="&amp;$E1101))</f>
        <v/>
      </c>
      <c r="I1101" s="33" t="str">
        <f aca="false">IF($G1101="","",_xlfn.MINIFS($E$5:$E$1504,$A$5:$A$1504,$A1101,$D$5:$D$1504,"تسليم",$E$5:$E$1504,"&gt;"&amp;$E1101))</f>
        <v/>
      </c>
      <c r="J1101" s="33" t="str">
        <f aca="false">IF($G1101="","",IF(H1101&gt;0,IF(I1101&gt;0,MIN(H1101,I1101),H1101),IF(I1101&gt;0,I1101,تاريخ_الاحتساب)))</f>
        <v/>
      </c>
      <c r="K1101" s="34" t="str">
        <f aca="false">IF($G1101="","",IF(AND(H1101=0,I1101=0),"جارية","مغلقة"))</f>
        <v/>
      </c>
      <c r="L1101" s="26" t="str">
        <f aca="false">IF($G1101="","",MAX(0,NETWORKDAYS.INTL($E1101,J1101,رمز_العطلة,أيام_الأجازات)-1))</f>
        <v/>
      </c>
      <c r="M1101" s="26" t="str">
        <f aca="false">IF($G1101="","",MAX(0,L1101-مهلة_المراجعة))</f>
        <v/>
      </c>
      <c r="N1101" s="30" t="str">
        <f aca="false">IF($A1101="",IF(OR($D1101&lt;&gt;"",$E1101&lt;&gt;""),"رقم المخرج ناقص",""),IF(ISNA(MATCH($A1101,قائمة_المخرجات,0)),"رقم مخرج غير موجود",IF($D1101="","نوع الحركة ناقص",IF(NOT(ISNUMBER($E1101)),"التاريخ ناقص",IF($E1101&gt;تاريخ_الاحتساب,"تاريخ بعد تاريخ الاحتساب",IF(AND($D1101&lt;&gt;"تسليم",COUNTIFS($A$5:$A$1504,$A1101,$D$5:$D$1504,"تسليم",$E$5:$E$1504,"&lt;="&amp;$E1101)=0),"لا يوجد تسليم قبل الحركة دي",""))))))</f>
        <v/>
      </c>
    </row>
    <row r="1102" customFormat="false" ht="15" hidden="false" customHeight="false" outlineLevel="0" collapsed="false">
      <c r="A1102" s="20"/>
      <c r="B1102" s="35" t="str">
        <f aca="false">IF($A1102="","",IFERROR(INDEX(مخرج_البند,MATCH($A1102,قائمة_المخرجات,0)),""))</f>
        <v/>
      </c>
      <c r="C1102" s="30" t="str">
        <f aca="false">IF($A1102="","",IFERROR(INDEX(مخرج_الوصف,MATCH($A1102,قائمة_المخرجات,0)),""))</f>
        <v/>
      </c>
      <c r="D1102" s="20"/>
      <c r="E1102" s="31"/>
      <c r="F1102" s="22"/>
      <c r="G1102" s="36" t="str">
        <f aca="false">IF(OR($A1102="",$D1102&lt;&gt;"تسليم",NOT(ISNUMBER($E1102))),"",COUNTIFS($A$5:$A$1504,$A1102,$D$5:$D$1504,"تسليم",$E$5:$E$1504,"&lt;"&amp;$E1102)+1)</f>
        <v/>
      </c>
      <c r="H1102" s="33" t="str">
        <f aca="false">IF($G1102="","",_xlfn.MINIFS($E$5:$E$1504,$A$5:$A$1504,$A1102,$D$5:$D$1504,"&lt;&gt;تسليم",$E$5:$E$1504,"&gt;="&amp;$E1102))</f>
        <v/>
      </c>
      <c r="I1102" s="33" t="str">
        <f aca="false">IF($G1102="","",_xlfn.MINIFS($E$5:$E$1504,$A$5:$A$1504,$A1102,$D$5:$D$1504,"تسليم",$E$5:$E$1504,"&gt;"&amp;$E1102))</f>
        <v/>
      </c>
      <c r="J1102" s="33" t="str">
        <f aca="false">IF($G1102="","",IF(H1102&gt;0,IF(I1102&gt;0,MIN(H1102,I1102),H1102),IF(I1102&gt;0,I1102,تاريخ_الاحتساب)))</f>
        <v/>
      </c>
      <c r="K1102" s="34" t="str">
        <f aca="false">IF($G1102="","",IF(AND(H1102=0,I1102=0),"جارية","مغلقة"))</f>
        <v/>
      </c>
      <c r="L1102" s="26" t="str">
        <f aca="false">IF($G1102="","",MAX(0,NETWORKDAYS.INTL($E1102,J1102,رمز_العطلة,أيام_الأجازات)-1))</f>
        <v/>
      </c>
      <c r="M1102" s="26" t="str">
        <f aca="false">IF($G1102="","",MAX(0,L1102-مهلة_المراجعة))</f>
        <v/>
      </c>
      <c r="N1102" s="30" t="str">
        <f aca="false">IF($A1102="",IF(OR($D1102&lt;&gt;"",$E1102&lt;&gt;""),"رقم المخرج ناقص",""),IF(ISNA(MATCH($A1102,قائمة_المخرجات,0)),"رقم مخرج غير موجود",IF($D1102="","نوع الحركة ناقص",IF(NOT(ISNUMBER($E1102)),"التاريخ ناقص",IF($E1102&gt;تاريخ_الاحتساب,"تاريخ بعد تاريخ الاحتساب",IF(AND($D1102&lt;&gt;"تسليم",COUNTIFS($A$5:$A$1504,$A1102,$D$5:$D$1504,"تسليم",$E$5:$E$1504,"&lt;="&amp;$E1102)=0),"لا يوجد تسليم قبل الحركة دي",""))))))</f>
        <v/>
      </c>
    </row>
    <row r="1103" customFormat="false" ht="15" hidden="false" customHeight="false" outlineLevel="0" collapsed="false">
      <c r="A1103" s="20"/>
      <c r="B1103" s="35" t="str">
        <f aca="false">IF($A1103="","",IFERROR(INDEX(مخرج_البند,MATCH($A1103,قائمة_المخرجات,0)),""))</f>
        <v/>
      </c>
      <c r="C1103" s="30" t="str">
        <f aca="false">IF($A1103="","",IFERROR(INDEX(مخرج_الوصف,MATCH($A1103,قائمة_المخرجات,0)),""))</f>
        <v/>
      </c>
      <c r="D1103" s="20"/>
      <c r="E1103" s="31"/>
      <c r="F1103" s="22"/>
      <c r="G1103" s="36" t="str">
        <f aca="false">IF(OR($A1103="",$D1103&lt;&gt;"تسليم",NOT(ISNUMBER($E1103))),"",COUNTIFS($A$5:$A$1504,$A1103,$D$5:$D$1504,"تسليم",$E$5:$E$1504,"&lt;"&amp;$E1103)+1)</f>
        <v/>
      </c>
      <c r="H1103" s="33" t="str">
        <f aca="false">IF($G1103="","",_xlfn.MINIFS($E$5:$E$1504,$A$5:$A$1504,$A1103,$D$5:$D$1504,"&lt;&gt;تسليم",$E$5:$E$1504,"&gt;="&amp;$E1103))</f>
        <v/>
      </c>
      <c r="I1103" s="33" t="str">
        <f aca="false">IF($G1103="","",_xlfn.MINIFS($E$5:$E$1504,$A$5:$A$1504,$A1103,$D$5:$D$1504,"تسليم",$E$5:$E$1504,"&gt;"&amp;$E1103))</f>
        <v/>
      </c>
      <c r="J1103" s="33" t="str">
        <f aca="false">IF($G1103="","",IF(H1103&gt;0,IF(I1103&gt;0,MIN(H1103,I1103),H1103),IF(I1103&gt;0,I1103,تاريخ_الاحتساب)))</f>
        <v/>
      </c>
      <c r="K1103" s="34" t="str">
        <f aca="false">IF($G1103="","",IF(AND(H1103=0,I1103=0),"جارية","مغلقة"))</f>
        <v/>
      </c>
      <c r="L1103" s="26" t="str">
        <f aca="false">IF($G1103="","",MAX(0,NETWORKDAYS.INTL($E1103,J1103,رمز_العطلة,أيام_الأجازات)-1))</f>
        <v/>
      </c>
      <c r="M1103" s="26" t="str">
        <f aca="false">IF($G1103="","",MAX(0,L1103-مهلة_المراجعة))</f>
        <v/>
      </c>
      <c r="N1103" s="30" t="str">
        <f aca="false">IF($A1103="",IF(OR($D1103&lt;&gt;"",$E1103&lt;&gt;""),"رقم المخرج ناقص",""),IF(ISNA(MATCH($A1103,قائمة_المخرجات,0)),"رقم مخرج غير موجود",IF($D1103="","نوع الحركة ناقص",IF(NOT(ISNUMBER($E1103)),"التاريخ ناقص",IF($E1103&gt;تاريخ_الاحتساب,"تاريخ بعد تاريخ الاحتساب",IF(AND($D1103&lt;&gt;"تسليم",COUNTIFS($A$5:$A$1504,$A1103,$D$5:$D$1504,"تسليم",$E$5:$E$1504,"&lt;="&amp;$E1103)=0),"لا يوجد تسليم قبل الحركة دي",""))))))</f>
        <v/>
      </c>
    </row>
    <row r="1104" customFormat="false" ht="15" hidden="false" customHeight="false" outlineLevel="0" collapsed="false">
      <c r="A1104" s="20"/>
      <c r="B1104" s="35" t="str">
        <f aca="false">IF($A1104="","",IFERROR(INDEX(مخرج_البند,MATCH($A1104,قائمة_المخرجات,0)),""))</f>
        <v/>
      </c>
      <c r="C1104" s="30" t="str">
        <f aca="false">IF($A1104="","",IFERROR(INDEX(مخرج_الوصف,MATCH($A1104,قائمة_المخرجات,0)),""))</f>
        <v/>
      </c>
      <c r="D1104" s="20"/>
      <c r="E1104" s="31"/>
      <c r="F1104" s="22"/>
      <c r="G1104" s="36" t="str">
        <f aca="false">IF(OR($A1104="",$D1104&lt;&gt;"تسليم",NOT(ISNUMBER($E1104))),"",COUNTIFS($A$5:$A$1504,$A1104,$D$5:$D$1504,"تسليم",$E$5:$E$1504,"&lt;"&amp;$E1104)+1)</f>
        <v/>
      </c>
      <c r="H1104" s="33" t="str">
        <f aca="false">IF($G1104="","",_xlfn.MINIFS($E$5:$E$1504,$A$5:$A$1504,$A1104,$D$5:$D$1504,"&lt;&gt;تسليم",$E$5:$E$1504,"&gt;="&amp;$E1104))</f>
        <v/>
      </c>
      <c r="I1104" s="33" t="str">
        <f aca="false">IF($G1104="","",_xlfn.MINIFS($E$5:$E$1504,$A$5:$A$1504,$A1104,$D$5:$D$1504,"تسليم",$E$5:$E$1504,"&gt;"&amp;$E1104))</f>
        <v/>
      </c>
      <c r="J1104" s="33" t="str">
        <f aca="false">IF($G1104="","",IF(H1104&gt;0,IF(I1104&gt;0,MIN(H1104,I1104),H1104),IF(I1104&gt;0,I1104,تاريخ_الاحتساب)))</f>
        <v/>
      </c>
      <c r="K1104" s="34" t="str">
        <f aca="false">IF($G1104="","",IF(AND(H1104=0,I1104=0),"جارية","مغلقة"))</f>
        <v/>
      </c>
      <c r="L1104" s="26" t="str">
        <f aca="false">IF($G1104="","",MAX(0,NETWORKDAYS.INTL($E1104,J1104,رمز_العطلة,أيام_الأجازات)-1))</f>
        <v/>
      </c>
      <c r="M1104" s="26" t="str">
        <f aca="false">IF($G1104="","",MAX(0,L1104-مهلة_المراجعة))</f>
        <v/>
      </c>
      <c r="N1104" s="30" t="str">
        <f aca="false">IF($A1104="",IF(OR($D1104&lt;&gt;"",$E1104&lt;&gt;""),"رقم المخرج ناقص",""),IF(ISNA(MATCH($A1104,قائمة_المخرجات,0)),"رقم مخرج غير موجود",IF($D1104="","نوع الحركة ناقص",IF(NOT(ISNUMBER($E1104)),"التاريخ ناقص",IF($E1104&gt;تاريخ_الاحتساب,"تاريخ بعد تاريخ الاحتساب",IF(AND($D1104&lt;&gt;"تسليم",COUNTIFS($A$5:$A$1504,$A1104,$D$5:$D$1504,"تسليم",$E$5:$E$1504,"&lt;="&amp;$E1104)=0),"لا يوجد تسليم قبل الحركة دي",""))))))</f>
        <v/>
      </c>
    </row>
    <row r="1105" customFormat="false" ht="15" hidden="false" customHeight="false" outlineLevel="0" collapsed="false">
      <c r="A1105" s="20"/>
      <c r="B1105" s="35" t="str">
        <f aca="false">IF($A1105="","",IFERROR(INDEX(مخرج_البند,MATCH($A1105,قائمة_المخرجات,0)),""))</f>
        <v/>
      </c>
      <c r="C1105" s="30" t="str">
        <f aca="false">IF($A1105="","",IFERROR(INDEX(مخرج_الوصف,MATCH($A1105,قائمة_المخرجات,0)),""))</f>
        <v/>
      </c>
      <c r="D1105" s="20"/>
      <c r="E1105" s="31"/>
      <c r="F1105" s="22"/>
      <c r="G1105" s="36" t="str">
        <f aca="false">IF(OR($A1105="",$D1105&lt;&gt;"تسليم",NOT(ISNUMBER($E1105))),"",COUNTIFS($A$5:$A$1504,$A1105,$D$5:$D$1504,"تسليم",$E$5:$E$1504,"&lt;"&amp;$E1105)+1)</f>
        <v/>
      </c>
      <c r="H1105" s="33" t="str">
        <f aca="false">IF($G1105="","",_xlfn.MINIFS($E$5:$E$1504,$A$5:$A$1504,$A1105,$D$5:$D$1504,"&lt;&gt;تسليم",$E$5:$E$1504,"&gt;="&amp;$E1105))</f>
        <v/>
      </c>
      <c r="I1105" s="33" t="str">
        <f aca="false">IF($G1105="","",_xlfn.MINIFS($E$5:$E$1504,$A$5:$A$1504,$A1105,$D$5:$D$1504,"تسليم",$E$5:$E$1504,"&gt;"&amp;$E1105))</f>
        <v/>
      </c>
      <c r="J1105" s="33" t="str">
        <f aca="false">IF($G1105="","",IF(H1105&gt;0,IF(I1105&gt;0,MIN(H1105,I1105),H1105),IF(I1105&gt;0,I1105,تاريخ_الاحتساب)))</f>
        <v/>
      </c>
      <c r="K1105" s="34" t="str">
        <f aca="false">IF($G1105="","",IF(AND(H1105=0,I1105=0),"جارية","مغلقة"))</f>
        <v/>
      </c>
      <c r="L1105" s="26" t="str">
        <f aca="false">IF($G1105="","",MAX(0,NETWORKDAYS.INTL($E1105,J1105,رمز_العطلة,أيام_الأجازات)-1))</f>
        <v/>
      </c>
      <c r="M1105" s="26" t="str">
        <f aca="false">IF($G1105="","",MAX(0,L1105-مهلة_المراجعة))</f>
        <v/>
      </c>
      <c r="N1105" s="30" t="str">
        <f aca="false">IF($A1105="",IF(OR($D1105&lt;&gt;"",$E1105&lt;&gt;""),"رقم المخرج ناقص",""),IF(ISNA(MATCH($A1105,قائمة_المخرجات,0)),"رقم مخرج غير موجود",IF($D1105="","نوع الحركة ناقص",IF(NOT(ISNUMBER($E1105)),"التاريخ ناقص",IF($E1105&gt;تاريخ_الاحتساب,"تاريخ بعد تاريخ الاحتساب",IF(AND($D1105&lt;&gt;"تسليم",COUNTIFS($A$5:$A$1504,$A1105,$D$5:$D$1504,"تسليم",$E$5:$E$1504,"&lt;="&amp;$E1105)=0),"لا يوجد تسليم قبل الحركة دي",""))))))</f>
        <v/>
      </c>
    </row>
    <row r="1106" customFormat="false" ht="15" hidden="false" customHeight="false" outlineLevel="0" collapsed="false">
      <c r="A1106" s="20"/>
      <c r="B1106" s="35" t="str">
        <f aca="false">IF($A1106="","",IFERROR(INDEX(مخرج_البند,MATCH($A1106,قائمة_المخرجات,0)),""))</f>
        <v/>
      </c>
      <c r="C1106" s="30" t="str">
        <f aca="false">IF($A1106="","",IFERROR(INDEX(مخرج_الوصف,MATCH($A1106,قائمة_المخرجات,0)),""))</f>
        <v/>
      </c>
      <c r="D1106" s="20"/>
      <c r="E1106" s="31"/>
      <c r="F1106" s="22"/>
      <c r="G1106" s="36" t="str">
        <f aca="false">IF(OR($A1106="",$D1106&lt;&gt;"تسليم",NOT(ISNUMBER($E1106))),"",COUNTIFS($A$5:$A$1504,$A1106,$D$5:$D$1504,"تسليم",$E$5:$E$1504,"&lt;"&amp;$E1106)+1)</f>
        <v/>
      </c>
      <c r="H1106" s="33" t="str">
        <f aca="false">IF($G1106="","",_xlfn.MINIFS($E$5:$E$1504,$A$5:$A$1504,$A1106,$D$5:$D$1504,"&lt;&gt;تسليم",$E$5:$E$1504,"&gt;="&amp;$E1106))</f>
        <v/>
      </c>
      <c r="I1106" s="33" t="str">
        <f aca="false">IF($G1106="","",_xlfn.MINIFS($E$5:$E$1504,$A$5:$A$1504,$A1106,$D$5:$D$1504,"تسليم",$E$5:$E$1504,"&gt;"&amp;$E1106))</f>
        <v/>
      </c>
      <c r="J1106" s="33" t="str">
        <f aca="false">IF($G1106="","",IF(H1106&gt;0,IF(I1106&gt;0,MIN(H1106,I1106),H1106),IF(I1106&gt;0,I1106,تاريخ_الاحتساب)))</f>
        <v/>
      </c>
      <c r="K1106" s="34" t="str">
        <f aca="false">IF($G1106="","",IF(AND(H1106=0,I1106=0),"جارية","مغلقة"))</f>
        <v/>
      </c>
      <c r="L1106" s="26" t="str">
        <f aca="false">IF($G1106="","",MAX(0,NETWORKDAYS.INTL($E1106,J1106,رمز_العطلة,أيام_الأجازات)-1))</f>
        <v/>
      </c>
      <c r="M1106" s="26" t="str">
        <f aca="false">IF($G1106="","",MAX(0,L1106-مهلة_المراجعة))</f>
        <v/>
      </c>
      <c r="N1106" s="30" t="str">
        <f aca="false">IF($A1106="",IF(OR($D1106&lt;&gt;"",$E1106&lt;&gt;""),"رقم المخرج ناقص",""),IF(ISNA(MATCH($A1106,قائمة_المخرجات,0)),"رقم مخرج غير موجود",IF($D1106="","نوع الحركة ناقص",IF(NOT(ISNUMBER($E1106)),"التاريخ ناقص",IF($E1106&gt;تاريخ_الاحتساب,"تاريخ بعد تاريخ الاحتساب",IF(AND($D1106&lt;&gt;"تسليم",COUNTIFS($A$5:$A$1504,$A1106,$D$5:$D$1504,"تسليم",$E$5:$E$1504,"&lt;="&amp;$E1106)=0),"لا يوجد تسليم قبل الحركة دي",""))))))</f>
        <v/>
      </c>
    </row>
    <row r="1107" customFormat="false" ht="15" hidden="false" customHeight="false" outlineLevel="0" collapsed="false">
      <c r="A1107" s="20"/>
      <c r="B1107" s="35" t="str">
        <f aca="false">IF($A1107="","",IFERROR(INDEX(مخرج_البند,MATCH($A1107,قائمة_المخرجات,0)),""))</f>
        <v/>
      </c>
      <c r="C1107" s="30" t="str">
        <f aca="false">IF($A1107="","",IFERROR(INDEX(مخرج_الوصف,MATCH($A1107,قائمة_المخرجات,0)),""))</f>
        <v/>
      </c>
      <c r="D1107" s="20"/>
      <c r="E1107" s="31"/>
      <c r="F1107" s="22"/>
      <c r="G1107" s="36" t="str">
        <f aca="false">IF(OR($A1107="",$D1107&lt;&gt;"تسليم",NOT(ISNUMBER($E1107))),"",COUNTIFS($A$5:$A$1504,$A1107,$D$5:$D$1504,"تسليم",$E$5:$E$1504,"&lt;"&amp;$E1107)+1)</f>
        <v/>
      </c>
      <c r="H1107" s="33" t="str">
        <f aca="false">IF($G1107="","",_xlfn.MINIFS($E$5:$E$1504,$A$5:$A$1504,$A1107,$D$5:$D$1504,"&lt;&gt;تسليم",$E$5:$E$1504,"&gt;="&amp;$E1107))</f>
        <v/>
      </c>
      <c r="I1107" s="33" t="str">
        <f aca="false">IF($G1107="","",_xlfn.MINIFS($E$5:$E$1504,$A$5:$A$1504,$A1107,$D$5:$D$1504,"تسليم",$E$5:$E$1504,"&gt;"&amp;$E1107))</f>
        <v/>
      </c>
      <c r="J1107" s="33" t="str">
        <f aca="false">IF($G1107="","",IF(H1107&gt;0,IF(I1107&gt;0,MIN(H1107,I1107),H1107),IF(I1107&gt;0,I1107,تاريخ_الاحتساب)))</f>
        <v/>
      </c>
      <c r="K1107" s="34" t="str">
        <f aca="false">IF($G1107="","",IF(AND(H1107=0,I1107=0),"جارية","مغلقة"))</f>
        <v/>
      </c>
      <c r="L1107" s="26" t="str">
        <f aca="false">IF($G1107="","",MAX(0,NETWORKDAYS.INTL($E1107,J1107,رمز_العطلة,أيام_الأجازات)-1))</f>
        <v/>
      </c>
      <c r="M1107" s="26" t="str">
        <f aca="false">IF($G1107="","",MAX(0,L1107-مهلة_المراجعة))</f>
        <v/>
      </c>
      <c r="N1107" s="30" t="str">
        <f aca="false">IF($A1107="",IF(OR($D1107&lt;&gt;"",$E1107&lt;&gt;""),"رقم المخرج ناقص",""),IF(ISNA(MATCH($A1107,قائمة_المخرجات,0)),"رقم مخرج غير موجود",IF($D1107="","نوع الحركة ناقص",IF(NOT(ISNUMBER($E1107)),"التاريخ ناقص",IF($E1107&gt;تاريخ_الاحتساب,"تاريخ بعد تاريخ الاحتساب",IF(AND($D1107&lt;&gt;"تسليم",COUNTIFS($A$5:$A$1504,$A1107,$D$5:$D$1504,"تسليم",$E$5:$E$1504,"&lt;="&amp;$E1107)=0),"لا يوجد تسليم قبل الحركة دي",""))))))</f>
        <v/>
      </c>
    </row>
    <row r="1108" customFormat="false" ht="15" hidden="false" customHeight="false" outlineLevel="0" collapsed="false">
      <c r="A1108" s="20"/>
      <c r="B1108" s="35" t="str">
        <f aca="false">IF($A1108="","",IFERROR(INDEX(مخرج_البند,MATCH($A1108,قائمة_المخرجات,0)),""))</f>
        <v/>
      </c>
      <c r="C1108" s="30" t="str">
        <f aca="false">IF($A1108="","",IFERROR(INDEX(مخرج_الوصف,MATCH($A1108,قائمة_المخرجات,0)),""))</f>
        <v/>
      </c>
      <c r="D1108" s="20"/>
      <c r="E1108" s="31"/>
      <c r="F1108" s="22"/>
      <c r="G1108" s="36" t="str">
        <f aca="false">IF(OR($A1108="",$D1108&lt;&gt;"تسليم",NOT(ISNUMBER($E1108))),"",COUNTIFS($A$5:$A$1504,$A1108,$D$5:$D$1504,"تسليم",$E$5:$E$1504,"&lt;"&amp;$E1108)+1)</f>
        <v/>
      </c>
      <c r="H1108" s="33" t="str">
        <f aca="false">IF($G1108="","",_xlfn.MINIFS($E$5:$E$1504,$A$5:$A$1504,$A1108,$D$5:$D$1504,"&lt;&gt;تسليم",$E$5:$E$1504,"&gt;="&amp;$E1108))</f>
        <v/>
      </c>
      <c r="I1108" s="33" t="str">
        <f aca="false">IF($G1108="","",_xlfn.MINIFS($E$5:$E$1504,$A$5:$A$1504,$A1108,$D$5:$D$1504,"تسليم",$E$5:$E$1504,"&gt;"&amp;$E1108))</f>
        <v/>
      </c>
      <c r="J1108" s="33" t="str">
        <f aca="false">IF($G1108="","",IF(H1108&gt;0,IF(I1108&gt;0,MIN(H1108,I1108),H1108),IF(I1108&gt;0,I1108,تاريخ_الاحتساب)))</f>
        <v/>
      </c>
      <c r="K1108" s="34" t="str">
        <f aca="false">IF($G1108="","",IF(AND(H1108=0,I1108=0),"جارية","مغلقة"))</f>
        <v/>
      </c>
      <c r="L1108" s="26" t="str">
        <f aca="false">IF($G1108="","",MAX(0,NETWORKDAYS.INTL($E1108,J1108,رمز_العطلة,أيام_الأجازات)-1))</f>
        <v/>
      </c>
      <c r="M1108" s="26" t="str">
        <f aca="false">IF($G1108="","",MAX(0,L1108-مهلة_المراجعة))</f>
        <v/>
      </c>
      <c r="N1108" s="30" t="str">
        <f aca="false">IF($A1108="",IF(OR($D1108&lt;&gt;"",$E1108&lt;&gt;""),"رقم المخرج ناقص",""),IF(ISNA(MATCH($A1108,قائمة_المخرجات,0)),"رقم مخرج غير موجود",IF($D1108="","نوع الحركة ناقص",IF(NOT(ISNUMBER($E1108)),"التاريخ ناقص",IF($E1108&gt;تاريخ_الاحتساب,"تاريخ بعد تاريخ الاحتساب",IF(AND($D1108&lt;&gt;"تسليم",COUNTIFS($A$5:$A$1504,$A1108,$D$5:$D$1504,"تسليم",$E$5:$E$1504,"&lt;="&amp;$E1108)=0),"لا يوجد تسليم قبل الحركة دي",""))))))</f>
        <v/>
      </c>
    </row>
    <row r="1109" customFormat="false" ht="15" hidden="false" customHeight="false" outlineLevel="0" collapsed="false">
      <c r="A1109" s="20"/>
      <c r="B1109" s="35" t="str">
        <f aca="false">IF($A1109="","",IFERROR(INDEX(مخرج_البند,MATCH($A1109,قائمة_المخرجات,0)),""))</f>
        <v/>
      </c>
      <c r="C1109" s="30" t="str">
        <f aca="false">IF($A1109="","",IFERROR(INDEX(مخرج_الوصف,MATCH($A1109,قائمة_المخرجات,0)),""))</f>
        <v/>
      </c>
      <c r="D1109" s="20"/>
      <c r="E1109" s="31"/>
      <c r="F1109" s="22"/>
      <c r="G1109" s="36" t="str">
        <f aca="false">IF(OR($A1109="",$D1109&lt;&gt;"تسليم",NOT(ISNUMBER($E1109))),"",COUNTIFS($A$5:$A$1504,$A1109,$D$5:$D$1504,"تسليم",$E$5:$E$1504,"&lt;"&amp;$E1109)+1)</f>
        <v/>
      </c>
      <c r="H1109" s="33" t="str">
        <f aca="false">IF($G1109="","",_xlfn.MINIFS($E$5:$E$1504,$A$5:$A$1504,$A1109,$D$5:$D$1504,"&lt;&gt;تسليم",$E$5:$E$1504,"&gt;="&amp;$E1109))</f>
        <v/>
      </c>
      <c r="I1109" s="33" t="str">
        <f aca="false">IF($G1109="","",_xlfn.MINIFS($E$5:$E$1504,$A$5:$A$1504,$A1109,$D$5:$D$1504,"تسليم",$E$5:$E$1504,"&gt;"&amp;$E1109))</f>
        <v/>
      </c>
      <c r="J1109" s="33" t="str">
        <f aca="false">IF($G1109="","",IF(H1109&gt;0,IF(I1109&gt;0,MIN(H1109,I1109),H1109),IF(I1109&gt;0,I1109,تاريخ_الاحتساب)))</f>
        <v/>
      </c>
      <c r="K1109" s="34" t="str">
        <f aca="false">IF($G1109="","",IF(AND(H1109=0,I1109=0),"جارية","مغلقة"))</f>
        <v/>
      </c>
      <c r="L1109" s="26" t="str">
        <f aca="false">IF($G1109="","",MAX(0,NETWORKDAYS.INTL($E1109,J1109,رمز_العطلة,أيام_الأجازات)-1))</f>
        <v/>
      </c>
      <c r="M1109" s="26" t="str">
        <f aca="false">IF($G1109="","",MAX(0,L1109-مهلة_المراجعة))</f>
        <v/>
      </c>
      <c r="N1109" s="30" t="str">
        <f aca="false">IF($A1109="",IF(OR($D1109&lt;&gt;"",$E1109&lt;&gt;""),"رقم المخرج ناقص",""),IF(ISNA(MATCH($A1109,قائمة_المخرجات,0)),"رقم مخرج غير موجود",IF($D1109="","نوع الحركة ناقص",IF(NOT(ISNUMBER($E1109)),"التاريخ ناقص",IF($E1109&gt;تاريخ_الاحتساب,"تاريخ بعد تاريخ الاحتساب",IF(AND($D1109&lt;&gt;"تسليم",COUNTIFS($A$5:$A$1504,$A1109,$D$5:$D$1504,"تسليم",$E$5:$E$1504,"&lt;="&amp;$E1109)=0),"لا يوجد تسليم قبل الحركة دي",""))))))</f>
        <v/>
      </c>
    </row>
    <row r="1110" customFormat="false" ht="15" hidden="false" customHeight="false" outlineLevel="0" collapsed="false">
      <c r="A1110" s="20"/>
      <c r="B1110" s="35" t="str">
        <f aca="false">IF($A1110="","",IFERROR(INDEX(مخرج_البند,MATCH($A1110,قائمة_المخرجات,0)),""))</f>
        <v/>
      </c>
      <c r="C1110" s="30" t="str">
        <f aca="false">IF($A1110="","",IFERROR(INDEX(مخرج_الوصف,MATCH($A1110,قائمة_المخرجات,0)),""))</f>
        <v/>
      </c>
      <c r="D1110" s="20"/>
      <c r="E1110" s="31"/>
      <c r="F1110" s="22"/>
      <c r="G1110" s="36" t="str">
        <f aca="false">IF(OR($A1110="",$D1110&lt;&gt;"تسليم",NOT(ISNUMBER($E1110))),"",COUNTIFS($A$5:$A$1504,$A1110,$D$5:$D$1504,"تسليم",$E$5:$E$1504,"&lt;"&amp;$E1110)+1)</f>
        <v/>
      </c>
      <c r="H1110" s="33" t="str">
        <f aca="false">IF($G1110="","",_xlfn.MINIFS($E$5:$E$1504,$A$5:$A$1504,$A1110,$D$5:$D$1504,"&lt;&gt;تسليم",$E$5:$E$1504,"&gt;="&amp;$E1110))</f>
        <v/>
      </c>
      <c r="I1110" s="33" t="str">
        <f aca="false">IF($G1110="","",_xlfn.MINIFS($E$5:$E$1504,$A$5:$A$1504,$A1110,$D$5:$D$1504,"تسليم",$E$5:$E$1504,"&gt;"&amp;$E1110))</f>
        <v/>
      </c>
      <c r="J1110" s="33" t="str">
        <f aca="false">IF($G1110="","",IF(H1110&gt;0,IF(I1110&gt;0,MIN(H1110,I1110),H1110),IF(I1110&gt;0,I1110,تاريخ_الاحتساب)))</f>
        <v/>
      </c>
      <c r="K1110" s="34" t="str">
        <f aca="false">IF($G1110="","",IF(AND(H1110=0,I1110=0),"جارية","مغلقة"))</f>
        <v/>
      </c>
      <c r="L1110" s="26" t="str">
        <f aca="false">IF($G1110="","",MAX(0,NETWORKDAYS.INTL($E1110,J1110,رمز_العطلة,أيام_الأجازات)-1))</f>
        <v/>
      </c>
      <c r="M1110" s="26" t="str">
        <f aca="false">IF($G1110="","",MAX(0,L1110-مهلة_المراجعة))</f>
        <v/>
      </c>
      <c r="N1110" s="30" t="str">
        <f aca="false">IF($A1110="",IF(OR($D1110&lt;&gt;"",$E1110&lt;&gt;""),"رقم المخرج ناقص",""),IF(ISNA(MATCH($A1110,قائمة_المخرجات,0)),"رقم مخرج غير موجود",IF($D1110="","نوع الحركة ناقص",IF(NOT(ISNUMBER($E1110)),"التاريخ ناقص",IF($E1110&gt;تاريخ_الاحتساب,"تاريخ بعد تاريخ الاحتساب",IF(AND($D1110&lt;&gt;"تسليم",COUNTIFS($A$5:$A$1504,$A1110,$D$5:$D$1504,"تسليم",$E$5:$E$1504,"&lt;="&amp;$E1110)=0),"لا يوجد تسليم قبل الحركة دي",""))))))</f>
        <v/>
      </c>
    </row>
    <row r="1111" customFormat="false" ht="15" hidden="false" customHeight="false" outlineLevel="0" collapsed="false">
      <c r="A1111" s="20"/>
      <c r="B1111" s="35" t="str">
        <f aca="false">IF($A1111="","",IFERROR(INDEX(مخرج_البند,MATCH($A1111,قائمة_المخرجات,0)),""))</f>
        <v/>
      </c>
      <c r="C1111" s="30" t="str">
        <f aca="false">IF($A1111="","",IFERROR(INDEX(مخرج_الوصف,MATCH($A1111,قائمة_المخرجات,0)),""))</f>
        <v/>
      </c>
      <c r="D1111" s="20"/>
      <c r="E1111" s="31"/>
      <c r="F1111" s="22"/>
      <c r="G1111" s="36" t="str">
        <f aca="false">IF(OR($A1111="",$D1111&lt;&gt;"تسليم",NOT(ISNUMBER($E1111))),"",COUNTIFS($A$5:$A$1504,$A1111,$D$5:$D$1504,"تسليم",$E$5:$E$1504,"&lt;"&amp;$E1111)+1)</f>
        <v/>
      </c>
      <c r="H1111" s="33" t="str">
        <f aca="false">IF($G1111="","",_xlfn.MINIFS($E$5:$E$1504,$A$5:$A$1504,$A1111,$D$5:$D$1504,"&lt;&gt;تسليم",$E$5:$E$1504,"&gt;="&amp;$E1111))</f>
        <v/>
      </c>
      <c r="I1111" s="33" t="str">
        <f aca="false">IF($G1111="","",_xlfn.MINIFS($E$5:$E$1504,$A$5:$A$1504,$A1111,$D$5:$D$1504,"تسليم",$E$5:$E$1504,"&gt;"&amp;$E1111))</f>
        <v/>
      </c>
      <c r="J1111" s="33" t="str">
        <f aca="false">IF($G1111="","",IF(H1111&gt;0,IF(I1111&gt;0,MIN(H1111,I1111),H1111),IF(I1111&gt;0,I1111,تاريخ_الاحتساب)))</f>
        <v/>
      </c>
      <c r="K1111" s="34" t="str">
        <f aca="false">IF($G1111="","",IF(AND(H1111=0,I1111=0),"جارية","مغلقة"))</f>
        <v/>
      </c>
      <c r="L1111" s="26" t="str">
        <f aca="false">IF($G1111="","",MAX(0,NETWORKDAYS.INTL($E1111,J1111,رمز_العطلة,أيام_الأجازات)-1))</f>
        <v/>
      </c>
      <c r="M1111" s="26" t="str">
        <f aca="false">IF($G1111="","",MAX(0,L1111-مهلة_المراجعة))</f>
        <v/>
      </c>
      <c r="N1111" s="30" t="str">
        <f aca="false">IF($A1111="",IF(OR($D1111&lt;&gt;"",$E1111&lt;&gt;""),"رقم المخرج ناقص",""),IF(ISNA(MATCH($A1111,قائمة_المخرجات,0)),"رقم مخرج غير موجود",IF($D1111="","نوع الحركة ناقص",IF(NOT(ISNUMBER($E1111)),"التاريخ ناقص",IF($E1111&gt;تاريخ_الاحتساب,"تاريخ بعد تاريخ الاحتساب",IF(AND($D1111&lt;&gt;"تسليم",COUNTIFS($A$5:$A$1504,$A1111,$D$5:$D$1504,"تسليم",$E$5:$E$1504,"&lt;="&amp;$E1111)=0),"لا يوجد تسليم قبل الحركة دي",""))))))</f>
        <v/>
      </c>
    </row>
    <row r="1112" customFormat="false" ht="15" hidden="false" customHeight="false" outlineLevel="0" collapsed="false">
      <c r="A1112" s="20"/>
      <c r="B1112" s="35" t="str">
        <f aca="false">IF($A1112="","",IFERROR(INDEX(مخرج_البند,MATCH($A1112,قائمة_المخرجات,0)),""))</f>
        <v/>
      </c>
      <c r="C1112" s="30" t="str">
        <f aca="false">IF($A1112="","",IFERROR(INDEX(مخرج_الوصف,MATCH($A1112,قائمة_المخرجات,0)),""))</f>
        <v/>
      </c>
      <c r="D1112" s="20"/>
      <c r="E1112" s="31"/>
      <c r="F1112" s="22"/>
      <c r="G1112" s="36" t="str">
        <f aca="false">IF(OR($A1112="",$D1112&lt;&gt;"تسليم",NOT(ISNUMBER($E1112))),"",COUNTIFS($A$5:$A$1504,$A1112,$D$5:$D$1504,"تسليم",$E$5:$E$1504,"&lt;"&amp;$E1112)+1)</f>
        <v/>
      </c>
      <c r="H1112" s="33" t="str">
        <f aca="false">IF($G1112="","",_xlfn.MINIFS($E$5:$E$1504,$A$5:$A$1504,$A1112,$D$5:$D$1504,"&lt;&gt;تسليم",$E$5:$E$1504,"&gt;="&amp;$E1112))</f>
        <v/>
      </c>
      <c r="I1112" s="33" t="str">
        <f aca="false">IF($G1112="","",_xlfn.MINIFS($E$5:$E$1504,$A$5:$A$1504,$A1112,$D$5:$D$1504,"تسليم",$E$5:$E$1504,"&gt;"&amp;$E1112))</f>
        <v/>
      </c>
      <c r="J1112" s="33" t="str">
        <f aca="false">IF($G1112="","",IF(H1112&gt;0,IF(I1112&gt;0,MIN(H1112,I1112),H1112),IF(I1112&gt;0,I1112,تاريخ_الاحتساب)))</f>
        <v/>
      </c>
      <c r="K1112" s="34" t="str">
        <f aca="false">IF($G1112="","",IF(AND(H1112=0,I1112=0),"جارية","مغلقة"))</f>
        <v/>
      </c>
      <c r="L1112" s="26" t="str">
        <f aca="false">IF($G1112="","",MAX(0,NETWORKDAYS.INTL($E1112,J1112,رمز_العطلة,أيام_الأجازات)-1))</f>
        <v/>
      </c>
      <c r="M1112" s="26" t="str">
        <f aca="false">IF($G1112="","",MAX(0,L1112-مهلة_المراجعة))</f>
        <v/>
      </c>
      <c r="N1112" s="30" t="str">
        <f aca="false">IF($A1112="",IF(OR($D1112&lt;&gt;"",$E1112&lt;&gt;""),"رقم المخرج ناقص",""),IF(ISNA(MATCH($A1112,قائمة_المخرجات,0)),"رقم مخرج غير موجود",IF($D1112="","نوع الحركة ناقص",IF(NOT(ISNUMBER($E1112)),"التاريخ ناقص",IF($E1112&gt;تاريخ_الاحتساب,"تاريخ بعد تاريخ الاحتساب",IF(AND($D1112&lt;&gt;"تسليم",COUNTIFS($A$5:$A$1504,$A1112,$D$5:$D$1504,"تسليم",$E$5:$E$1504,"&lt;="&amp;$E1112)=0),"لا يوجد تسليم قبل الحركة دي",""))))))</f>
        <v/>
      </c>
    </row>
    <row r="1113" customFormat="false" ht="15" hidden="false" customHeight="false" outlineLevel="0" collapsed="false">
      <c r="A1113" s="20"/>
      <c r="B1113" s="35" t="str">
        <f aca="false">IF($A1113="","",IFERROR(INDEX(مخرج_البند,MATCH($A1113,قائمة_المخرجات,0)),""))</f>
        <v/>
      </c>
      <c r="C1113" s="30" t="str">
        <f aca="false">IF($A1113="","",IFERROR(INDEX(مخرج_الوصف,MATCH($A1113,قائمة_المخرجات,0)),""))</f>
        <v/>
      </c>
      <c r="D1113" s="20"/>
      <c r="E1113" s="31"/>
      <c r="F1113" s="22"/>
      <c r="G1113" s="36" t="str">
        <f aca="false">IF(OR($A1113="",$D1113&lt;&gt;"تسليم",NOT(ISNUMBER($E1113))),"",COUNTIFS($A$5:$A$1504,$A1113,$D$5:$D$1504,"تسليم",$E$5:$E$1504,"&lt;"&amp;$E1113)+1)</f>
        <v/>
      </c>
      <c r="H1113" s="33" t="str">
        <f aca="false">IF($G1113="","",_xlfn.MINIFS($E$5:$E$1504,$A$5:$A$1504,$A1113,$D$5:$D$1504,"&lt;&gt;تسليم",$E$5:$E$1504,"&gt;="&amp;$E1113))</f>
        <v/>
      </c>
      <c r="I1113" s="33" t="str">
        <f aca="false">IF($G1113="","",_xlfn.MINIFS($E$5:$E$1504,$A$5:$A$1504,$A1113,$D$5:$D$1504,"تسليم",$E$5:$E$1504,"&gt;"&amp;$E1113))</f>
        <v/>
      </c>
      <c r="J1113" s="33" t="str">
        <f aca="false">IF($G1113="","",IF(H1113&gt;0,IF(I1113&gt;0,MIN(H1113,I1113),H1113),IF(I1113&gt;0,I1113,تاريخ_الاحتساب)))</f>
        <v/>
      </c>
      <c r="K1113" s="34" t="str">
        <f aca="false">IF($G1113="","",IF(AND(H1113=0,I1113=0),"جارية","مغلقة"))</f>
        <v/>
      </c>
      <c r="L1113" s="26" t="str">
        <f aca="false">IF($G1113="","",MAX(0,NETWORKDAYS.INTL($E1113,J1113,رمز_العطلة,أيام_الأجازات)-1))</f>
        <v/>
      </c>
      <c r="M1113" s="26" t="str">
        <f aca="false">IF($G1113="","",MAX(0,L1113-مهلة_المراجعة))</f>
        <v/>
      </c>
      <c r="N1113" s="30" t="str">
        <f aca="false">IF($A1113="",IF(OR($D1113&lt;&gt;"",$E1113&lt;&gt;""),"رقم المخرج ناقص",""),IF(ISNA(MATCH($A1113,قائمة_المخرجات,0)),"رقم مخرج غير موجود",IF($D1113="","نوع الحركة ناقص",IF(NOT(ISNUMBER($E1113)),"التاريخ ناقص",IF($E1113&gt;تاريخ_الاحتساب,"تاريخ بعد تاريخ الاحتساب",IF(AND($D1113&lt;&gt;"تسليم",COUNTIFS($A$5:$A$1504,$A1113,$D$5:$D$1504,"تسليم",$E$5:$E$1504,"&lt;="&amp;$E1113)=0),"لا يوجد تسليم قبل الحركة دي",""))))))</f>
        <v/>
      </c>
    </row>
    <row r="1114" customFormat="false" ht="15" hidden="false" customHeight="false" outlineLevel="0" collapsed="false">
      <c r="A1114" s="20"/>
      <c r="B1114" s="35" t="str">
        <f aca="false">IF($A1114="","",IFERROR(INDEX(مخرج_البند,MATCH($A1114,قائمة_المخرجات,0)),""))</f>
        <v/>
      </c>
      <c r="C1114" s="30" t="str">
        <f aca="false">IF($A1114="","",IFERROR(INDEX(مخرج_الوصف,MATCH($A1114,قائمة_المخرجات,0)),""))</f>
        <v/>
      </c>
      <c r="D1114" s="20"/>
      <c r="E1114" s="31"/>
      <c r="F1114" s="22"/>
      <c r="G1114" s="36" t="str">
        <f aca="false">IF(OR($A1114="",$D1114&lt;&gt;"تسليم",NOT(ISNUMBER($E1114))),"",COUNTIFS($A$5:$A$1504,$A1114,$D$5:$D$1504,"تسليم",$E$5:$E$1504,"&lt;"&amp;$E1114)+1)</f>
        <v/>
      </c>
      <c r="H1114" s="33" t="str">
        <f aca="false">IF($G1114="","",_xlfn.MINIFS($E$5:$E$1504,$A$5:$A$1504,$A1114,$D$5:$D$1504,"&lt;&gt;تسليم",$E$5:$E$1504,"&gt;="&amp;$E1114))</f>
        <v/>
      </c>
      <c r="I1114" s="33" t="str">
        <f aca="false">IF($G1114="","",_xlfn.MINIFS($E$5:$E$1504,$A$5:$A$1504,$A1114,$D$5:$D$1504,"تسليم",$E$5:$E$1504,"&gt;"&amp;$E1114))</f>
        <v/>
      </c>
      <c r="J1114" s="33" t="str">
        <f aca="false">IF($G1114="","",IF(H1114&gt;0,IF(I1114&gt;0,MIN(H1114,I1114),H1114),IF(I1114&gt;0,I1114,تاريخ_الاحتساب)))</f>
        <v/>
      </c>
      <c r="K1114" s="34" t="str">
        <f aca="false">IF($G1114="","",IF(AND(H1114=0,I1114=0),"جارية","مغلقة"))</f>
        <v/>
      </c>
      <c r="L1114" s="26" t="str">
        <f aca="false">IF($G1114="","",MAX(0,NETWORKDAYS.INTL($E1114,J1114,رمز_العطلة,أيام_الأجازات)-1))</f>
        <v/>
      </c>
      <c r="M1114" s="26" t="str">
        <f aca="false">IF($G1114="","",MAX(0,L1114-مهلة_المراجعة))</f>
        <v/>
      </c>
      <c r="N1114" s="30" t="str">
        <f aca="false">IF($A1114="",IF(OR($D1114&lt;&gt;"",$E1114&lt;&gt;""),"رقم المخرج ناقص",""),IF(ISNA(MATCH($A1114,قائمة_المخرجات,0)),"رقم مخرج غير موجود",IF($D1114="","نوع الحركة ناقص",IF(NOT(ISNUMBER($E1114)),"التاريخ ناقص",IF($E1114&gt;تاريخ_الاحتساب,"تاريخ بعد تاريخ الاحتساب",IF(AND($D1114&lt;&gt;"تسليم",COUNTIFS($A$5:$A$1504,$A1114,$D$5:$D$1504,"تسليم",$E$5:$E$1504,"&lt;="&amp;$E1114)=0),"لا يوجد تسليم قبل الحركة دي",""))))))</f>
        <v/>
      </c>
    </row>
    <row r="1115" customFormat="false" ht="15" hidden="false" customHeight="false" outlineLevel="0" collapsed="false">
      <c r="A1115" s="20"/>
      <c r="B1115" s="35" t="str">
        <f aca="false">IF($A1115="","",IFERROR(INDEX(مخرج_البند,MATCH($A1115,قائمة_المخرجات,0)),""))</f>
        <v/>
      </c>
      <c r="C1115" s="30" t="str">
        <f aca="false">IF($A1115="","",IFERROR(INDEX(مخرج_الوصف,MATCH($A1115,قائمة_المخرجات,0)),""))</f>
        <v/>
      </c>
      <c r="D1115" s="20"/>
      <c r="E1115" s="31"/>
      <c r="F1115" s="22"/>
      <c r="G1115" s="36" t="str">
        <f aca="false">IF(OR($A1115="",$D1115&lt;&gt;"تسليم",NOT(ISNUMBER($E1115))),"",COUNTIFS($A$5:$A$1504,$A1115,$D$5:$D$1504,"تسليم",$E$5:$E$1504,"&lt;"&amp;$E1115)+1)</f>
        <v/>
      </c>
      <c r="H1115" s="33" t="str">
        <f aca="false">IF($G1115="","",_xlfn.MINIFS($E$5:$E$1504,$A$5:$A$1504,$A1115,$D$5:$D$1504,"&lt;&gt;تسليم",$E$5:$E$1504,"&gt;="&amp;$E1115))</f>
        <v/>
      </c>
      <c r="I1115" s="33" t="str">
        <f aca="false">IF($G1115="","",_xlfn.MINIFS($E$5:$E$1504,$A$5:$A$1504,$A1115,$D$5:$D$1504,"تسليم",$E$5:$E$1504,"&gt;"&amp;$E1115))</f>
        <v/>
      </c>
      <c r="J1115" s="33" t="str">
        <f aca="false">IF($G1115="","",IF(H1115&gt;0,IF(I1115&gt;0,MIN(H1115,I1115),H1115),IF(I1115&gt;0,I1115,تاريخ_الاحتساب)))</f>
        <v/>
      </c>
      <c r="K1115" s="34" t="str">
        <f aca="false">IF($G1115="","",IF(AND(H1115=0,I1115=0),"جارية","مغلقة"))</f>
        <v/>
      </c>
      <c r="L1115" s="26" t="str">
        <f aca="false">IF($G1115="","",MAX(0,NETWORKDAYS.INTL($E1115,J1115,رمز_العطلة,أيام_الأجازات)-1))</f>
        <v/>
      </c>
      <c r="M1115" s="26" t="str">
        <f aca="false">IF($G1115="","",MAX(0,L1115-مهلة_المراجعة))</f>
        <v/>
      </c>
      <c r="N1115" s="30" t="str">
        <f aca="false">IF($A1115="",IF(OR($D1115&lt;&gt;"",$E1115&lt;&gt;""),"رقم المخرج ناقص",""),IF(ISNA(MATCH($A1115,قائمة_المخرجات,0)),"رقم مخرج غير موجود",IF($D1115="","نوع الحركة ناقص",IF(NOT(ISNUMBER($E1115)),"التاريخ ناقص",IF($E1115&gt;تاريخ_الاحتساب,"تاريخ بعد تاريخ الاحتساب",IF(AND($D1115&lt;&gt;"تسليم",COUNTIFS($A$5:$A$1504,$A1115,$D$5:$D$1504,"تسليم",$E$5:$E$1504,"&lt;="&amp;$E1115)=0),"لا يوجد تسليم قبل الحركة دي",""))))))</f>
        <v/>
      </c>
    </row>
    <row r="1116" customFormat="false" ht="15" hidden="false" customHeight="false" outlineLevel="0" collapsed="false">
      <c r="A1116" s="20"/>
      <c r="B1116" s="35" t="str">
        <f aca="false">IF($A1116="","",IFERROR(INDEX(مخرج_البند,MATCH($A1116,قائمة_المخرجات,0)),""))</f>
        <v/>
      </c>
      <c r="C1116" s="30" t="str">
        <f aca="false">IF($A1116="","",IFERROR(INDEX(مخرج_الوصف,MATCH($A1116,قائمة_المخرجات,0)),""))</f>
        <v/>
      </c>
      <c r="D1116" s="20"/>
      <c r="E1116" s="31"/>
      <c r="F1116" s="22"/>
      <c r="G1116" s="36" t="str">
        <f aca="false">IF(OR($A1116="",$D1116&lt;&gt;"تسليم",NOT(ISNUMBER($E1116))),"",COUNTIFS($A$5:$A$1504,$A1116,$D$5:$D$1504,"تسليم",$E$5:$E$1504,"&lt;"&amp;$E1116)+1)</f>
        <v/>
      </c>
      <c r="H1116" s="33" t="str">
        <f aca="false">IF($G1116="","",_xlfn.MINIFS($E$5:$E$1504,$A$5:$A$1504,$A1116,$D$5:$D$1504,"&lt;&gt;تسليم",$E$5:$E$1504,"&gt;="&amp;$E1116))</f>
        <v/>
      </c>
      <c r="I1116" s="33" t="str">
        <f aca="false">IF($G1116="","",_xlfn.MINIFS($E$5:$E$1504,$A$5:$A$1504,$A1116,$D$5:$D$1504,"تسليم",$E$5:$E$1504,"&gt;"&amp;$E1116))</f>
        <v/>
      </c>
      <c r="J1116" s="33" t="str">
        <f aca="false">IF($G1116="","",IF(H1116&gt;0,IF(I1116&gt;0,MIN(H1116,I1116),H1116),IF(I1116&gt;0,I1116,تاريخ_الاحتساب)))</f>
        <v/>
      </c>
      <c r="K1116" s="34" t="str">
        <f aca="false">IF($G1116="","",IF(AND(H1116=0,I1116=0),"جارية","مغلقة"))</f>
        <v/>
      </c>
      <c r="L1116" s="26" t="str">
        <f aca="false">IF($G1116="","",MAX(0,NETWORKDAYS.INTL($E1116,J1116,رمز_العطلة,أيام_الأجازات)-1))</f>
        <v/>
      </c>
      <c r="M1116" s="26" t="str">
        <f aca="false">IF($G1116="","",MAX(0,L1116-مهلة_المراجعة))</f>
        <v/>
      </c>
      <c r="N1116" s="30" t="str">
        <f aca="false">IF($A1116="",IF(OR($D1116&lt;&gt;"",$E1116&lt;&gt;""),"رقم المخرج ناقص",""),IF(ISNA(MATCH($A1116,قائمة_المخرجات,0)),"رقم مخرج غير موجود",IF($D1116="","نوع الحركة ناقص",IF(NOT(ISNUMBER($E1116)),"التاريخ ناقص",IF($E1116&gt;تاريخ_الاحتساب,"تاريخ بعد تاريخ الاحتساب",IF(AND($D1116&lt;&gt;"تسليم",COUNTIFS($A$5:$A$1504,$A1116,$D$5:$D$1504,"تسليم",$E$5:$E$1504,"&lt;="&amp;$E1116)=0),"لا يوجد تسليم قبل الحركة دي",""))))))</f>
        <v/>
      </c>
    </row>
    <row r="1117" customFormat="false" ht="15" hidden="false" customHeight="false" outlineLevel="0" collapsed="false">
      <c r="A1117" s="20"/>
      <c r="B1117" s="35" t="str">
        <f aca="false">IF($A1117="","",IFERROR(INDEX(مخرج_البند,MATCH($A1117,قائمة_المخرجات,0)),""))</f>
        <v/>
      </c>
      <c r="C1117" s="30" t="str">
        <f aca="false">IF($A1117="","",IFERROR(INDEX(مخرج_الوصف,MATCH($A1117,قائمة_المخرجات,0)),""))</f>
        <v/>
      </c>
      <c r="D1117" s="20"/>
      <c r="E1117" s="31"/>
      <c r="F1117" s="22"/>
      <c r="G1117" s="36" t="str">
        <f aca="false">IF(OR($A1117="",$D1117&lt;&gt;"تسليم",NOT(ISNUMBER($E1117))),"",COUNTIFS($A$5:$A$1504,$A1117,$D$5:$D$1504,"تسليم",$E$5:$E$1504,"&lt;"&amp;$E1117)+1)</f>
        <v/>
      </c>
      <c r="H1117" s="33" t="str">
        <f aca="false">IF($G1117="","",_xlfn.MINIFS($E$5:$E$1504,$A$5:$A$1504,$A1117,$D$5:$D$1504,"&lt;&gt;تسليم",$E$5:$E$1504,"&gt;="&amp;$E1117))</f>
        <v/>
      </c>
      <c r="I1117" s="33" t="str">
        <f aca="false">IF($G1117="","",_xlfn.MINIFS($E$5:$E$1504,$A$5:$A$1504,$A1117,$D$5:$D$1504,"تسليم",$E$5:$E$1504,"&gt;"&amp;$E1117))</f>
        <v/>
      </c>
      <c r="J1117" s="33" t="str">
        <f aca="false">IF($G1117="","",IF(H1117&gt;0,IF(I1117&gt;0,MIN(H1117,I1117),H1117),IF(I1117&gt;0,I1117,تاريخ_الاحتساب)))</f>
        <v/>
      </c>
      <c r="K1117" s="34" t="str">
        <f aca="false">IF($G1117="","",IF(AND(H1117=0,I1117=0),"جارية","مغلقة"))</f>
        <v/>
      </c>
      <c r="L1117" s="26" t="str">
        <f aca="false">IF($G1117="","",MAX(0,NETWORKDAYS.INTL($E1117,J1117,رمز_العطلة,أيام_الأجازات)-1))</f>
        <v/>
      </c>
      <c r="M1117" s="26" t="str">
        <f aca="false">IF($G1117="","",MAX(0,L1117-مهلة_المراجعة))</f>
        <v/>
      </c>
      <c r="N1117" s="30" t="str">
        <f aca="false">IF($A1117="",IF(OR($D1117&lt;&gt;"",$E1117&lt;&gt;""),"رقم المخرج ناقص",""),IF(ISNA(MATCH($A1117,قائمة_المخرجات,0)),"رقم مخرج غير موجود",IF($D1117="","نوع الحركة ناقص",IF(NOT(ISNUMBER($E1117)),"التاريخ ناقص",IF($E1117&gt;تاريخ_الاحتساب,"تاريخ بعد تاريخ الاحتساب",IF(AND($D1117&lt;&gt;"تسليم",COUNTIFS($A$5:$A$1504,$A1117,$D$5:$D$1504,"تسليم",$E$5:$E$1504,"&lt;="&amp;$E1117)=0),"لا يوجد تسليم قبل الحركة دي",""))))))</f>
        <v/>
      </c>
    </row>
    <row r="1118" customFormat="false" ht="15" hidden="false" customHeight="false" outlineLevel="0" collapsed="false">
      <c r="A1118" s="20"/>
      <c r="B1118" s="35" t="str">
        <f aca="false">IF($A1118="","",IFERROR(INDEX(مخرج_البند,MATCH($A1118,قائمة_المخرجات,0)),""))</f>
        <v/>
      </c>
      <c r="C1118" s="30" t="str">
        <f aca="false">IF($A1118="","",IFERROR(INDEX(مخرج_الوصف,MATCH($A1118,قائمة_المخرجات,0)),""))</f>
        <v/>
      </c>
      <c r="D1118" s="20"/>
      <c r="E1118" s="31"/>
      <c r="F1118" s="22"/>
      <c r="G1118" s="36" t="str">
        <f aca="false">IF(OR($A1118="",$D1118&lt;&gt;"تسليم",NOT(ISNUMBER($E1118))),"",COUNTIFS($A$5:$A$1504,$A1118,$D$5:$D$1504,"تسليم",$E$5:$E$1504,"&lt;"&amp;$E1118)+1)</f>
        <v/>
      </c>
      <c r="H1118" s="33" t="str">
        <f aca="false">IF($G1118="","",_xlfn.MINIFS($E$5:$E$1504,$A$5:$A$1504,$A1118,$D$5:$D$1504,"&lt;&gt;تسليم",$E$5:$E$1504,"&gt;="&amp;$E1118))</f>
        <v/>
      </c>
      <c r="I1118" s="33" t="str">
        <f aca="false">IF($G1118="","",_xlfn.MINIFS($E$5:$E$1504,$A$5:$A$1504,$A1118,$D$5:$D$1504,"تسليم",$E$5:$E$1504,"&gt;"&amp;$E1118))</f>
        <v/>
      </c>
      <c r="J1118" s="33" t="str">
        <f aca="false">IF($G1118="","",IF(H1118&gt;0,IF(I1118&gt;0,MIN(H1118,I1118),H1118),IF(I1118&gt;0,I1118,تاريخ_الاحتساب)))</f>
        <v/>
      </c>
      <c r="K1118" s="34" t="str">
        <f aca="false">IF($G1118="","",IF(AND(H1118=0,I1118=0),"جارية","مغلقة"))</f>
        <v/>
      </c>
      <c r="L1118" s="26" t="str">
        <f aca="false">IF($G1118="","",MAX(0,NETWORKDAYS.INTL($E1118,J1118,رمز_العطلة,أيام_الأجازات)-1))</f>
        <v/>
      </c>
      <c r="M1118" s="26" t="str">
        <f aca="false">IF($G1118="","",MAX(0,L1118-مهلة_المراجعة))</f>
        <v/>
      </c>
      <c r="N1118" s="30" t="str">
        <f aca="false">IF($A1118="",IF(OR($D1118&lt;&gt;"",$E1118&lt;&gt;""),"رقم المخرج ناقص",""),IF(ISNA(MATCH($A1118,قائمة_المخرجات,0)),"رقم مخرج غير موجود",IF($D1118="","نوع الحركة ناقص",IF(NOT(ISNUMBER($E1118)),"التاريخ ناقص",IF($E1118&gt;تاريخ_الاحتساب,"تاريخ بعد تاريخ الاحتساب",IF(AND($D1118&lt;&gt;"تسليم",COUNTIFS($A$5:$A$1504,$A1118,$D$5:$D$1504,"تسليم",$E$5:$E$1504,"&lt;="&amp;$E1118)=0),"لا يوجد تسليم قبل الحركة دي",""))))))</f>
        <v/>
      </c>
    </row>
    <row r="1119" customFormat="false" ht="15" hidden="false" customHeight="false" outlineLevel="0" collapsed="false">
      <c r="A1119" s="20"/>
      <c r="B1119" s="35" t="str">
        <f aca="false">IF($A1119="","",IFERROR(INDEX(مخرج_البند,MATCH($A1119,قائمة_المخرجات,0)),""))</f>
        <v/>
      </c>
      <c r="C1119" s="30" t="str">
        <f aca="false">IF($A1119="","",IFERROR(INDEX(مخرج_الوصف,MATCH($A1119,قائمة_المخرجات,0)),""))</f>
        <v/>
      </c>
      <c r="D1119" s="20"/>
      <c r="E1119" s="31"/>
      <c r="F1119" s="22"/>
      <c r="G1119" s="36" t="str">
        <f aca="false">IF(OR($A1119="",$D1119&lt;&gt;"تسليم",NOT(ISNUMBER($E1119))),"",COUNTIFS($A$5:$A$1504,$A1119,$D$5:$D$1504,"تسليم",$E$5:$E$1504,"&lt;"&amp;$E1119)+1)</f>
        <v/>
      </c>
      <c r="H1119" s="33" t="str">
        <f aca="false">IF($G1119="","",_xlfn.MINIFS($E$5:$E$1504,$A$5:$A$1504,$A1119,$D$5:$D$1504,"&lt;&gt;تسليم",$E$5:$E$1504,"&gt;="&amp;$E1119))</f>
        <v/>
      </c>
      <c r="I1119" s="33" t="str">
        <f aca="false">IF($G1119="","",_xlfn.MINIFS($E$5:$E$1504,$A$5:$A$1504,$A1119,$D$5:$D$1504,"تسليم",$E$5:$E$1504,"&gt;"&amp;$E1119))</f>
        <v/>
      </c>
      <c r="J1119" s="33" t="str">
        <f aca="false">IF($G1119="","",IF(H1119&gt;0,IF(I1119&gt;0,MIN(H1119,I1119),H1119),IF(I1119&gt;0,I1119,تاريخ_الاحتساب)))</f>
        <v/>
      </c>
      <c r="K1119" s="34" t="str">
        <f aca="false">IF($G1119="","",IF(AND(H1119=0,I1119=0),"جارية","مغلقة"))</f>
        <v/>
      </c>
      <c r="L1119" s="26" t="str">
        <f aca="false">IF($G1119="","",MAX(0,NETWORKDAYS.INTL($E1119,J1119,رمز_العطلة,أيام_الأجازات)-1))</f>
        <v/>
      </c>
      <c r="M1119" s="26" t="str">
        <f aca="false">IF($G1119="","",MAX(0,L1119-مهلة_المراجعة))</f>
        <v/>
      </c>
      <c r="N1119" s="30" t="str">
        <f aca="false">IF($A1119="",IF(OR($D1119&lt;&gt;"",$E1119&lt;&gt;""),"رقم المخرج ناقص",""),IF(ISNA(MATCH($A1119,قائمة_المخرجات,0)),"رقم مخرج غير موجود",IF($D1119="","نوع الحركة ناقص",IF(NOT(ISNUMBER($E1119)),"التاريخ ناقص",IF($E1119&gt;تاريخ_الاحتساب,"تاريخ بعد تاريخ الاحتساب",IF(AND($D1119&lt;&gt;"تسليم",COUNTIFS($A$5:$A$1504,$A1119,$D$5:$D$1504,"تسليم",$E$5:$E$1504,"&lt;="&amp;$E1119)=0),"لا يوجد تسليم قبل الحركة دي",""))))))</f>
        <v/>
      </c>
    </row>
    <row r="1120" customFormat="false" ht="15" hidden="false" customHeight="false" outlineLevel="0" collapsed="false">
      <c r="A1120" s="20"/>
      <c r="B1120" s="35" t="str">
        <f aca="false">IF($A1120="","",IFERROR(INDEX(مخرج_البند,MATCH($A1120,قائمة_المخرجات,0)),""))</f>
        <v/>
      </c>
      <c r="C1120" s="30" t="str">
        <f aca="false">IF($A1120="","",IFERROR(INDEX(مخرج_الوصف,MATCH($A1120,قائمة_المخرجات,0)),""))</f>
        <v/>
      </c>
      <c r="D1120" s="20"/>
      <c r="E1120" s="31"/>
      <c r="F1120" s="22"/>
      <c r="G1120" s="36" t="str">
        <f aca="false">IF(OR($A1120="",$D1120&lt;&gt;"تسليم",NOT(ISNUMBER($E1120))),"",COUNTIFS($A$5:$A$1504,$A1120,$D$5:$D$1504,"تسليم",$E$5:$E$1504,"&lt;"&amp;$E1120)+1)</f>
        <v/>
      </c>
      <c r="H1120" s="33" t="str">
        <f aca="false">IF($G1120="","",_xlfn.MINIFS($E$5:$E$1504,$A$5:$A$1504,$A1120,$D$5:$D$1504,"&lt;&gt;تسليم",$E$5:$E$1504,"&gt;="&amp;$E1120))</f>
        <v/>
      </c>
      <c r="I1120" s="33" t="str">
        <f aca="false">IF($G1120="","",_xlfn.MINIFS($E$5:$E$1504,$A$5:$A$1504,$A1120,$D$5:$D$1504,"تسليم",$E$5:$E$1504,"&gt;"&amp;$E1120))</f>
        <v/>
      </c>
      <c r="J1120" s="33" t="str">
        <f aca="false">IF($G1120="","",IF(H1120&gt;0,IF(I1120&gt;0,MIN(H1120,I1120),H1120),IF(I1120&gt;0,I1120,تاريخ_الاحتساب)))</f>
        <v/>
      </c>
      <c r="K1120" s="34" t="str">
        <f aca="false">IF($G1120="","",IF(AND(H1120=0,I1120=0),"جارية","مغلقة"))</f>
        <v/>
      </c>
      <c r="L1120" s="26" t="str">
        <f aca="false">IF($G1120="","",MAX(0,NETWORKDAYS.INTL($E1120,J1120,رمز_العطلة,أيام_الأجازات)-1))</f>
        <v/>
      </c>
      <c r="M1120" s="26" t="str">
        <f aca="false">IF($G1120="","",MAX(0,L1120-مهلة_المراجعة))</f>
        <v/>
      </c>
      <c r="N1120" s="30" t="str">
        <f aca="false">IF($A1120="",IF(OR($D1120&lt;&gt;"",$E1120&lt;&gt;""),"رقم المخرج ناقص",""),IF(ISNA(MATCH($A1120,قائمة_المخرجات,0)),"رقم مخرج غير موجود",IF($D1120="","نوع الحركة ناقص",IF(NOT(ISNUMBER($E1120)),"التاريخ ناقص",IF($E1120&gt;تاريخ_الاحتساب,"تاريخ بعد تاريخ الاحتساب",IF(AND($D1120&lt;&gt;"تسليم",COUNTIFS($A$5:$A$1504,$A1120,$D$5:$D$1504,"تسليم",$E$5:$E$1504,"&lt;="&amp;$E1120)=0),"لا يوجد تسليم قبل الحركة دي",""))))))</f>
        <v/>
      </c>
    </row>
    <row r="1121" customFormat="false" ht="15" hidden="false" customHeight="false" outlineLevel="0" collapsed="false">
      <c r="A1121" s="20"/>
      <c r="B1121" s="35" t="str">
        <f aca="false">IF($A1121="","",IFERROR(INDEX(مخرج_البند,MATCH($A1121,قائمة_المخرجات,0)),""))</f>
        <v/>
      </c>
      <c r="C1121" s="30" t="str">
        <f aca="false">IF($A1121="","",IFERROR(INDEX(مخرج_الوصف,MATCH($A1121,قائمة_المخرجات,0)),""))</f>
        <v/>
      </c>
      <c r="D1121" s="20"/>
      <c r="E1121" s="31"/>
      <c r="F1121" s="22"/>
      <c r="G1121" s="36" t="str">
        <f aca="false">IF(OR($A1121="",$D1121&lt;&gt;"تسليم",NOT(ISNUMBER($E1121))),"",COUNTIFS($A$5:$A$1504,$A1121,$D$5:$D$1504,"تسليم",$E$5:$E$1504,"&lt;"&amp;$E1121)+1)</f>
        <v/>
      </c>
      <c r="H1121" s="33" t="str">
        <f aca="false">IF($G1121="","",_xlfn.MINIFS($E$5:$E$1504,$A$5:$A$1504,$A1121,$D$5:$D$1504,"&lt;&gt;تسليم",$E$5:$E$1504,"&gt;="&amp;$E1121))</f>
        <v/>
      </c>
      <c r="I1121" s="33" t="str">
        <f aca="false">IF($G1121="","",_xlfn.MINIFS($E$5:$E$1504,$A$5:$A$1504,$A1121,$D$5:$D$1504,"تسليم",$E$5:$E$1504,"&gt;"&amp;$E1121))</f>
        <v/>
      </c>
      <c r="J1121" s="33" t="str">
        <f aca="false">IF($G1121="","",IF(H1121&gt;0,IF(I1121&gt;0,MIN(H1121,I1121),H1121),IF(I1121&gt;0,I1121,تاريخ_الاحتساب)))</f>
        <v/>
      </c>
      <c r="K1121" s="34" t="str">
        <f aca="false">IF($G1121="","",IF(AND(H1121=0,I1121=0),"جارية","مغلقة"))</f>
        <v/>
      </c>
      <c r="L1121" s="26" t="str">
        <f aca="false">IF($G1121="","",MAX(0,NETWORKDAYS.INTL($E1121,J1121,رمز_العطلة,أيام_الأجازات)-1))</f>
        <v/>
      </c>
      <c r="M1121" s="26" t="str">
        <f aca="false">IF($G1121="","",MAX(0,L1121-مهلة_المراجعة))</f>
        <v/>
      </c>
      <c r="N1121" s="30" t="str">
        <f aca="false">IF($A1121="",IF(OR($D1121&lt;&gt;"",$E1121&lt;&gt;""),"رقم المخرج ناقص",""),IF(ISNA(MATCH($A1121,قائمة_المخرجات,0)),"رقم مخرج غير موجود",IF($D1121="","نوع الحركة ناقص",IF(NOT(ISNUMBER($E1121)),"التاريخ ناقص",IF($E1121&gt;تاريخ_الاحتساب,"تاريخ بعد تاريخ الاحتساب",IF(AND($D1121&lt;&gt;"تسليم",COUNTIFS($A$5:$A$1504,$A1121,$D$5:$D$1504,"تسليم",$E$5:$E$1504,"&lt;="&amp;$E1121)=0),"لا يوجد تسليم قبل الحركة دي",""))))))</f>
        <v/>
      </c>
    </row>
    <row r="1122" customFormat="false" ht="15" hidden="false" customHeight="false" outlineLevel="0" collapsed="false">
      <c r="A1122" s="20"/>
      <c r="B1122" s="35" t="str">
        <f aca="false">IF($A1122="","",IFERROR(INDEX(مخرج_البند,MATCH($A1122,قائمة_المخرجات,0)),""))</f>
        <v/>
      </c>
      <c r="C1122" s="30" t="str">
        <f aca="false">IF($A1122="","",IFERROR(INDEX(مخرج_الوصف,MATCH($A1122,قائمة_المخرجات,0)),""))</f>
        <v/>
      </c>
      <c r="D1122" s="20"/>
      <c r="E1122" s="31"/>
      <c r="F1122" s="22"/>
      <c r="G1122" s="36" t="str">
        <f aca="false">IF(OR($A1122="",$D1122&lt;&gt;"تسليم",NOT(ISNUMBER($E1122))),"",COUNTIFS($A$5:$A$1504,$A1122,$D$5:$D$1504,"تسليم",$E$5:$E$1504,"&lt;"&amp;$E1122)+1)</f>
        <v/>
      </c>
      <c r="H1122" s="33" t="str">
        <f aca="false">IF($G1122="","",_xlfn.MINIFS($E$5:$E$1504,$A$5:$A$1504,$A1122,$D$5:$D$1504,"&lt;&gt;تسليم",$E$5:$E$1504,"&gt;="&amp;$E1122))</f>
        <v/>
      </c>
      <c r="I1122" s="33" t="str">
        <f aca="false">IF($G1122="","",_xlfn.MINIFS($E$5:$E$1504,$A$5:$A$1504,$A1122,$D$5:$D$1504,"تسليم",$E$5:$E$1504,"&gt;"&amp;$E1122))</f>
        <v/>
      </c>
      <c r="J1122" s="33" t="str">
        <f aca="false">IF($G1122="","",IF(H1122&gt;0,IF(I1122&gt;0,MIN(H1122,I1122),H1122),IF(I1122&gt;0,I1122,تاريخ_الاحتساب)))</f>
        <v/>
      </c>
      <c r="K1122" s="34" t="str">
        <f aca="false">IF($G1122="","",IF(AND(H1122=0,I1122=0),"جارية","مغلقة"))</f>
        <v/>
      </c>
      <c r="L1122" s="26" t="str">
        <f aca="false">IF($G1122="","",MAX(0,NETWORKDAYS.INTL($E1122,J1122,رمز_العطلة,أيام_الأجازات)-1))</f>
        <v/>
      </c>
      <c r="M1122" s="26" t="str">
        <f aca="false">IF($G1122="","",MAX(0,L1122-مهلة_المراجعة))</f>
        <v/>
      </c>
      <c r="N1122" s="30" t="str">
        <f aca="false">IF($A1122="",IF(OR($D1122&lt;&gt;"",$E1122&lt;&gt;""),"رقم المخرج ناقص",""),IF(ISNA(MATCH($A1122,قائمة_المخرجات,0)),"رقم مخرج غير موجود",IF($D1122="","نوع الحركة ناقص",IF(NOT(ISNUMBER($E1122)),"التاريخ ناقص",IF($E1122&gt;تاريخ_الاحتساب,"تاريخ بعد تاريخ الاحتساب",IF(AND($D1122&lt;&gt;"تسليم",COUNTIFS($A$5:$A$1504,$A1122,$D$5:$D$1504,"تسليم",$E$5:$E$1504,"&lt;="&amp;$E1122)=0),"لا يوجد تسليم قبل الحركة دي",""))))))</f>
        <v/>
      </c>
    </row>
    <row r="1123" customFormat="false" ht="15" hidden="false" customHeight="false" outlineLevel="0" collapsed="false">
      <c r="A1123" s="20"/>
      <c r="B1123" s="35" t="str">
        <f aca="false">IF($A1123="","",IFERROR(INDEX(مخرج_البند,MATCH($A1123,قائمة_المخرجات,0)),""))</f>
        <v/>
      </c>
      <c r="C1123" s="30" t="str">
        <f aca="false">IF($A1123="","",IFERROR(INDEX(مخرج_الوصف,MATCH($A1123,قائمة_المخرجات,0)),""))</f>
        <v/>
      </c>
      <c r="D1123" s="20"/>
      <c r="E1123" s="31"/>
      <c r="F1123" s="22"/>
      <c r="G1123" s="36" t="str">
        <f aca="false">IF(OR($A1123="",$D1123&lt;&gt;"تسليم",NOT(ISNUMBER($E1123))),"",COUNTIFS($A$5:$A$1504,$A1123,$D$5:$D$1504,"تسليم",$E$5:$E$1504,"&lt;"&amp;$E1123)+1)</f>
        <v/>
      </c>
      <c r="H1123" s="33" t="str">
        <f aca="false">IF($G1123="","",_xlfn.MINIFS($E$5:$E$1504,$A$5:$A$1504,$A1123,$D$5:$D$1504,"&lt;&gt;تسليم",$E$5:$E$1504,"&gt;="&amp;$E1123))</f>
        <v/>
      </c>
      <c r="I1123" s="33" t="str">
        <f aca="false">IF($G1123="","",_xlfn.MINIFS($E$5:$E$1504,$A$5:$A$1504,$A1123,$D$5:$D$1504,"تسليم",$E$5:$E$1504,"&gt;"&amp;$E1123))</f>
        <v/>
      </c>
      <c r="J1123" s="33" t="str">
        <f aca="false">IF($G1123="","",IF(H1123&gt;0,IF(I1123&gt;0,MIN(H1123,I1123),H1123),IF(I1123&gt;0,I1123,تاريخ_الاحتساب)))</f>
        <v/>
      </c>
      <c r="K1123" s="34" t="str">
        <f aca="false">IF($G1123="","",IF(AND(H1123=0,I1123=0),"جارية","مغلقة"))</f>
        <v/>
      </c>
      <c r="L1123" s="26" t="str">
        <f aca="false">IF($G1123="","",MAX(0,NETWORKDAYS.INTL($E1123,J1123,رمز_العطلة,أيام_الأجازات)-1))</f>
        <v/>
      </c>
      <c r="M1123" s="26" t="str">
        <f aca="false">IF($G1123="","",MAX(0,L1123-مهلة_المراجعة))</f>
        <v/>
      </c>
      <c r="N1123" s="30" t="str">
        <f aca="false">IF($A1123="",IF(OR($D1123&lt;&gt;"",$E1123&lt;&gt;""),"رقم المخرج ناقص",""),IF(ISNA(MATCH($A1123,قائمة_المخرجات,0)),"رقم مخرج غير موجود",IF($D1123="","نوع الحركة ناقص",IF(NOT(ISNUMBER($E1123)),"التاريخ ناقص",IF($E1123&gt;تاريخ_الاحتساب,"تاريخ بعد تاريخ الاحتساب",IF(AND($D1123&lt;&gt;"تسليم",COUNTIFS($A$5:$A$1504,$A1123,$D$5:$D$1504,"تسليم",$E$5:$E$1504,"&lt;="&amp;$E1123)=0),"لا يوجد تسليم قبل الحركة دي",""))))))</f>
        <v/>
      </c>
    </row>
    <row r="1124" customFormat="false" ht="15" hidden="false" customHeight="false" outlineLevel="0" collapsed="false">
      <c r="A1124" s="20"/>
      <c r="B1124" s="35" t="str">
        <f aca="false">IF($A1124="","",IFERROR(INDEX(مخرج_البند,MATCH($A1124,قائمة_المخرجات,0)),""))</f>
        <v/>
      </c>
      <c r="C1124" s="30" t="str">
        <f aca="false">IF($A1124="","",IFERROR(INDEX(مخرج_الوصف,MATCH($A1124,قائمة_المخرجات,0)),""))</f>
        <v/>
      </c>
      <c r="D1124" s="20"/>
      <c r="E1124" s="31"/>
      <c r="F1124" s="22"/>
      <c r="G1124" s="36" t="str">
        <f aca="false">IF(OR($A1124="",$D1124&lt;&gt;"تسليم",NOT(ISNUMBER($E1124))),"",COUNTIFS($A$5:$A$1504,$A1124,$D$5:$D$1504,"تسليم",$E$5:$E$1504,"&lt;"&amp;$E1124)+1)</f>
        <v/>
      </c>
      <c r="H1124" s="33" t="str">
        <f aca="false">IF($G1124="","",_xlfn.MINIFS($E$5:$E$1504,$A$5:$A$1504,$A1124,$D$5:$D$1504,"&lt;&gt;تسليم",$E$5:$E$1504,"&gt;="&amp;$E1124))</f>
        <v/>
      </c>
      <c r="I1124" s="33" t="str">
        <f aca="false">IF($G1124="","",_xlfn.MINIFS($E$5:$E$1504,$A$5:$A$1504,$A1124,$D$5:$D$1504,"تسليم",$E$5:$E$1504,"&gt;"&amp;$E1124))</f>
        <v/>
      </c>
      <c r="J1124" s="33" t="str">
        <f aca="false">IF($G1124="","",IF(H1124&gt;0,IF(I1124&gt;0,MIN(H1124,I1124),H1124),IF(I1124&gt;0,I1124,تاريخ_الاحتساب)))</f>
        <v/>
      </c>
      <c r="K1124" s="34" t="str">
        <f aca="false">IF($G1124="","",IF(AND(H1124=0,I1124=0),"جارية","مغلقة"))</f>
        <v/>
      </c>
      <c r="L1124" s="26" t="str">
        <f aca="false">IF($G1124="","",MAX(0,NETWORKDAYS.INTL($E1124,J1124,رمز_العطلة,أيام_الأجازات)-1))</f>
        <v/>
      </c>
      <c r="M1124" s="26" t="str">
        <f aca="false">IF($G1124="","",MAX(0,L1124-مهلة_المراجعة))</f>
        <v/>
      </c>
      <c r="N1124" s="30" t="str">
        <f aca="false">IF($A1124="",IF(OR($D1124&lt;&gt;"",$E1124&lt;&gt;""),"رقم المخرج ناقص",""),IF(ISNA(MATCH($A1124,قائمة_المخرجات,0)),"رقم مخرج غير موجود",IF($D1124="","نوع الحركة ناقص",IF(NOT(ISNUMBER($E1124)),"التاريخ ناقص",IF($E1124&gt;تاريخ_الاحتساب,"تاريخ بعد تاريخ الاحتساب",IF(AND($D1124&lt;&gt;"تسليم",COUNTIFS($A$5:$A$1504,$A1124,$D$5:$D$1504,"تسليم",$E$5:$E$1504,"&lt;="&amp;$E1124)=0),"لا يوجد تسليم قبل الحركة دي",""))))))</f>
        <v/>
      </c>
    </row>
    <row r="1125" customFormat="false" ht="15" hidden="false" customHeight="false" outlineLevel="0" collapsed="false">
      <c r="A1125" s="20"/>
      <c r="B1125" s="35" t="str">
        <f aca="false">IF($A1125="","",IFERROR(INDEX(مخرج_البند,MATCH($A1125,قائمة_المخرجات,0)),""))</f>
        <v/>
      </c>
      <c r="C1125" s="30" t="str">
        <f aca="false">IF($A1125="","",IFERROR(INDEX(مخرج_الوصف,MATCH($A1125,قائمة_المخرجات,0)),""))</f>
        <v/>
      </c>
      <c r="D1125" s="20"/>
      <c r="E1125" s="31"/>
      <c r="F1125" s="22"/>
      <c r="G1125" s="36" t="str">
        <f aca="false">IF(OR($A1125="",$D1125&lt;&gt;"تسليم",NOT(ISNUMBER($E1125))),"",COUNTIFS($A$5:$A$1504,$A1125,$D$5:$D$1504,"تسليم",$E$5:$E$1504,"&lt;"&amp;$E1125)+1)</f>
        <v/>
      </c>
      <c r="H1125" s="33" t="str">
        <f aca="false">IF($G1125="","",_xlfn.MINIFS($E$5:$E$1504,$A$5:$A$1504,$A1125,$D$5:$D$1504,"&lt;&gt;تسليم",$E$5:$E$1504,"&gt;="&amp;$E1125))</f>
        <v/>
      </c>
      <c r="I1125" s="33" t="str">
        <f aca="false">IF($G1125="","",_xlfn.MINIFS($E$5:$E$1504,$A$5:$A$1504,$A1125,$D$5:$D$1504,"تسليم",$E$5:$E$1504,"&gt;"&amp;$E1125))</f>
        <v/>
      </c>
      <c r="J1125" s="33" t="str">
        <f aca="false">IF($G1125="","",IF(H1125&gt;0,IF(I1125&gt;0,MIN(H1125,I1125),H1125),IF(I1125&gt;0,I1125,تاريخ_الاحتساب)))</f>
        <v/>
      </c>
      <c r="K1125" s="34" t="str">
        <f aca="false">IF($G1125="","",IF(AND(H1125=0,I1125=0),"جارية","مغلقة"))</f>
        <v/>
      </c>
      <c r="L1125" s="26" t="str">
        <f aca="false">IF($G1125="","",MAX(0,NETWORKDAYS.INTL($E1125,J1125,رمز_العطلة,أيام_الأجازات)-1))</f>
        <v/>
      </c>
      <c r="M1125" s="26" t="str">
        <f aca="false">IF($G1125="","",MAX(0,L1125-مهلة_المراجعة))</f>
        <v/>
      </c>
      <c r="N1125" s="30" t="str">
        <f aca="false">IF($A1125="",IF(OR($D1125&lt;&gt;"",$E1125&lt;&gt;""),"رقم المخرج ناقص",""),IF(ISNA(MATCH($A1125,قائمة_المخرجات,0)),"رقم مخرج غير موجود",IF($D1125="","نوع الحركة ناقص",IF(NOT(ISNUMBER($E1125)),"التاريخ ناقص",IF($E1125&gt;تاريخ_الاحتساب,"تاريخ بعد تاريخ الاحتساب",IF(AND($D1125&lt;&gt;"تسليم",COUNTIFS($A$5:$A$1504,$A1125,$D$5:$D$1504,"تسليم",$E$5:$E$1504,"&lt;="&amp;$E1125)=0),"لا يوجد تسليم قبل الحركة دي",""))))))</f>
        <v/>
      </c>
    </row>
    <row r="1126" customFormat="false" ht="15" hidden="false" customHeight="false" outlineLevel="0" collapsed="false">
      <c r="A1126" s="20"/>
      <c r="B1126" s="35" t="str">
        <f aca="false">IF($A1126="","",IFERROR(INDEX(مخرج_البند,MATCH($A1126,قائمة_المخرجات,0)),""))</f>
        <v/>
      </c>
      <c r="C1126" s="30" t="str">
        <f aca="false">IF($A1126="","",IFERROR(INDEX(مخرج_الوصف,MATCH($A1126,قائمة_المخرجات,0)),""))</f>
        <v/>
      </c>
      <c r="D1126" s="20"/>
      <c r="E1126" s="31"/>
      <c r="F1126" s="22"/>
      <c r="G1126" s="36" t="str">
        <f aca="false">IF(OR($A1126="",$D1126&lt;&gt;"تسليم",NOT(ISNUMBER($E1126))),"",COUNTIFS($A$5:$A$1504,$A1126,$D$5:$D$1504,"تسليم",$E$5:$E$1504,"&lt;"&amp;$E1126)+1)</f>
        <v/>
      </c>
      <c r="H1126" s="33" t="str">
        <f aca="false">IF($G1126="","",_xlfn.MINIFS($E$5:$E$1504,$A$5:$A$1504,$A1126,$D$5:$D$1504,"&lt;&gt;تسليم",$E$5:$E$1504,"&gt;="&amp;$E1126))</f>
        <v/>
      </c>
      <c r="I1126" s="33" t="str">
        <f aca="false">IF($G1126="","",_xlfn.MINIFS($E$5:$E$1504,$A$5:$A$1504,$A1126,$D$5:$D$1504,"تسليم",$E$5:$E$1504,"&gt;"&amp;$E1126))</f>
        <v/>
      </c>
      <c r="J1126" s="33" t="str">
        <f aca="false">IF($G1126="","",IF(H1126&gt;0,IF(I1126&gt;0,MIN(H1126,I1126),H1126),IF(I1126&gt;0,I1126,تاريخ_الاحتساب)))</f>
        <v/>
      </c>
      <c r="K1126" s="34" t="str">
        <f aca="false">IF($G1126="","",IF(AND(H1126=0,I1126=0),"جارية","مغلقة"))</f>
        <v/>
      </c>
      <c r="L1126" s="26" t="str">
        <f aca="false">IF($G1126="","",MAX(0,NETWORKDAYS.INTL($E1126,J1126,رمز_العطلة,أيام_الأجازات)-1))</f>
        <v/>
      </c>
      <c r="M1126" s="26" t="str">
        <f aca="false">IF($G1126="","",MAX(0,L1126-مهلة_المراجعة))</f>
        <v/>
      </c>
      <c r="N1126" s="30" t="str">
        <f aca="false">IF($A1126="",IF(OR($D1126&lt;&gt;"",$E1126&lt;&gt;""),"رقم المخرج ناقص",""),IF(ISNA(MATCH($A1126,قائمة_المخرجات,0)),"رقم مخرج غير موجود",IF($D1126="","نوع الحركة ناقص",IF(NOT(ISNUMBER($E1126)),"التاريخ ناقص",IF($E1126&gt;تاريخ_الاحتساب,"تاريخ بعد تاريخ الاحتساب",IF(AND($D1126&lt;&gt;"تسليم",COUNTIFS($A$5:$A$1504,$A1126,$D$5:$D$1504,"تسليم",$E$5:$E$1504,"&lt;="&amp;$E1126)=0),"لا يوجد تسليم قبل الحركة دي",""))))))</f>
        <v/>
      </c>
    </row>
    <row r="1127" customFormat="false" ht="15" hidden="false" customHeight="false" outlineLevel="0" collapsed="false">
      <c r="A1127" s="20"/>
      <c r="B1127" s="35" t="str">
        <f aca="false">IF($A1127="","",IFERROR(INDEX(مخرج_البند,MATCH($A1127,قائمة_المخرجات,0)),""))</f>
        <v/>
      </c>
      <c r="C1127" s="30" t="str">
        <f aca="false">IF($A1127="","",IFERROR(INDEX(مخرج_الوصف,MATCH($A1127,قائمة_المخرجات,0)),""))</f>
        <v/>
      </c>
      <c r="D1127" s="20"/>
      <c r="E1127" s="31"/>
      <c r="F1127" s="22"/>
      <c r="G1127" s="36" t="str">
        <f aca="false">IF(OR($A1127="",$D1127&lt;&gt;"تسليم",NOT(ISNUMBER($E1127))),"",COUNTIFS($A$5:$A$1504,$A1127,$D$5:$D$1504,"تسليم",$E$5:$E$1504,"&lt;"&amp;$E1127)+1)</f>
        <v/>
      </c>
      <c r="H1127" s="33" t="str">
        <f aca="false">IF($G1127="","",_xlfn.MINIFS($E$5:$E$1504,$A$5:$A$1504,$A1127,$D$5:$D$1504,"&lt;&gt;تسليم",$E$5:$E$1504,"&gt;="&amp;$E1127))</f>
        <v/>
      </c>
      <c r="I1127" s="33" t="str">
        <f aca="false">IF($G1127="","",_xlfn.MINIFS($E$5:$E$1504,$A$5:$A$1504,$A1127,$D$5:$D$1504,"تسليم",$E$5:$E$1504,"&gt;"&amp;$E1127))</f>
        <v/>
      </c>
      <c r="J1127" s="33" t="str">
        <f aca="false">IF($G1127="","",IF(H1127&gt;0,IF(I1127&gt;0,MIN(H1127,I1127),H1127),IF(I1127&gt;0,I1127,تاريخ_الاحتساب)))</f>
        <v/>
      </c>
      <c r="K1127" s="34" t="str">
        <f aca="false">IF($G1127="","",IF(AND(H1127=0,I1127=0),"جارية","مغلقة"))</f>
        <v/>
      </c>
      <c r="L1127" s="26" t="str">
        <f aca="false">IF($G1127="","",MAX(0,NETWORKDAYS.INTL($E1127,J1127,رمز_العطلة,أيام_الأجازات)-1))</f>
        <v/>
      </c>
      <c r="M1127" s="26" t="str">
        <f aca="false">IF($G1127="","",MAX(0,L1127-مهلة_المراجعة))</f>
        <v/>
      </c>
      <c r="N1127" s="30" t="str">
        <f aca="false">IF($A1127="",IF(OR($D1127&lt;&gt;"",$E1127&lt;&gt;""),"رقم المخرج ناقص",""),IF(ISNA(MATCH($A1127,قائمة_المخرجات,0)),"رقم مخرج غير موجود",IF($D1127="","نوع الحركة ناقص",IF(NOT(ISNUMBER($E1127)),"التاريخ ناقص",IF($E1127&gt;تاريخ_الاحتساب,"تاريخ بعد تاريخ الاحتساب",IF(AND($D1127&lt;&gt;"تسليم",COUNTIFS($A$5:$A$1504,$A1127,$D$5:$D$1504,"تسليم",$E$5:$E$1504,"&lt;="&amp;$E1127)=0),"لا يوجد تسليم قبل الحركة دي",""))))))</f>
        <v/>
      </c>
    </row>
    <row r="1128" customFormat="false" ht="15" hidden="false" customHeight="false" outlineLevel="0" collapsed="false">
      <c r="A1128" s="20"/>
      <c r="B1128" s="35" t="str">
        <f aca="false">IF($A1128="","",IFERROR(INDEX(مخرج_البند,MATCH($A1128,قائمة_المخرجات,0)),""))</f>
        <v/>
      </c>
      <c r="C1128" s="30" t="str">
        <f aca="false">IF($A1128="","",IFERROR(INDEX(مخرج_الوصف,MATCH($A1128,قائمة_المخرجات,0)),""))</f>
        <v/>
      </c>
      <c r="D1128" s="20"/>
      <c r="E1128" s="31"/>
      <c r="F1128" s="22"/>
      <c r="G1128" s="36" t="str">
        <f aca="false">IF(OR($A1128="",$D1128&lt;&gt;"تسليم",NOT(ISNUMBER($E1128))),"",COUNTIFS($A$5:$A$1504,$A1128,$D$5:$D$1504,"تسليم",$E$5:$E$1504,"&lt;"&amp;$E1128)+1)</f>
        <v/>
      </c>
      <c r="H1128" s="33" t="str">
        <f aca="false">IF($G1128="","",_xlfn.MINIFS($E$5:$E$1504,$A$5:$A$1504,$A1128,$D$5:$D$1504,"&lt;&gt;تسليم",$E$5:$E$1504,"&gt;="&amp;$E1128))</f>
        <v/>
      </c>
      <c r="I1128" s="33" t="str">
        <f aca="false">IF($G1128="","",_xlfn.MINIFS($E$5:$E$1504,$A$5:$A$1504,$A1128,$D$5:$D$1504,"تسليم",$E$5:$E$1504,"&gt;"&amp;$E1128))</f>
        <v/>
      </c>
      <c r="J1128" s="33" t="str">
        <f aca="false">IF($G1128="","",IF(H1128&gt;0,IF(I1128&gt;0,MIN(H1128,I1128),H1128),IF(I1128&gt;0,I1128,تاريخ_الاحتساب)))</f>
        <v/>
      </c>
      <c r="K1128" s="34" t="str">
        <f aca="false">IF($G1128="","",IF(AND(H1128=0,I1128=0),"جارية","مغلقة"))</f>
        <v/>
      </c>
      <c r="L1128" s="26" t="str">
        <f aca="false">IF($G1128="","",MAX(0,NETWORKDAYS.INTL($E1128,J1128,رمز_العطلة,أيام_الأجازات)-1))</f>
        <v/>
      </c>
      <c r="M1128" s="26" t="str">
        <f aca="false">IF($G1128="","",MAX(0,L1128-مهلة_المراجعة))</f>
        <v/>
      </c>
      <c r="N1128" s="30" t="str">
        <f aca="false">IF($A1128="",IF(OR($D1128&lt;&gt;"",$E1128&lt;&gt;""),"رقم المخرج ناقص",""),IF(ISNA(MATCH($A1128,قائمة_المخرجات,0)),"رقم مخرج غير موجود",IF($D1128="","نوع الحركة ناقص",IF(NOT(ISNUMBER($E1128)),"التاريخ ناقص",IF($E1128&gt;تاريخ_الاحتساب,"تاريخ بعد تاريخ الاحتساب",IF(AND($D1128&lt;&gt;"تسليم",COUNTIFS($A$5:$A$1504,$A1128,$D$5:$D$1504,"تسليم",$E$5:$E$1504,"&lt;="&amp;$E1128)=0),"لا يوجد تسليم قبل الحركة دي",""))))))</f>
        <v/>
      </c>
    </row>
    <row r="1129" customFormat="false" ht="15" hidden="false" customHeight="false" outlineLevel="0" collapsed="false">
      <c r="A1129" s="20"/>
      <c r="B1129" s="35" t="str">
        <f aca="false">IF($A1129="","",IFERROR(INDEX(مخرج_البند,MATCH($A1129,قائمة_المخرجات,0)),""))</f>
        <v/>
      </c>
      <c r="C1129" s="30" t="str">
        <f aca="false">IF($A1129="","",IFERROR(INDEX(مخرج_الوصف,MATCH($A1129,قائمة_المخرجات,0)),""))</f>
        <v/>
      </c>
      <c r="D1129" s="20"/>
      <c r="E1129" s="31"/>
      <c r="F1129" s="22"/>
      <c r="G1129" s="36" t="str">
        <f aca="false">IF(OR($A1129="",$D1129&lt;&gt;"تسليم",NOT(ISNUMBER($E1129))),"",COUNTIFS($A$5:$A$1504,$A1129,$D$5:$D$1504,"تسليم",$E$5:$E$1504,"&lt;"&amp;$E1129)+1)</f>
        <v/>
      </c>
      <c r="H1129" s="33" t="str">
        <f aca="false">IF($G1129="","",_xlfn.MINIFS($E$5:$E$1504,$A$5:$A$1504,$A1129,$D$5:$D$1504,"&lt;&gt;تسليم",$E$5:$E$1504,"&gt;="&amp;$E1129))</f>
        <v/>
      </c>
      <c r="I1129" s="33" t="str">
        <f aca="false">IF($G1129="","",_xlfn.MINIFS($E$5:$E$1504,$A$5:$A$1504,$A1129,$D$5:$D$1504,"تسليم",$E$5:$E$1504,"&gt;"&amp;$E1129))</f>
        <v/>
      </c>
      <c r="J1129" s="33" t="str">
        <f aca="false">IF($G1129="","",IF(H1129&gt;0,IF(I1129&gt;0,MIN(H1129,I1129),H1129),IF(I1129&gt;0,I1129,تاريخ_الاحتساب)))</f>
        <v/>
      </c>
      <c r="K1129" s="34" t="str">
        <f aca="false">IF($G1129="","",IF(AND(H1129=0,I1129=0),"جارية","مغلقة"))</f>
        <v/>
      </c>
      <c r="L1129" s="26" t="str">
        <f aca="false">IF($G1129="","",MAX(0,NETWORKDAYS.INTL($E1129,J1129,رمز_العطلة,أيام_الأجازات)-1))</f>
        <v/>
      </c>
      <c r="M1129" s="26" t="str">
        <f aca="false">IF($G1129="","",MAX(0,L1129-مهلة_المراجعة))</f>
        <v/>
      </c>
      <c r="N1129" s="30" t="str">
        <f aca="false">IF($A1129="",IF(OR($D1129&lt;&gt;"",$E1129&lt;&gt;""),"رقم المخرج ناقص",""),IF(ISNA(MATCH($A1129,قائمة_المخرجات,0)),"رقم مخرج غير موجود",IF($D1129="","نوع الحركة ناقص",IF(NOT(ISNUMBER($E1129)),"التاريخ ناقص",IF($E1129&gt;تاريخ_الاحتساب,"تاريخ بعد تاريخ الاحتساب",IF(AND($D1129&lt;&gt;"تسليم",COUNTIFS($A$5:$A$1504,$A1129,$D$5:$D$1504,"تسليم",$E$5:$E$1504,"&lt;="&amp;$E1129)=0),"لا يوجد تسليم قبل الحركة دي",""))))))</f>
        <v/>
      </c>
    </row>
    <row r="1130" customFormat="false" ht="15" hidden="false" customHeight="false" outlineLevel="0" collapsed="false">
      <c r="A1130" s="20"/>
      <c r="B1130" s="35" t="str">
        <f aca="false">IF($A1130="","",IFERROR(INDEX(مخرج_البند,MATCH($A1130,قائمة_المخرجات,0)),""))</f>
        <v/>
      </c>
      <c r="C1130" s="30" t="str">
        <f aca="false">IF($A1130="","",IFERROR(INDEX(مخرج_الوصف,MATCH($A1130,قائمة_المخرجات,0)),""))</f>
        <v/>
      </c>
      <c r="D1130" s="20"/>
      <c r="E1130" s="31"/>
      <c r="F1130" s="22"/>
      <c r="G1130" s="36" t="str">
        <f aca="false">IF(OR($A1130="",$D1130&lt;&gt;"تسليم",NOT(ISNUMBER($E1130))),"",COUNTIFS($A$5:$A$1504,$A1130,$D$5:$D$1504,"تسليم",$E$5:$E$1504,"&lt;"&amp;$E1130)+1)</f>
        <v/>
      </c>
      <c r="H1130" s="33" t="str">
        <f aca="false">IF($G1130="","",_xlfn.MINIFS($E$5:$E$1504,$A$5:$A$1504,$A1130,$D$5:$D$1504,"&lt;&gt;تسليم",$E$5:$E$1504,"&gt;="&amp;$E1130))</f>
        <v/>
      </c>
      <c r="I1130" s="33" t="str">
        <f aca="false">IF($G1130="","",_xlfn.MINIFS($E$5:$E$1504,$A$5:$A$1504,$A1130,$D$5:$D$1504,"تسليم",$E$5:$E$1504,"&gt;"&amp;$E1130))</f>
        <v/>
      </c>
      <c r="J1130" s="33" t="str">
        <f aca="false">IF($G1130="","",IF(H1130&gt;0,IF(I1130&gt;0,MIN(H1130,I1130),H1130),IF(I1130&gt;0,I1130,تاريخ_الاحتساب)))</f>
        <v/>
      </c>
      <c r="K1130" s="34" t="str">
        <f aca="false">IF($G1130="","",IF(AND(H1130=0,I1130=0),"جارية","مغلقة"))</f>
        <v/>
      </c>
      <c r="L1130" s="26" t="str">
        <f aca="false">IF($G1130="","",MAX(0,NETWORKDAYS.INTL($E1130,J1130,رمز_العطلة,أيام_الأجازات)-1))</f>
        <v/>
      </c>
      <c r="M1130" s="26" t="str">
        <f aca="false">IF($G1130="","",MAX(0,L1130-مهلة_المراجعة))</f>
        <v/>
      </c>
      <c r="N1130" s="30" t="str">
        <f aca="false">IF($A1130="",IF(OR($D1130&lt;&gt;"",$E1130&lt;&gt;""),"رقم المخرج ناقص",""),IF(ISNA(MATCH($A1130,قائمة_المخرجات,0)),"رقم مخرج غير موجود",IF($D1130="","نوع الحركة ناقص",IF(NOT(ISNUMBER($E1130)),"التاريخ ناقص",IF($E1130&gt;تاريخ_الاحتساب,"تاريخ بعد تاريخ الاحتساب",IF(AND($D1130&lt;&gt;"تسليم",COUNTIFS($A$5:$A$1504,$A1130,$D$5:$D$1504,"تسليم",$E$5:$E$1504,"&lt;="&amp;$E1130)=0),"لا يوجد تسليم قبل الحركة دي",""))))))</f>
        <v/>
      </c>
    </row>
    <row r="1131" customFormat="false" ht="15" hidden="false" customHeight="false" outlineLevel="0" collapsed="false">
      <c r="A1131" s="20"/>
      <c r="B1131" s="35" t="str">
        <f aca="false">IF($A1131="","",IFERROR(INDEX(مخرج_البند,MATCH($A1131,قائمة_المخرجات,0)),""))</f>
        <v/>
      </c>
      <c r="C1131" s="30" t="str">
        <f aca="false">IF($A1131="","",IFERROR(INDEX(مخرج_الوصف,MATCH($A1131,قائمة_المخرجات,0)),""))</f>
        <v/>
      </c>
      <c r="D1131" s="20"/>
      <c r="E1131" s="31"/>
      <c r="F1131" s="22"/>
      <c r="G1131" s="36" t="str">
        <f aca="false">IF(OR($A1131="",$D1131&lt;&gt;"تسليم",NOT(ISNUMBER($E1131))),"",COUNTIFS($A$5:$A$1504,$A1131,$D$5:$D$1504,"تسليم",$E$5:$E$1504,"&lt;"&amp;$E1131)+1)</f>
        <v/>
      </c>
      <c r="H1131" s="33" t="str">
        <f aca="false">IF($G1131="","",_xlfn.MINIFS($E$5:$E$1504,$A$5:$A$1504,$A1131,$D$5:$D$1504,"&lt;&gt;تسليم",$E$5:$E$1504,"&gt;="&amp;$E1131))</f>
        <v/>
      </c>
      <c r="I1131" s="33" t="str">
        <f aca="false">IF($G1131="","",_xlfn.MINIFS($E$5:$E$1504,$A$5:$A$1504,$A1131,$D$5:$D$1504,"تسليم",$E$5:$E$1504,"&gt;"&amp;$E1131))</f>
        <v/>
      </c>
      <c r="J1131" s="33" t="str">
        <f aca="false">IF($G1131="","",IF(H1131&gt;0,IF(I1131&gt;0,MIN(H1131,I1131),H1131),IF(I1131&gt;0,I1131,تاريخ_الاحتساب)))</f>
        <v/>
      </c>
      <c r="K1131" s="34" t="str">
        <f aca="false">IF($G1131="","",IF(AND(H1131=0,I1131=0),"جارية","مغلقة"))</f>
        <v/>
      </c>
      <c r="L1131" s="26" t="str">
        <f aca="false">IF($G1131="","",MAX(0,NETWORKDAYS.INTL($E1131,J1131,رمز_العطلة,أيام_الأجازات)-1))</f>
        <v/>
      </c>
      <c r="M1131" s="26" t="str">
        <f aca="false">IF($G1131="","",MAX(0,L1131-مهلة_المراجعة))</f>
        <v/>
      </c>
      <c r="N1131" s="30" t="str">
        <f aca="false">IF($A1131="",IF(OR($D1131&lt;&gt;"",$E1131&lt;&gt;""),"رقم المخرج ناقص",""),IF(ISNA(MATCH($A1131,قائمة_المخرجات,0)),"رقم مخرج غير موجود",IF($D1131="","نوع الحركة ناقص",IF(NOT(ISNUMBER($E1131)),"التاريخ ناقص",IF($E1131&gt;تاريخ_الاحتساب,"تاريخ بعد تاريخ الاحتساب",IF(AND($D1131&lt;&gt;"تسليم",COUNTIFS($A$5:$A$1504,$A1131,$D$5:$D$1504,"تسليم",$E$5:$E$1504,"&lt;="&amp;$E1131)=0),"لا يوجد تسليم قبل الحركة دي",""))))))</f>
        <v/>
      </c>
    </row>
    <row r="1132" customFormat="false" ht="15" hidden="false" customHeight="false" outlineLevel="0" collapsed="false">
      <c r="A1132" s="20"/>
      <c r="B1132" s="35" t="str">
        <f aca="false">IF($A1132="","",IFERROR(INDEX(مخرج_البند,MATCH($A1132,قائمة_المخرجات,0)),""))</f>
        <v/>
      </c>
      <c r="C1132" s="30" t="str">
        <f aca="false">IF($A1132="","",IFERROR(INDEX(مخرج_الوصف,MATCH($A1132,قائمة_المخرجات,0)),""))</f>
        <v/>
      </c>
      <c r="D1132" s="20"/>
      <c r="E1132" s="31"/>
      <c r="F1132" s="22"/>
      <c r="G1132" s="36" t="str">
        <f aca="false">IF(OR($A1132="",$D1132&lt;&gt;"تسليم",NOT(ISNUMBER($E1132))),"",COUNTIFS($A$5:$A$1504,$A1132,$D$5:$D$1504,"تسليم",$E$5:$E$1504,"&lt;"&amp;$E1132)+1)</f>
        <v/>
      </c>
      <c r="H1132" s="33" t="str">
        <f aca="false">IF($G1132="","",_xlfn.MINIFS($E$5:$E$1504,$A$5:$A$1504,$A1132,$D$5:$D$1504,"&lt;&gt;تسليم",$E$5:$E$1504,"&gt;="&amp;$E1132))</f>
        <v/>
      </c>
      <c r="I1132" s="33" t="str">
        <f aca="false">IF($G1132="","",_xlfn.MINIFS($E$5:$E$1504,$A$5:$A$1504,$A1132,$D$5:$D$1504,"تسليم",$E$5:$E$1504,"&gt;"&amp;$E1132))</f>
        <v/>
      </c>
      <c r="J1132" s="33" t="str">
        <f aca="false">IF($G1132="","",IF(H1132&gt;0,IF(I1132&gt;0,MIN(H1132,I1132),H1132),IF(I1132&gt;0,I1132,تاريخ_الاحتساب)))</f>
        <v/>
      </c>
      <c r="K1132" s="34" t="str">
        <f aca="false">IF($G1132="","",IF(AND(H1132=0,I1132=0),"جارية","مغلقة"))</f>
        <v/>
      </c>
      <c r="L1132" s="26" t="str">
        <f aca="false">IF($G1132="","",MAX(0,NETWORKDAYS.INTL($E1132,J1132,رمز_العطلة,أيام_الأجازات)-1))</f>
        <v/>
      </c>
      <c r="M1132" s="26" t="str">
        <f aca="false">IF($G1132="","",MAX(0,L1132-مهلة_المراجعة))</f>
        <v/>
      </c>
      <c r="N1132" s="30" t="str">
        <f aca="false">IF($A1132="",IF(OR($D1132&lt;&gt;"",$E1132&lt;&gt;""),"رقم المخرج ناقص",""),IF(ISNA(MATCH($A1132,قائمة_المخرجات,0)),"رقم مخرج غير موجود",IF($D1132="","نوع الحركة ناقص",IF(NOT(ISNUMBER($E1132)),"التاريخ ناقص",IF($E1132&gt;تاريخ_الاحتساب,"تاريخ بعد تاريخ الاحتساب",IF(AND($D1132&lt;&gt;"تسليم",COUNTIFS($A$5:$A$1504,$A1132,$D$5:$D$1504,"تسليم",$E$5:$E$1504,"&lt;="&amp;$E1132)=0),"لا يوجد تسليم قبل الحركة دي",""))))))</f>
        <v/>
      </c>
    </row>
    <row r="1133" customFormat="false" ht="15" hidden="false" customHeight="false" outlineLevel="0" collapsed="false">
      <c r="A1133" s="20"/>
      <c r="B1133" s="35" t="str">
        <f aca="false">IF($A1133="","",IFERROR(INDEX(مخرج_البند,MATCH($A1133,قائمة_المخرجات,0)),""))</f>
        <v/>
      </c>
      <c r="C1133" s="30" t="str">
        <f aca="false">IF($A1133="","",IFERROR(INDEX(مخرج_الوصف,MATCH($A1133,قائمة_المخرجات,0)),""))</f>
        <v/>
      </c>
      <c r="D1133" s="20"/>
      <c r="E1133" s="31"/>
      <c r="F1133" s="22"/>
      <c r="G1133" s="36" t="str">
        <f aca="false">IF(OR($A1133="",$D1133&lt;&gt;"تسليم",NOT(ISNUMBER($E1133))),"",COUNTIFS($A$5:$A$1504,$A1133,$D$5:$D$1504,"تسليم",$E$5:$E$1504,"&lt;"&amp;$E1133)+1)</f>
        <v/>
      </c>
      <c r="H1133" s="33" t="str">
        <f aca="false">IF($G1133="","",_xlfn.MINIFS($E$5:$E$1504,$A$5:$A$1504,$A1133,$D$5:$D$1504,"&lt;&gt;تسليم",$E$5:$E$1504,"&gt;="&amp;$E1133))</f>
        <v/>
      </c>
      <c r="I1133" s="33" t="str">
        <f aca="false">IF($G1133="","",_xlfn.MINIFS($E$5:$E$1504,$A$5:$A$1504,$A1133,$D$5:$D$1504,"تسليم",$E$5:$E$1504,"&gt;"&amp;$E1133))</f>
        <v/>
      </c>
      <c r="J1133" s="33" t="str">
        <f aca="false">IF($G1133="","",IF(H1133&gt;0,IF(I1133&gt;0,MIN(H1133,I1133),H1133),IF(I1133&gt;0,I1133,تاريخ_الاحتساب)))</f>
        <v/>
      </c>
      <c r="K1133" s="34" t="str">
        <f aca="false">IF($G1133="","",IF(AND(H1133=0,I1133=0),"جارية","مغلقة"))</f>
        <v/>
      </c>
      <c r="L1133" s="26" t="str">
        <f aca="false">IF($G1133="","",MAX(0,NETWORKDAYS.INTL($E1133,J1133,رمز_العطلة,أيام_الأجازات)-1))</f>
        <v/>
      </c>
      <c r="M1133" s="26" t="str">
        <f aca="false">IF($G1133="","",MAX(0,L1133-مهلة_المراجعة))</f>
        <v/>
      </c>
      <c r="N1133" s="30" t="str">
        <f aca="false">IF($A1133="",IF(OR($D1133&lt;&gt;"",$E1133&lt;&gt;""),"رقم المخرج ناقص",""),IF(ISNA(MATCH($A1133,قائمة_المخرجات,0)),"رقم مخرج غير موجود",IF($D1133="","نوع الحركة ناقص",IF(NOT(ISNUMBER($E1133)),"التاريخ ناقص",IF($E1133&gt;تاريخ_الاحتساب,"تاريخ بعد تاريخ الاحتساب",IF(AND($D1133&lt;&gt;"تسليم",COUNTIFS($A$5:$A$1504,$A1133,$D$5:$D$1504,"تسليم",$E$5:$E$1504,"&lt;="&amp;$E1133)=0),"لا يوجد تسليم قبل الحركة دي",""))))))</f>
        <v/>
      </c>
    </row>
    <row r="1134" customFormat="false" ht="15" hidden="false" customHeight="false" outlineLevel="0" collapsed="false">
      <c r="A1134" s="20"/>
      <c r="B1134" s="35" t="str">
        <f aca="false">IF($A1134="","",IFERROR(INDEX(مخرج_البند,MATCH($A1134,قائمة_المخرجات,0)),""))</f>
        <v/>
      </c>
      <c r="C1134" s="30" t="str">
        <f aca="false">IF($A1134="","",IFERROR(INDEX(مخرج_الوصف,MATCH($A1134,قائمة_المخرجات,0)),""))</f>
        <v/>
      </c>
      <c r="D1134" s="20"/>
      <c r="E1134" s="31"/>
      <c r="F1134" s="22"/>
      <c r="G1134" s="36" t="str">
        <f aca="false">IF(OR($A1134="",$D1134&lt;&gt;"تسليم",NOT(ISNUMBER($E1134))),"",COUNTIFS($A$5:$A$1504,$A1134,$D$5:$D$1504,"تسليم",$E$5:$E$1504,"&lt;"&amp;$E1134)+1)</f>
        <v/>
      </c>
      <c r="H1134" s="33" t="str">
        <f aca="false">IF($G1134="","",_xlfn.MINIFS($E$5:$E$1504,$A$5:$A$1504,$A1134,$D$5:$D$1504,"&lt;&gt;تسليم",$E$5:$E$1504,"&gt;="&amp;$E1134))</f>
        <v/>
      </c>
      <c r="I1134" s="33" t="str">
        <f aca="false">IF($G1134="","",_xlfn.MINIFS($E$5:$E$1504,$A$5:$A$1504,$A1134,$D$5:$D$1504,"تسليم",$E$5:$E$1504,"&gt;"&amp;$E1134))</f>
        <v/>
      </c>
      <c r="J1134" s="33" t="str">
        <f aca="false">IF($G1134="","",IF(H1134&gt;0,IF(I1134&gt;0,MIN(H1134,I1134),H1134),IF(I1134&gt;0,I1134,تاريخ_الاحتساب)))</f>
        <v/>
      </c>
      <c r="K1134" s="34" t="str">
        <f aca="false">IF($G1134="","",IF(AND(H1134=0,I1134=0),"جارية","مغلقة"))</f>
        <v/>
      </c>
      <c r="L1134" s="26" t="str">
        <f aca="false">IF($G1134="","",MAX(0,NETWORKDAYS.INTL($E1134,J1134,رمز_العطلة,أيام_الأجازات)-1))</f>
        <v/>
      </c>
      <c r="M1134" s="26" t="str">
        <f aca="false">IF($G1134="","",MAX(0,L1134-مهلة_المراجعة))</f>
        <v/>
      </c>
      <c r="N1134" s="30" t="str">
        <f aca="false">IF($A1134="",IF(OR($D1134&lt;&gt;"",$E1134&lt;&gt;""),"رقم المخرج ناقص",""),IF(ISNA(MATCH($A1134,قائمة_المخرجات,0)),"رقم مخرج غير موجود",IF($D1134="","نوع الحركة ناقص",IF(NOT(ISNUMBER($E1134)),"التاريخ ناقص",IF($E1134&gt;تاريخ_الاحتساب,"تاريخ بعد تاريخ الاحتساب",IF(AND($D1134&lt;&gt;"تسليم",COUNTIFS($A$5:$A$1504,$A1134,$D$5:$D$1504,"تسليم",$E$5:$E$1504,"&lt;="&amp;$E1134)=0),"لا يوجد تسليم قبل الحركة دي",""))))))</f>
        <v/>
      </c>
    </row>
    <row r="1135" customFormat="false" ht="15" hidden="false" customHeight="false" outlineLevel="0" collapsed="false">
      <c r="A1135" s="20"/>
      <c r="B1135" s="35" t="str">
        <f aca="false">IF($A1135="","",IFERROR(INDEX(مخرج_البند,MATCH($A1135,قائمة_المخرجات,0)),""))</f>
        <v/>
      </c>
      <c r="C1135" s="30" t="str">
        <f aca="false">IF($A1135="","",IFERROR(INDEX(مخرج_الوصف,MATCH($A1135,قائمة_المخرجات,0)),""))</f>
        <v/>
      </c>
      <c r="D1135" s="20"/>
      <c r="E1135" s="31"/>
      <c r="F1135" s="22"/>
      <c r="G1135" s="36" t="str">
        <f aca="false">IF(OR($A1135="",$D1135&lt;&gt;"تسليم",NOT(ISNUMBER($E1135))),"",COUNTIFS($A$5:$A$1504,$A1135,$D$5:$D$1504,"تسليم",$E$5:$E$1504,"&lt;"&amp;$E1135)+1)</f>
        <v/>
      </c>
      <c r="H1135" s="33" t="str">
        <f aca="false">IF($G1135="","",_xlfn.MINIFS($E$5:$E$1504,$A$5:$A$1504,$A1135,$D$5:$D$1504,"&lt;&gt;تسليم",$E$5:$E$1504,"&gt;="&amp;$E1135))</f>
        <v/>
      </c>
      <c r="I1135" s="33" t="str">
        <f aca="false">IF($G1135="","",_xlfn.MINIFS($E$5:$E$1504,$A$5:$A$1504,$A1135,$D$5:$D$1504,"تسليم",$E$5:$E$1504,"&gt;"&amp;$E1135))</f>
        <v/>
      </c>
      <c r="J1135" s="33" t="str">
        <f aca="false">IF($G1135="","",IF(H1135&gt;0,IF(I1135&gt;0,MIN(H1135,I1135),H1135),IF(I1135&gt;0,I1135,تاريخ_الاحتساب)))</f>
        <v/>
      </c>
      <c r="K1135" s="34" t="str">
        <f aca="false">IF($G1135="","",IF(AND(H1135=0,I1135=0),"جارية","مغلقة"))</f>
        <v/>
      </c>
      <c r="L1135" s="26" t="str">
        <f aca="false">IF($G1135="","",MAX(0,NETWORKDAYS.INTL($E1135,J1135,رمز_العطلة,أيام_الأجازات)-1))</f>
        <v/>
      </c>
      <c r="M1135" s="26" t="str">
        <f aca="false">IF($G1135="","",MAX(0,L1135-مهلة_المراجعة))</f>
        <v/>
      </c>
      <c r="N1135" s="30" t="str">
        <f aca="false">IF($A1135="",IF(OR($D1135&lt;&gt;"",$E1135&lt;&gt;""),"رقم المخرج ناقص",""),IF(ISNA(MATCH($A1135,قائمة_المخرجات,0)),"رقم مخرج غير موجود",IF($D1135="","نوع الحركة ناقص",IF(NOT(ISNUMBER($E1135)),"التاريخ ناقص",IF($E1135&gt;تاريخ_الاحتساب,"تاريخ بعد تاريخ الاحتساب",IF(AND($D1135&lt;&gt;"تسليم",COUNTIFS($A$5:$A$1504,$A1135,$D$5:$D$1504,"تسليم",$E$5:$E$1504,"&lt;="&amp;$E1135)=0),"لا يوجد تسليم قبل الحركة دي",""))))))</f>
        <v/>
      </c>
    </row>
    <row r="1136" customFormat="false" ht="15" hidden="false" customHeight="false" outlineLevel="0" collapsed="false">
      <c r="A1136" s="20"/>
      <c r="B1136" s="35" t="str">
        <f aca="false">IF($A1136="","",IFERROR(INDEX(مخرج_البند,MATCH($A1136,قائمة_المخرجات,0)),""))</f>
        <v/>
      </c>
      <c r="C1136" s="30" t="str">
        <f aca="false">IF($A1136="","",IFERROR(INDEX(مخرج_الوصف,MATCH($A1136,قائمة_المخرجات,0)),""))</f>
        <v/>
      </c>
      <c r="D1136" s="20"/>
      <c r="E1136" s="31"/>
      <c r="F1136" s="22"/>
      <c r="G1136" s="36" t="str">
        <f aca="false">IF(OR($A1136="",$D1136&lt;&gt;"تسليم",NOT(ISNUMBER($E1136))),"",COUNTIFS($A$5:$A$1504,$A1136,$D$5:$D$1504,"تسليم",$E$5:$E$1504,"&lt;"&amp;$E1136)+1)</f>
        <v/>
      </c>
      <c r="H1136" s="33" t="str">
        <f aca="false">IF($G1136="","",_xlfn.MINIFS($E$5:$E$1504,$A$5:$A$1504,$A1136,$D$5:$D$1504,"&lt;&gt;تسليم",$E$5:$E$1504,"&gt;="&amp;$E1136))</f>
        <v/>
      </c>
      <c r="I1136" s="33" t="str">
        <f aca="false">IF($G1136="","",_xlfn.MINIFS($E$5:$E$1504,$A$5:$A$1504,$A1136,$D$5:$D$1504,"تسليم",$E$5:$E$1504,"&gt;"&amp;$E1136))</f>
        <v/>
      </c>
      <c r="J1136" s="33" t="str">
        <f aca="false">IF($G1136="","",IF(H1136&gt;0,IF(I1136&gt;0,MIN(H1136,I1136),H1136),IF(I1136&gt;0,I1136,تاريخ_الاحتساب)))</f>
        <v/>
      </c>
      <c r="K1136" s="34" t="str">
        <f aca="false">IF($G1136="","",IF(AND(H1136=0,I1136=0),"جارية","مغلقة"))</f>
        <v/>
      </c>
      <c r="L1136" s="26" t="str">
        <f aca="false">IF($G1136="","",MAX(0,NETWORKDAYS.INTL($E1136,J1136,رمز_العطلة,أيام_الأجازات)-1))</f>
        <v/>
      </c>
      <c r="M1136" s="26" t="str">
        <f aca="false">IF($G1136="","",MAX(0,L1136-مهلة_المراجعة))</f>
        <v/>
      </c>
      <c r="N1136" s="30" t="str">
        <f aca="false">IF($A1136="",IF(OR($D1136&lt;&gt;"",$E1136&lt;&gt;""),"رقم المخرج ناقص",""),IF(ISNA(MATCH($A1136,قائمة_المخرجات,0)),"رقم مخرج غير موجود",IF($D1136="","نوع الحركة ناقص",IF(NOT(ISNUMBER($E1136)),"التاريخ ناقص",IF($E1136&gt;تاريخ_الاحتساب,"تاريخ بعد تاريخ الاحتساب",IF(AND($D1136&lt;&gt;"تسليم",COUNTIFS($A$5:$A$1504,$A1136,$D$5:$D$1504,"تسليم",$E$5:$E$1504,"&lt;="&amp;$E1136)=0),"لا يوجد تسليم قبل الحركة دي",""))))))</f>
        <v/>
      </c>
    </row>
    <row r="1137" customFormat="false" ht="15" hidden="false" customHeight="false" outlineLevel="0" collapsed="false">
      <c r="A1137" s="20"/>
      <c r="B1137" s="35" t="str">
        <f aca="false">IF($A1137="","",IFERROR(INDEX(مخرج_البند,MATCH($A1137,قائمة_المخرجات,0)),""))</f>
        <v/>
      </c>
      <c r="C1137" s="30" t="str">
        <f aca="false">IF($A1137="","",IFERROR(INDEX(مخرج_الوصف,MATCH($A1137,قائمة_المخرجات,0)),""))</f>
        <v/>
      </c>
      <c r="D1137" s="20"/>
      <c r="E1137" s="31"/>
      <c r="F1137" s="22"/>
      <c r="G1137" s="36" t="str">
        <f aca="false">IF(OR($A1137="",$D1137&lt;&gt;"تسليم",NOT(ISNUMBER($E1137))),"",COUNTIFS($A$5:$A$1504,$A1137,$D$5:$D$1504,"تسليم",$E$5:$E$1504,"&lt;"&amp;$E1137)+1)</f>
        <v/>
      </c>
      <c r="H1137" s="33" t="str">
        <f aca="false">IF($G1137="","",_xlfn.MINIFS($E$5:$E$1504,$A$5:$A$1504,$A1137,$D$5:$D$1504,"&lt;&gt;تسليم",$E$5:$E$1504,"&gt;="&amp;$E1137))</f>
        <v/>
      </c>
      <c r="I1137" s="33" t="str">
        <f aca="false">IF($G1137="","",_xlfn.MINIFS($E$5:$E$1504,$A$5:$A$1504,$A1137,$D$5:$D$1504,"تسليم",$E$5:$E$1504,"&gt;"&amp;$E1137))</f>
        <v/>
      </c>
      <c r="J1137" s="33" t="str">
        <f aca="false">IF($G1137="","",IF(H1137&gt;0,IF(I1137&gt;0,MIN(H1137,I1137),H1137),IF(I1137&gt;0,I1137,تاريخ_الاحتساب)))</f>
        <v/>
      </c>
      <c r="K1137" s="34" t="str">
        <f aca="false">IF($G1137="","",IF(AND(H1137=0,I1137=0),"جارية","مغلقة"))</f>
        <v/>
      </c>
      <c r="L1137" s="26" t="str">
        <f aca="false">IF($G1137="","",MAX(0,NETWORKDAYS.INTL($E1137,J1137,رمز_العطلة,أيام_الأجازات)-1))</f>
        <v/>
      </c>
      <c r="M1137" s="26" t="str">
        <f aca="false">IF($G1137="","",MAX(0,L1137-مهلة_المراجعة))</f>
        <v/>
      </c>
      <c r="N1137" s="30" t="str">
        <f aca="false">IF($A1137="",IF(OR($D1137&lt;&gt;"",$E1137&lt;&gt;""),"رقم المخرج ناقص",""),IF(ISNA(MATCH($A1137,قائمة_المخرجات,0)),"رقم مخرج غير موجود",IF($D1137="","نوع الحركة ناقص",IF(NOT(ISNUMBER($E1137)),"التاريخ ناقص",IF($E1137&gt;تاريخ_الاحتساب,"تاريخ بعد تاريخ الاحتساب",IF(AND($D1137&lt;&gt;"تسليم",COUNTIFS($A$5:$A$1504,$A1137,$D$5:$D$1504,"تسليم",$E$5:$E$1504,"&lt;="&amp;$E1137)=0),"لا يوجد تسليم قبل الحركة دي",""))))))</f>
        <v/>
      </c>
    </row>
    <row r="1138" customFormat="false" ht="15" hidden="false" customHeight="false" outlineLevel="0" collapsed="false">
      <c r="A1138" s="20"/>
      <c r="B1138" s="35" t="str">
        <f aca="false">IF($A1138="","",IFERROR(INDEX(مخرج_البند,MATCH($A1138,قائمة_المخرجات,0)),""))</f>
        <v/>
      </c>
      <c r="C1138" s="30" t="str">
        <f aca="false">IF($A1138="","",IFERROR(INDEX(مخرج_الوصف,MATCH($A1138,قائمة_المخرجات,0)),""))</f>
        <v/>
      </c>
      <c r="D1138" s="20"/>
      <c r="E1138" s="31"/>
      <c r="F1138" s="22"/>
      <c r="G1138" s="36" t="str">
        <f aca="false">IF(OR($A1138="",$D1138&lt;&gt;"تسليم",NOT(ISNUMBER($E1138))),"",COUNTIFS($A$5:$A$1504,$A1138,$D$5:$D$1504,"تسليم",$E$5:$E$1504,"&lt;"&amp;$E1138)+1)</f>
        <v/>
      </c>
      <c r="H1138" s="33" t="str">
        <f aca="false">IF($G1138="","",_xlfn.MINIFS($E$5:$E$1504,$A$5:$A$1504,$A1138,$D$5:$D$1504,"&lt;&gt;تسليم",$E$5:$E$1504,"&gt;="&amp;$E1138))</f>
        <v/>
      </c>
      <c r="I1138" s="33" t="str">
        <f aca="false">IF($G1138="","",_xlfn.MINIFS($E$5:$E$1504,$A$5:$A$1504,$A1138,$D$5:$D$1504,"تسليم",$E$5:$E$1504,"&gt;"&amp;$E1138))</f>
        <v/>
      </c>
      <c r="J1138" s="33" t="str">
        <f aca="false">IF($G1138="","",IF(H1138&gt;0,IF(I1138&gt;0,MIN(H1138,I1138),H1138),IF(I1138&gt;0,I1138,تاريخ_الاحتساب)))</f>
        <v/>
      </c>
      <c r="K1138" s="34" t="str">
        <f aca="false">IF($G1138="","",IF(AND(H1138=0,I1138=0),"جارية","مغلقة"))</f>
        <v/>
      </c>
      <c r="L1138" s="26" t="str">
        <f aca="false">IF($G1138="","",MAX(0,NETWORKDAYS.INTL($E1138,J1138,رمز_العطلة,أيام_الأجازات)-1))</f>
        <v/>
      </c>
      <c r="M1138" s="26" t="str">
        <f aca="false">IF($G1138="","",MAX(0,L1138-مهلة_المراجعة))</f>
        <v/>
      </c>
      <c r="N1138" s="30" t="str">
        <f aca="false">IF($A1138="",IF(OR($D1138&lt;&gt;"",$E1138&lt;&gt;""),"رقم المخرج ناقص",""),IF(ISNA(MATCH($A1138,قائمة_المخرجات,0)),"رقم مخرج غير موجود",IF($D1138="","نوع الحركة ناقص",IF(NOT(ISNUMBER($E1138)),"التاريخ ناقص",IF($E1138&gt;تاريخ_الاحتساب,"تاريخ بعد تاريخ الاحتساب",IF(AND($D1138&lt;&gt;"تسليم",COUNTIFS($A$5:$A$1504,$A1138,$D$5:$D$1504,"تسليم",$E$5:$E$1504,"&lt;="&amp;$E1138)=0),"لا يوجد تسليم قبل الحركة دي",""))))))</f>
        <v/>
      </c>
    </row>
    <row r="1139" customFormat="false" ht="15" hidden="false" customHeight="false" outlineLevel="0" collapsed="false">
      <c r="A1139" s="20"/>
      <c r="B1139" s="35" t="str">
        <f aca="false">IF($A1139="","",IFERROR(INDEX(مخرج_البند,MATCH($A1139,قائمة_المخرجات,0)),""))</f>
        <v/>
      </c>
      <c r="C1139" s="30" t="str">
        <f aca="false">IF($A1139="","",IFERROR(INDEX(مخرج_الوصف,MATCH($A1139,قائمة_المخرجات,0)),""))</f>
        <v/>
      </c>
      <c r="D1139" s="20"/>
      <c r="E1139" s="31"/>
      <c r="F1139" s="22"/>
      <c r="G1139" s="36" t="str">
        <f aca="false">IF(OR($A1139="",$D1139&lt;&gt;"تسليم",NOT(ISNUMBER($E1139))),"",COUNTIFS($A$5:$A$1504,$A1139,$D$5:$D$1504,"تسليم",$E$5:$E$1504,"&lt;"&amp;$E1139)+1)</f>
        <v/>
      </c>
      <c r="H1139" s="33" t="str">
        <f aca="false">IF($G1139="","",_xlfn.MINIFS($E$5:$E$1504,$A$5:$A$1504,$A1139,$D$5:$D$1504,"&lt;&gt;تسليم",$E$5:$E$1504,"&gt;="&amp;$E1139))</f>
        <v/>
      </c>
      <c r="I1139" s="33" t="str">
        <f aca="false">IF($G1139="","",_xlfn.MINIFS($E$5:$E$1504,$A$5:$A$1504,$A1139,$D$5:$D$1504,"تسليم",$E$5:$E$1504,"&gt;"&amp;$E1139))</f>
        <v/>
      </c>
      <c r="J1139" s="33" t="str">
        <f aca="false">IF($G1139="","",IF(H1139&gt;0,IF(I1139&gt;0,MIN(H1139,I1139),H1139),IF(I1139&gt;0,I1139,تاريخ_الاحتساب)))</f>
        <v/>
      </c>
      <c r="K1139" s="34" t="str">
        <f aca="false">IF($G1139="","",IF(AND(H1139=0,I1139=0),"جارية","مغلقة"))</f>
        <v/>
      </c>
      <c r="L1139" s="26" t="str">
        <f aca="false">IF($G1139="","",MAX(0,NETWORKDAYS.INTL($E1139,J1139,رمز_العطلة,أيام_الأجازات)-1))</f>
        <v/>
      </c>
      <c r="M1139" s="26" t="str">
        <f aca="false">IF($G1139="","",MAX(0,L1139-مهلة_المراجعة))</f>
        <v/>
      </c>
      <c r="N1139" s="30" t="str">
        <f aca="false">IF($A1139="",IF(OR($D1139&lt;&gt;"",$E1139&lt;&gt;""),"رقم المخرج ناقص",""),IF(ISNA(MATCH($A1139,قائمة_المخرجات,0)),"رقم مخرج غير موجود",IF($D1139="","نوع الحركة ناقص",IF(NOT(ISNUMBER($E1139)),"التاريخ ناقص",IF($E1139&gt;تاريخ_الاحتساب,"تاريخ بعد تاريخ الاحتساب",IF(AND($D1139&lt;&gt;"تسليم",COUNTIFS($A$5:$A$1504,$A1139,$D$5:$D$1504,"تسليم",$E$5:$E$1504,"&lt;="&amp;$E1139)=0),"لا يوجد تسليم قبل الحركة دي",""))))))</f>
        <v/>
      </c>
    </row>
    <row r="1140" customFormat="false" ht="15" hidden="false" customHeight="false" outlineLevel="0" collapsed="false">
      <c r="A1140" s="20"/>
      <c r="B1140" s="35" t="str">
        <f aca="false">IF($A1140="","",IFERROR(INDEX(مخرج_البند,MATCH($A1140,قائمة_المخرجات,0)),""))</f>
        <v/>
      </c>
      <c r="C1140" s="30" t="str">
        <f aca="false">IF($A1140="","",IFERROR(INDEX(مخرج_الوصف,MATCH($A1140,قائمة_المخرجات,0)),""))</f>
        <v/>
      </c>
      <c r="D1140" s="20"/>
      <c r="E1140" s="31"/>
      <c r="F1140" s="22"/>
      <c r="G1140" s="36" t="str">
        <f aca="false">IF(OR($A1140="",$D1140&lt;&gt;"تسليم",NOT(ISNUMBER($E1140))),"",COUNTIFS($A$5:$A$1504,$A1140,$D$5:$D$1504,"تسليم",$E$5:$E$1504,"&lt;"&amp;$E1140)+1)</f>
        <v/>
      </c>
      <c r="H1140" s="33" t="str">
        <f aca="false">IF($G1140="","",_xlfn.MINIFS($E$5:$E$1504,$A$5:$A$1504,$A1140,$D$5:$D$1504,"&lt;&gt;تسليم",$E$5:$E$1504,"&gt;="&amp;$E1140))</f>
        <v/>
      </c>
      <c r="I1140" s="33" t="str">
        <f aca="false">IF($G1140="","",_xlfn.MINIFS($E$5:$E$1504,$A$5:$A$1504,$A1140,$D$5:$D$1504,"تسليم",$E$5:$E$1504,"&gt;"&amp;$E1140))</f>
        <v/>
      </c>
      <c r="J1140" s="33" t="str">
        <f aca="false">IF($G1140="","",IF(H1140&gt;0,IF(I1140&gt;0,MIN(H1140,I1140),H1140),IF(I1140&gt;0,I1140,تاريخ_الاحتساب)))</f>
        <v/>
      </c>
      <c r="K1140" s="34" t="str">
        <f aca="false">IF($G1140="","",IF(AND(H1140=0,I1140=0),"جارية","مغلقة"))</f>
        <v/>
      </c>
      <c r="L1140" s="26" t="str">
        <f aca="false">IF($G1140="","",MAX(0,NETWORKDAYS.INTL($E1140,J1140,رمز_العطلة,أيام_الأجازات)-1))</f>
        <v/>
      </c>
      <c r="M1140" s="26" t="str">
        <f aca="false">IF($G1140="","",MAX(0,L1140-مهلة_المراجعة))</f>
        <v/>
      </c>
      <c r="N1140" s="30" t="str">
        <f aca="false">IF($A1140="",IF(OR($D1140&lt;&gt;"",$E1140&lt;&gt;""),"رقم المخرج ناقص",""),IF(ISNA(MATCH($A1140,قائمة_المخرجات,0)),"رقم مخرج غير موجود",IF($D1140="","نوع الحركة ناقص",IF(NOT(ISNUMBER($E1140)),"التاريخ ناقص",IF($E1140&gt;تاريخ_الاحتساب,"تاريخ بعد تاريخ الاحتساب",IF(AND($D1140&lt;&gt;"تسليم",COUNTIFS($A$5:$A$1504,$A1140,$D$5:$D$1504,"تسليم",$E$5:$E$1504,"&lt;="&amp;$E1140)=0),"لا يوجد تسليم قبل الحركة دي",""))))))</f>
        <v/>
      </c>
    </row>
    <row r="1141" customFormat="false" ht="15" hidden="false" customHeight="false" outlineLevel="0" collapsed="false">
      <c r="A1141" s="20"/>
      <c r="B1141" s="35" t="str">
        <f aca="false">IF($A1141="","",IFERROR(INDEX(مخرج_البند,MATCH($A1141,قائمة_المخرجات,0)),""))</f>
        <v/>
      </c>
      <c r="C1141" s="30" t="str">
        <f aca="false">IF($A1141="","",IFERROR(INDEX(مخرج_الوصف,MATCH($A1141,قائمة_المخرجات,0)),""))</f>
        <v/>
      </c>
      <c r="D1141" s="20"/>
      <c r="E1141" s="31"/>
      <c r="F1141" s="22"/>
      <c r="G1141" s="36" t="str">
        <f aca="false">IF(OR($A1141="",$D1141&lt;&gt;"تسليم",NOT(ISNUMBER($E1141))),"",COUNTIFS($A$5:$A$1504,$A1141,$D$5:$D$1504,"تسليم",$E$5:$E$1504,"&lt;"&amp;$E1141)+1)</f>
        <v/>
      </c>
      <c r="H1141" s="33" t="str">
        <f aca="false">IF($G1141="","",_xlfn.MINIFS($E$5:$E$1504,$A$5:$A$1504,$A1141,$D$5:$D$1504,"&lt;&gt;تسليم",$E$5:$E$1504,"&gt;="&amp;$E1141))</f>
        <v/>
      </c>
      <c r="I1141" s="33" t="str">
        <f aca="false">IF($G1141="","",_xlfn.MINIFS($E$5:$E$1504,$A$5:$A$1504,$A1141,$D$5:$D$1504,"تسليم",$E$5:$E$1504,"&gt;"&amp;$E1141))</f>
        <v/>
      </c>
      <c r="J1141" s="33" t="str">
        <f aca="false">IF($G1141="","",IF(H1141&gt;0,IF(I1141&gt;0,MIN(H1141,I1141),H1141),IF(I1141&gt;0,I1141,تاريخ_الاحتساب)))</f>
        <v/>
      </c>
      <c r="K1141" s="34" t="str">
        <f aca="false">IF($G1141="","",IF(AND(H1141=0,I1141=0),"جارية","مغلقة"))</f>
        <v/>
      </c>
      <c r="L1141" s="26" t="str">
        <f aca="false">IF($G1141="","",MAX(0,NETWORKDAYS.INTL($E1141,J1141,رمز_العطلة,أيام_الأجازات)-1))</f>
        <v/>
      </c>
      <c r="M1141" s="26" t="str">
        <f aca="false">IF($G1141="","",MAX(0,L1141-مهلة_المراجعة))</f>
        <v/>
      </c>
      <c r="N1141" s="30" t="str">
        <f aca="false">IF($A1141="",IF(OR($D1141&lt;&gt;"",$E1141&lt;&gt;""),"رقم المخرج ناقص",""),IF(ISNA(MATCH($A1141,قائمة_المخرجات,0)),"رقم مخرج غير موجود",IF($D1141="","نوع الحركة ناقص",IF(NOT(ISNUMBER($E1141)),"التاريخ ناقص",IF($E1141&gt;تاريخ_الاحتساب,"تاريخ بعد تاريخ الاحتساب",IF(AND($D1141&lt;&gt;"تسليم",COUNTIFS($A$5:$A$1504,$A1141,$D$5:$D$1504,"تسليم",$E$5:$E$1504,"&lt;="&amp;$E1141)=0),"لا يوجد تسليم قبل الحركة دي",""))))))</f>
        <v/>
      </c>
    </row>
    <row r="1142" customFormat="false" ht="15" hidden="false" customHeight="false" outlineLevel="0" collapsed="false">
      <c r="A1142" s="20"/>
      <c r="B1142" s="35" t="str">
        <f aca="false">IF($A1142="","",IFERROR(INDEX(مخرج_البند,MATCH($A1142,قائمة_المخرجات,0)),""))</f>
        <v/>
      </c>
      <c r="C1142" s="30" t="str">
        <f aca="false">IF($A1142="","",IFERROR(INDEX(مخرج_الوصف,MATCH($A1142,قائمة_المخرجات,0)),""))</f>
        <v/>
      </c>
      <c r="D1142" s="20"/>
      <c r="E1142" s="31"/>
      <c r="F1142" s="22"/>
      <c r="G1142" s="36" t="str">
        <f aca="false">IF(OR($A1142="",$D1142&lt;&gt;"تسليم",NOT(ISNUMBER($E1142))),"",COUNTIFS($A$5:$A$1504,$A1142,$D$5:$D$1504,"تسليم",$E$5:$E$1504,"&lt;"&amp;$E1142)+1)</f>
        <v/>
      </c>
      <c r="H1142" s="33" t="str">
        <f aca="false">IF($G1142="","",_xlfn.MINIFS($E$5:$E$1504,$A$5:$A$1504,$A1142,$D$5:$D$1504,"&lt;&gt;تسليم",$E$5:$E$1504,"&gt;="&amp;$E1142))</f>
        <v/>
      </c>
      <c r="I1142" s="33" t="str">
        <f aca="false">IF($G1142="","",_xlfn.MINIFS($E$5:$E$1504,$A$5:$A$1504,$A1142,$D$5:$D$1504,"تسليم",$E$5:$E$1504,"&gt;"&amp;$E1142))</f>
        <v/>
      </c>
      <c r="J1142" s="33" t="str">
        <f aca="false">IF($G1142="","",IF(H1142&gt;0,IF(I1142&gt;0,MIN(H1142,I1142),H1142),IF(I1142&gt;0,I1142,تاريخ_الاحتساب)))</f>
        <v/>
      </c>
      <c r="K1142" s="34" t="str">
        <f aca="false">IF($G1142="","",IF(AND(H1142=0,I1142=0),"جارية","مغلقة"))</f>
        <v/>
      </c>
      <c r="L1142" s="26" t="str">
        <f aca="false">IF($G1142="","",MAX(0,NETWORKDAYS.INTL($E1142,J1142,رمز_العطلة,أيام_الأجازات)-1))</f>
        <v/>
      </c>
      <c r="M1142" s="26" t="str">
        <f aca="false">IF($G1142="","",MAX(0,L1142-مهلة_المراجعة))</f>
        <v/>
      </c>
      <c r="N1142" s="30" t="str">
        <f aca="false">IF($A1142="",IF(OR($D1142&lt;&gt;"",$E1142&lt;&gt;""),"رقم المخرج ناقص",""),IF(ISNA(MATCH($A1142,قائمة_المخرجات,0)),"رقم مخرج غير موجود",IF($D1142="","نوع الحركة ناقص",IF(NOT(ISNUMBER($E1142)),"التاريخ ناقص",IF($E1142&gt;تاريخ_الاحتساب,"تاريخ بعد تاريخ الاحتساب",IF(AND($D1142&lt;&gt;"تسليم",COUNTIFS($A$5:$A$1504,$A1142,$D$5:$D$1504,"تسليم",$E$5:$E$1504,"&lt;="&amp;$E1142)=0),"لا يوجد تسليم قبل الحركة دي",""))))))</f>
        <v/>
      </c>
    </row>
    <row r="1143" customFormat="false" ht="15" hidden="false" customHeight="false" outlineLevel="0" collapsed="false">
      <c r="A1143" s="20"/>
      <c r="B1143" s="35" t="str">
        <f aca="false">IF($A1143="","",IFERROR(INDEX(مخرج_البند,MATCH($A1143,قائمة_المخرجات,0)),""))</f>
        <v/>
      </c>
      <c r="C1143" s="30" t="str">
        <f aca="false">IF($A1143="","",IFERROR(INDEX(مخرج_الوصف,MATCH($A1143,قائمة_المخرجات,0)),""))</f>
        <v/>
      </c>
      <c r="D1143" s="20"/>
      <c r="E1143" s="31"/>
      <c r="F1143" s="22"/>
      <c r="G1143" s="36" t="str">
        <f aca="false">IF(OR($A1143="",$D1143&lt;&gt;"تسليم",NOT(ISNUMBER($E1143))),"",COUNTIFS($A$5:$A$1504,$A1143,$D$5:$D$1504,"تسليم",$E$5:$E$1504,"&lt;"&amp;$E1143)+1)</f>
        <v/>
      </c>
      <c r="H1143" s="33" t="str">
        <f aca="false">IF($G1143="","",_xlfn.MINIFS($E$5:$E$1504,$A$5:$A$1504,$A1143,$D$5:$D$1504,"&lt;&gt;تسليم",$E$5:$E$1504,"&gt;="&amp;$E1143))</f>
        <v/>
      </c>
      <c r="I1143" s="33" t="str">
        <f aca="false">IF($G1143="","",_xlfn.MINIFS($E$5:$E$1504,$A$5:$A$1504,$A1143,$D$5:$D$1504,"تسليم",$E$5:$E$1504,"&gt;"&amp;$E1143))</f>
        <v/>
      </c>
      <c r="J1143" s="33" t="str">
        <f aca="false">IF($G1143="","",IF(H1143&gt;0,IF(I1143&gt;0,MIN(H1143,I1143),H1143),IF(I1143&gt;0,I1143,تاريخ_الاحتساب)))</f>
        <v/>
      </c>
      <c r="K1143" s="34" t="str">
        <f aca="false">IF($G1143="","",IF(AND(H1143=0,I1143=0),"جارية","مغلقة"))</f>
        <v/>
      </c>
      <c r="L1143" s="26" t="str">
        <f aca="false">IF($G1143="","",MAX(0,NETWORKDAYS.INTL($E1143,J1143,رمز_العطلة,أيام_الأجازات)-1))</f>
        <v/>
      </c>
      <c r="M1143" s="26" t="str">
        <f aca="false">IF($G1143="","",MAX(0,L1143-مهلة_المراجعة))</f>
        <v/>
      </c>
      <c r="N1143" s="30" t="str">
        <f aca="false">IF($A1143="",IF(OR($D1143&lt;&gt;"",$E1143&lt;&gt;""),"رقم المخرج ناقص",""),IF(ISNA(MATCH($A1143,قائمة_المخرجات,0)),"رقم مخرج غير موجود",IF($D1143="","نوع الحركة ناقص",IF(NOT(ISNUMBER($E1143)),"التاريخ ناقص",IF($E1143&gt;تاريخ_الاحتساب,"تاريخ بعد تاريخ الاحتساب",IF(AND($D1143&lt;&gt;"تسليم",COUNTIFS($A$5:$A$1504,$A1143,$D$5:$D$1504,"تسليم",$E$5:$E$1504,"&lt;="&amp;$E1143)=0),"لا يوجد تسليم قبل الحركة دي",""))))))</f>
        <v/>
      </c>
    </row>
    <row r="1144" customFormat="false" ht="15" hidden="false" customHeight="false" outlineLevel="0" collapsed="false">
      <c r="A1144" s="20"/>
      <c r="B1144" s="35" t="str">
        <f aca="false">IF($A1144="","",IFERROR(INDEX(مخرج_البند,MATCH($A1144,قائمة_المخرجات,0)),""))</f>
        <v/>
      </c>
      <c r="C1144" s="30" t="str">
        <f aca="false">IF($A1144="","",IFERROR(INDEX(مخرج_الوصف,MATCH($A1144,قائمة_المخرجات,0)),""))</f>
        <v/>
      </c>
      <c r="D1144" s="20"/>
      <c r="E1144" s="31"/>
      <c r="F1144" s="22"/>
      <c r="G1144" s="36" t="str">
        <f aca="false">IF(OR($A1144="",$D1144&lt;&gt;"تسليم",NOT(ISNUMBER($E1144))),"",COUNTIFS($A$5:$A$1504,$A1144,$D$5:$D$1504,"تسليم",$E$5:$E$1504,"&lt;"&amp;$E1144)+1)</f>
        <v/>
      </c>
      <c r="H1144" s="33" t="str">
        <f aca="false">IF($G1144="","",_xlfn.MINIFS($E$5:$E$1504,$A$5:$A$1504,$A1144,$D$5:$D$1504,"&lt;&gt;تسليم",$E$5:$E$1504,"&gt;="&amp;$E1144))</f>
        <v/>
      </c>
      <c r="I1144" s="33" t="str">
        <f aca="false">IF($G1144="","",_xlfn.MINIFS($E$5:$E$1504,$A$5:$A$1504,$A1144,$D$5:$D$1504,"تسليم",$E$5:$E$1504,"&gt;"&amp;$E1144))</f>
        <v/>
      </c>
      <c r="J1144" s="33" t="str">
        <f aca="false">IF($G1144="","",IF(H1144&gt;0,IF(I1144&gt;0,MIN(H1144,I1144),H1144),IF(I1144&gt;0,I1144,تاريخ_الاحتساب)))</f>
        <v/>
      </c>
      <c r="K1144" s="34" t="str">
        <f aca="false">IF($G1144="","",IF(AND(H1144=0,I1144=0),"جارية","مغلقة"))</f>
        <v/>
      </c>
      <c r="L1144" s="26" t="str">
        <f aca="false">IF($G1144="","",MAX(0,NETWORKDAYS.INTL($E1144,J1144,رمز_العطلة,أيام_الأجازات)-1))</f>
        <v/>
      </c>
      <c r="M1144" s="26" t="str">
        <f aca="false">IF($G1144="","",MAX(0,L1144-مهلة_المراجعة))</f>
        <v/>
      </c>
      <c r="N1144" s="30" t="str">
        <f aca="false">IF($A1144="",IF(OR($D1144&lt;&gt;"",$E1144&lt;&gt;""),"رقم المخرج ناقص",""),IF(ISNA(MATCH($A1144,قائمة_المخرجات,0)),"رقم مخرج غير موجود",IF($D1144="","نوع الحركة ناقص",IF(NOT(ISNUMBER($E1144)),"التاريخ ناقص",IF($E1144&gt;تاريخ_الاحتساب,"تاريخ بعد تاريخ الاحتساب",IF(AND($D1144&lt;&gt;"تسليم",COUNTIFS($A$5:$A$1504,$A1144,$D$5:$D$1504,"تسليم",$E$5:$E$1504,"&lt;="&amp;$E1144)=0),"لا يوجد تسليم قبل الحركة دي",""))))))</f>
        <v/>
      </c>
    </row>
    <row r="1145" customFormat="false" ht="15" hidden="false" customHeight="false" outlineLevel="0" collapsed="false">
      <c r="A1145" s="20"/>
      <c r="B1145" s="35" t="str">
        <f aca="false">IF($A1145="","",IFERROR(INDEX(مخرج_البند,MATCH($A1145,قائمة_المخرجات,0)),""))</f>
        <v/>
      </c>
      <c r="C1145" s="30" t="str">
        <f aca="false">IF($A1145="","",IFERROR(INDEX(مخرج_الوصف,MATCH($A1145,قائمة_المخرجات,0)),""))</f>
        <v/>
      </c>
      <c r="D1145" s="20"/>
      <c r="E1145" s="31"/>
      <c r="F1145" s="22"/>
      <c r="G1145" s="36" t="str">
        <f aca="false">IF(OR($A1145="",$D1145&lt;&gt;"تسليم",NOT(ISNUMBER($E1145))),"",COUNTIFS($A$5:$A$1504,$A1145,$D$5:$D$1504,"تسليم",$E$5:$E$1504,"&lt;"&amp;$E1145)+1)</f>
        <v/>
      </c>
      <c r="H1145" s="33" t="str">
        <f aca="false">IF($G1145="","",_xlfn.MINIFS($E$5:$E$1504,$A$5:$A$1504,$A1145,$D$5:$D$1504,"&lt;&gt;تسليم",$E$5:$E$1504,"&gt;="&amp;$E1145))</f>
        <v/>
      </c>
      <c r="I1145" s="33" t="str">
        <f aca="false">IF($G1145="","",_xlfn.MINIFS($E$5:$E$1504,$A$5:$A$1504,$A1145,$D$5:$D$1504,"تسليم",$E$5:$E$1504,"&gt;"&amp;$E1145))</f>
        <v/>
      </c>
      <c r="J1145" s="33" t="str">
        <f aca="false">IF($G1145="","",IF(H1145&gt;0,IF(I1145&gt;0,MIN(H1145,I1145),H1145),IF(I1145&gt;0,I1145,تاريخ_الاحتساب)))</f>
        <v/>
      </c>
      <c r="K1145" s="34" t="str">
        <f aca="false">IF($G1145="","",IF(AND(H1145=0,I1145=0),"جارية","مغلقة"))</f>
        <v/>
      </c>
      <c r="L1145" s="26" t="str">
        <f aca="false">IF($G1145="","",MAX(0,NETWORKDAYS.INTL($E1145,J1145,رمز_العطلة,أيام_الأجازات)-1))</f>
        <v/>
      </c>
      <c r="M1145" s="26" t="str">
        <f aca="false">IF($G1145="","",MAX(0,L1145-مهلة_المراجعة))</f>
        <v/>
      </c>
      <c r="N1145" s="30" t="str">
        <f aca="false">IF($A1145="",IF(OR($D1145&lt;&gt;"",$E1145&lt;&gt;""),"رقم المخرج ناقص",""),IF(ISNA(MATCH($A1145,قائمة_المخرجات,0)),"رقم مخرج غير موجود",IF($D1145="","نوع الحركة ناقص",IF(NOT(ISNUMBER($E1145)),"التاريخ ناقص",IF($E1145&gt;تاريخ_الاحتساب,"تاريخ بعد تاريخ الاحتساب",IF(AND($D1145&lt;&gt;"تسليم",COUNTIFS($A$5:$A$1504,$A1145,$D$5:$D$1504,"تسليم",$E$5:$E$1504,"&lt;="&amp;$E1145)=0),"لا يوجد تسليم قبل الحركة دي",""))))))</f>
        <v/>
      </c>
    </row>
    <row r="1146" customFormat="false" ht="15" hidden="false" customHeight="false" outlineLevel="0" collapsed="false">
      <c r="A1146" s="20"/>
      <c r="B1146" s="35" t="str">
        <f aca="false">IF($A1146="","",IFERROR(INDEX(مخرج_البند,MATCH($A1146,قائمة_المخرجات,0)),""))</f>
        <v/>
      </c>
      <c r="C1146" s="30" t="str">
        <f aca="false">IF($A1146="","",IFERROR(INDEX(مخرج_الوصف,MATCH($A1146,قائمة_المخرجات,0)),""))</f>
        <v/>
      </c>
      <c r="D1146" s="20"/>
      <c r="E1146" s="31"/>
      <c r="F1146" s="22"/>
      <c r="G1146" s="36" t="str">
        <f aca="false">IF(OR($A1146="",$D1146&lt;&gt;"تسليم",NOT(ISNUMBER($E1146))),"",COUNTIFS($A$5:$A$1504,$A1146,$D$5:$D$1504,"تسليم",$E$5:$E$1504,"&lt;"&amp;$E1146)+1)</f>
        <v/>
      </c>
      <c r="H1146" s="33" t="str">
        <f aca="false">IF($G1146="","",_xlfn.MINIFS($E$5:$E$1504,$A$5:$A$1504,$A1146,$D$5:$D$1504,"&lt;&gt;تسليم",$E$5:$E$1504,"&gt;="&amp;$E1146))</f>
        <v/>
      </c>
      <c r="I1146" s="33" t="str">
        <f aca="false">IF($G1146="","",_xlfn.MINIFS($E$5:$E$1504,$A$5:$A$1504,$A1146,$D$5:$D$1504,"تسليم",$E$5:$E$1504,"&gt;"&amp;$E1146))</f>
        <v/>
      </c>
      <c r="J1146" s="33" t="str">
        <f aca="false">IF($G1146="","",IF(H1146&gt;0,IF(I1146&gt;0,MIN(H1146,I1146),H1146),IF(I1146&gt;0,I1146,تاريخ_الاحتساب)))</f>
        <v/>
      </c>
      <c r="K1146" s="34" t="str">
        <f aca="false">IF($G1146="","",IF(AND(H1146=0,I1146=0),"جارية","مغلقة"))</f>
        <v/>
      </c>
      <c r="L1146" s="26" t="str">
        <f aca="false">IF($G1146="","",MAX(0,NETWORKDAYS.INTL($E1146,J1146,رمز_العطلة,أيام_الأجازات)-1))</f>
        <v/>
      </c>
      <c r="M1146" s="26" t="str">
        <f aca="false">IF($G1146="","",MAX(0,L1146-مهلة_المراجعة))</f>
        <v/>
      </c>
      <c r="N1146" s="30" t="str">
        <f aca="false">IF($A1146="",IF(OR($D1146&lt;&gt;"",$E1146&lt;&gt;""),"رقم المخرج ناقص",""),IF(ISNA(MATCH($A1146,قائمة_المخرجات,0)),"رقم مخرج غير موجود",IF($D1146="","نوع الحركة ناقص",IF(NOT(ISNUMBER($E1146)),"التاريخ ناقص",IF($E1146&gt;تاريخ_الاحتساب,"تاريخ بعد تاريخ الاحتساب",IF(AND($D1146&lt;&gt;"تسليم",COUNTIFS($A$5:$A$1504,$A1146,$D$5:$D$1504,"تسليم",$E$5:$E$1504,"&lt;="&amp;$E1146)=0),"لا يوجد تسليم قبل الحركة دي",""))))))</f>
        <v/>
      </c>
    </row>
    <row r="1147" customFormat="false" ht="15" hidden="false" customHeight="false" outlineLevel="0" collapsed="false">
      <c r="A1147" s="20"/>
      <c r="B1147" s="35" t="str">
        <f aca="false">IF($A1147="","",IFERROR(INDEX(مخرج_البند,MATCH($A1147,قائمة_المخرجات,0)),""))</f>
        <v/>
      </c>
      <c r="C1147" s="30" t="str">
        <f aca="false">IF($A1147="","",IFERROR(INDEX(مخرج_الوصف,MATCH($A1147,قائمة_المخرجات,0)),""))</f>
        <v/>
      </c>
      <c r="D1147" s="20"/>
      <c r="E1147" s="31"/>
      <c r="F1147" s="22"/>
      <c r="G1147" s="36" t="str">
        <f aca="false">IF(OR($A1147="",$D1147&lt;&gt;"تسليم",NOT(ISNUMBER($E1147))),"",COUNTIFS($A$5:$A$1504,$A1147,$D$5:$D$1504,"تسليم",$E$5:$E$1504,"&lt;"&amp;$E1147)+1)</f>
        <v/>
      </c>
      <c r="H1147" s="33" t="str">
        <f aca="false">IF($G1147="","",_xlfn.MINIFS($E$5:$E$1504,$A$5:$A$1504,$A1147,$D$5:$D$1504,"&lt;&gt;تسليم",$E$5:$E$1504,"&gt;="&amp;$E1147))</f>
        <v/>
      </c>
      <c r="I1147" s="33" t="str">
        <f aca="false">IF($G1147="","",_xlfn.MINIFS($E$5:$E$1504,$A$5:$A$1504,$A1147,$D$5:$D$1504,"تسليم",$E$5:$E$1504,"&gt;"&amp;$E1147))</f>
        <v/>
      </c>
      <c r="J1147" s="33" t="str">
        <f aca="false">IF($G1147="","",IF(H1147&gt;0,IF(I1147&gt;0,MIN(H1147,I1147),H1147),IF(I1147&gt;0,I1147,تاريخ_الاحتساب)))</f>
        <v/>
      </c>
      <c r="K1147" s="34" t="str">
        <f aca="false">IF($G1147="","",IF(AND(H1147=0,I1147=0),"جارية","مغلقة"))</f>
        <v/>
      </c>
      <c r="L1147" s="26" t="str">
        <f aca="false">IF($G1147="","",MAX(0,NETWORKDAYS.INTL($E1147,J1147,رمز_العطلة,أيام_الأجازات)-1))</f>
        <v/>
      </c>
      <c r="M1147" s="26" t="str">
        <f aca="false">IF($G1147="","",MAX(0,L1147-مهلة_المراجعة))</f>
        <v/>
      </c>
      <c r="N1147" s="30" t="str">
        <f aca="false">IF($A1147="",IF(OR($D1147&lt;&gt;"",$E1147&lt;&gt;""),"رقم المخرج ناقص",""),IF(ISNA(MATCH($A1147,قائمة_المخرجات,0)),"رقم مخرج غير موجود",IF($D1147="","نوع الحركة ناقص",IF(NOT(ISNUMBER($E1147)),"التاريخ ناقص",IF($E1147&gt;تاريخ_الاحتساب,"تاريخ بعد تاريخ الاحتساب",IF(AND($D1147&lt;&gt;"تسليم",COUNTIFS($A$5:$A$1504,$A1147,$D$5:$D$1504,"تسليم",$E$5:$E$1504,"&lt;="&amp;$E1147)=0),"لا يوجد تسليم قبل الحركة دي",""))))))</f>
        <v/>
      </c>
    </row>
    <row r="1148" customFormat="false" ht="15" hidden="false" customHeight="false" outlineLevel="0" collapsed="false">
      <c r="A1148" s="20"/>
      <c r="B1148" s="35" t="str">
        <f aca="false">IF($A1148="","",IFERROR(INDEX(مخرج_البند,MATCH($A1148,قائمة_المخرجات,0)),""))</f>
        <v/>
      </c>
      <c r="C1148" s="30" t="str">
        <f aca="false">IF($A1148="","",IFERROR(INDEX(مخرج_الوصف,MATCH($A1148,قائمة_المخرجات,0)),""))</f>
        <v/>
      </c>
      <c r="D1148" s="20"/>
      <c r="E1148" s="31"/>
      <c r="F1148" s="22"/>
      <c r="G1148" s="36" t="str">
        <f aca="false">IF(OR($A1148="",$D1148&lt;&gt;"تسليم",NOT(ISNUMBER($E1148))),"",COUNTIFS($A$5:$A$1504,$A1148,$D$5:$D$1504,"تسليم",$E$5:$E$1504,"&lt;"&amp;$E1148)+1)</f>
        <v/>
      </c>
      <c r="H1148" s="33" t="str">
        <f aca="false">IF($G1148="","",_xlfn.MINIFS($E$5:$E$1504,$A$5:$A$1504,$A1148,$D$5:$D$1504,"&lt;&gt;تسليم",$E$5:$E$1504,"&gt;="&amp;$E1148))</f>
        <v/>
      </c>
      <c r="I1148" s="33" t="str">
        <f aca="false">IF($G1148="","",_xlfn.MINIFS($E$5:$E$1504,$A$5:$A$1504,$A1148,$D$5:$D$1504,"تسليم",$E$5:$E$1504,"&gt;"&amp;$E1148))</f>
        <v/>
      </c>
      <c r="J1148" s="33" t="str">
        <f aca="false">IF($G1148="","",IF(H1148&gt;0,IF(I1148&gt;0,MIN(H1148,I1148),H1148),IF(I1148&gt;0,I1148,تاريخ_الاحتساب)))</f>
        <v/>
      </c>
      <c r="K1148" s="34" t="str">
        <f aca="false">IF($G1148="","",IF(AND(H1148=0,I1148=0),"جارية","مغلقة"))</f>
        <v/>
      </c>
      <c r="L1148" s="26" t="str">
        <f aca="false">IF($G1148="","",MAX(0,NETWORKDAYS.INTL($E1148,J1148,رمز_العطلة,أيام_الأجازات)-1))</f>
        <v/>
      </c>
      <c r="M1148" s="26" t="str">
        <f aca="false">IF($G1148="","",MAX(0,L1148-مهلة_المراجعة))</f>
        <v/>
      </c>
      <c r="N1148" s="30" t="str">
        <f aca="false">IF($A1148="",IF(OR($D1148&lt;&gt;"",$E1148&lt;&gt;""),"رقم المخرج ناقص",""),IF(ISNA(MATCH($A1148,قائمة_المخرجات,0)),"رقم مخرج غير موجود",IF($D1148="","نوع الحركة ناقص",IF(NOT(ISNUMBER($E1148)),"التاريخ ناقص",IF($E1148&gt;تاريخ_الاحتساب,"تاريخ بعد تاريخ الاحتساب",IF(AND($D1148&lt;&gt;"تسليم",COUNTIFS($A$5:$A$1504,$A1148,$D$5:$D$1504,"تسليم",$E$5:$E$1504,"&lt;="&amp;$E1148)=0),"لا يوجد تسليم قبل الحركة دي",""))))))</f>
        <v/>
      </c>
    </row>
    <row r="1149" customFormat="false" ht="15" hidden="false" customHeight="false" outlineLevel="0" collapsed="false">
      <c r="A1149" s="20"/>
      <c r="B1149" s="35" t="str">
        <f aca="false">IF($A1149="","",IFERROR(INDEX(مخرج_البند,MATCH($A1149,قائمة_المخرجات,0)),""))</f>
        <v/>
      </c>
      <c r="C1149" s="30" t="str">
        <f aca="false">IF($A1149="","",IFERROR(INDEX(مخرج_الوصف,MATCH($A1149,قائمة_المخرجات,0)),""))</f>
        <v/>
      </c>
      <c r="D1149" s="20"/>
      <c r="E1149" s="31"/>
      <c r="F1149" s="22"/>
      <c r="G1149" s="36" t="str">
        <f aca="false">IF(OR($A1149="",$D1149&lt;&gt;"تسليم",NOT(ISNUMBER($E1149))),"",COUNTIFS($A$5:$A$1504,$A1149,$D$5:$D$1504,"تسليم",$E$5:$E$1504,"&lt;"&amp;$E1149)+1)</f>
        <v/>
      </c>
      <c r="H1149" s="33" t="str">
        <f aca="false">IF($G1149="","",_xlfn.MINIFS($E$5:$E$1504,$A$5:$A$1504,$A1149,$D$5:$D$1504,"&lt;&gt;تسليم",$E$5:$E$1504,"&gt;="&amp;$E1149))</f>
        <v/>
      </c>
      <c r="I1149" s="33" t="str">
        <f aca="false">IF($G1149="","",_xlfn.MINIFS($E$5:$E$1504,$A$5:$A$1504,$A1149,$D$5:$D$1504,"تسليم",$E$5:$E$1504,"&gt;"&amp;$E1149))</f>
        <v/>
      </c>
      <c r="J1149" s="33" t="str">
        <f aca="false">IF($G1149="","",IF(H1149&gt;0,IF(I1149&gt;0,MIN(H1149,I1149),H1149),IF(I1149&gt;0,I1149,تاريخ_الاحتساب)))</f>
        <v/>
      </c>
      <c r="K1149" s="34" t="str">
        <f aca="false">IF($G1149="","",IF(AND(H1149=0,I1149=0),"جارية","مغلقة"))</f>
        <v/>
      </c>
      <c r="L1149" s="26" t="str">
        <f aca="false">IF($G1149="","",MAX(0,NETWORKDAYS.INTL($E1149,J1149,رمز_العطلة,أيام_الأجازات)-1))</f>
        <v/>
      </c>
      <c r="M1149" s="26" t="str">
        <f aca="false">IF($G1149="","",MAX(0,L1149-مهلة_المراجعة))</f>
        <v/>
      </c>
      <c r="N1149" s="30" t="str">
        <f aca="false">IF($A1149="",IF(OR($D1149&lt;&gt;"",$E1149&lt;&gt;""),"رقم المخرج ناقص",""),IF(ISNA(MATCH($A1149,قائمة_المخرجات,0)),"رقم مخرج غير موجود",IF($D1149="","نوع الحركة ناقص",IF(NOT(ISNUMBER($E1149)),"التاريخ ناقص",IF($E1149&gt;تاريخ_الاحتساب,"تاريخ بعد تاريخ الاحتساب",IF(AND($D1149&lt;&gt;"تسليم",COUNTIFS($A$5:$A$1504,$A1149,$D$5:$D$1504,"تسليم",$E$5:$E$1504,"&lt;="&amp;$E1149)=0),"لا يوجد تسليم قبل الحركة دي",""))))))</f>
        <v/>
      </c>
    </row>
    <row r="1150" customFormat="false" ht="15" hidden="false" customHeight="false" outlineLevel="0" collapsed="false">
      <c r="A1150" s="20"/>
      <c r="B1150" s="35" t="str">
        <f aca="false">IF($A1150="","",IFERROR(INDEX(مخرج_البند,MATCH($A1150,قائمة_المخرجات,0)),""))</f>
        <v/>
      </c>
      <c r="C1150" s="30" t="str">
        <f aca="false">IF($A1150="","",IFERROR(INDEX(مخرج_الوصف,MATCH($A1150,قائمة_المخرجات,0)),""))</f>
        <v/>
      </c>
      <c r="D1150" s="20"/>
      <c r="E1150" s="31"/>
      <c r="F1150" s="22"/>
      <c r="G1150" s="36" t="str">
        <f aca="false">IF(OR($A1150="",$D1150&lt;&gt;"تسليم",NOT(ISNUMBER($E1150))),"",COUNTIFS($A$5:$A$1504,$A1150,$D$5:$D$1504,"تسليم",$E$5:$E$1504,"&lt;"&amp;$E1150)+1)</f>
        <v/>
      </c>
      <c r="H1150" s="33" t="str">
        <f aca="false">IF($G1150="","",_xlfn.MINIFS($E$5:$E$1504,$A$5:$A$1504,$A1150,$D$5:$D$1504,"&lt;&gt;تسليم",$E$5:$E$1504,"&gt;="&amp;$E1150))</f>
        <v/>
      </c>
      <c r="I1150" s="33" t="str">
        <f aca="false">IF($G1150="","",_xlfn.MINIFS($E$5:$E$1504,$A$5:$A$1504,$A1150,$D$5:$D$1504,"تسليم",$E$5:$E$1504,"&gt;"&amp;$E1150))</f>
        <v/>
      </c>
      <c r="J1150" s="33" t="str">
        <f aca="false">IF($G1150="","",IF(H1150&gt;0,IF(I1150&gt;0,MIN(H1150,I1150),H1150),IF(I1150&gt;0,I1150,تاريخ_الاحتساب)))</f>
        <v/>
      </c>
      <c r="K1150" s="34" t="str">
        <f aca="false">IF($G1150="","",IF(AND(H1150=0,I1150=0),"جارية","مغلقة"))</f>
        <v/>
      </c>
      <c r="L1150" s="26" t="str">
        <f aca="false">IF($G1150="","",MAX(0,NETWORKDAYS.INTL($E1150,J1150,رمز_العطلة,أيام_الأجازات)-1))</f>
        <v/>
      </c>
      <c r="M1150" s="26" t="str">
        <f aca="false">IF($G1150="","",MAX(0,L1150-مهلة_المراجعة))</f>
        <v/>
      </c>
      <c r="N1150" s="30" t="str">
        <f aca="false">IF($A1150="",IF(OR($D1150&lt;&gt;"",$E1150&lt;&gt;""),"رقم المخرج ناقص",""),IF(ISNA(MATCH($A1150,قائمة_المخرجات,0)),"رقم مخرج غير موجود",IF($D1150="","نوع الحركة ناقص",IF(NOT(ISNUMBER($E1150)),"التاريخ ناقص",IF($E1150&gt;تاريخ_الاحتساب,"تاريخ بعد تاريخ الاحتساب",IF(AND($D1150&lt;&gt;"تسليم",COUNTIFS($A$5:$A$1504,$A1150,$D$5:$D$1504,"تسليم",$E$5:$E$1504,"&lt;="&amp;$E1150)=0),"لا يوجد تسليم قبل الحركة دي",""))))))</f>
        <v/>
      </c>
    </row>
    <row r="1151" customFormat="false" ht="15" hidden="false" customHeight="false" outlineLevel="0" collapsed="false">
      <c r="A1151" s="20"/>
      <c r="B1151" s="35" t="str">
        <f aca="false">IF($A1151="","",IFERROR(INDEX(مخرج_البند,MATCH($A1151,قائمة_المخرجات,0)),""))</f>
        <v/>
      </c>
      <c r="C1151" s="30" t="str">
        <f aca="false">IF($A1151="","",IFERROR(INDEX(مخرج_الوصف,MATCH($A1151,قائمة_المخرجات,0)),""))</f>
        <v/>
      </c>
      <c r="D1151" s="20"/>
      <c r="E1151" s="31"/>
      <c r="F1151" s="22"/>
      <c r="G1151" s="36" t="str">
        <f aca="false">IF(OR($A1151="",$D1151&lt;&gt;"تسليم",NOT(ISNUMBER($E1151))),"",COUNTIFS($A$5:$A$1504,$A1151,$D$5:$D$1504,"تسليم",$E$5:$E$1504,"&lt;"&amp;$E1151)+1)</f>
        <v/>
      </c>
      <c r="H1151" s="33" t="str">
        <f aca="false">IF($G1151="","",_xlfn.MINIFS($E$5:$E$1504,$A$5:$A$1504,$A1151,$D$5:$D$1504,"&lt;&gt;تسليم",$E$5:$E$1504,"&gt;="&amp;$E1151))</f>
        <v/>
      </c>
      <c r="I1151" s="33" t="str">
        <f aca="false">IF($G1151="","",_xlfn.MINIFS($E$5:$E$1504,$A$5:$A$1504,$A1151,$D$5:$D$1504,"تسليم",$E$5:$E$1504,"&gt;"&amp;$E1151))</f>
        <v/>
      </c>
      <c r="J1151" s="33" t="str">
        <f aca="false">IF($G1151="","",IF(H1151&gt;0,IF(I1151&gt;0,MIN(H1151,I1151),H1151),IF(I1151&gt;0,I1151,تاريخ_الاحتساب)))</f>
        <v/>
      </c>
      <c r="K1151" s="34" t="str">
        <f aca="false">IF($G1151="","",IF(AND(H1151=0,I1151=0),"جارية","مغلقة"))</f>
        <v/>
      </c>
      <c r="L1151" s="26" t="str">
        <f aca="false">IF($G1151="","",MAX(0,NETWORKDAYS.INTL($E1151,J1151,رمز_العطلة,أيام_الأجازات)-1))</f>
        <v/>
      </c>
      <c r="M1151" s="26" t="str">
        <f aca="false">IF($G1151="","",MAX(0,L1151-مهلة_المراجعة))</f>
        <v/>
      </c>
      <c r="N1151" s="30" t="str">
        <f aca="false">IF($A1151="",IF(OR($D1151&lt;&gt;"",$E1151&lt;&gt;""),"رقم المخرج ناقص",""),IF(ISNA(MATCH($A1151,قائمة_المخرجات,0)),"رقم مخرج غير موجود",IF($D1151="","نوع الحركة ناقص",IF(NOT(ISNUMBER($E1151)),"التاريخ ناقص",IF($E1151&gt;تاريخ_الاحتساب,"تاريخ بعد تاريخ الاحتساب",IF(AND($D1151&lt;&gt;"تسليم",COUNTIFS($A$5:$A$1504,$A1151,$D$5:$D$1504,"تسليم",$E$5:$E$1504,"&lt;="&amp;$E1151)=0),"لا يوجد تسليم قبل الحركة دي",""))))))</f>
        <v/>
      </c>
    </row>
    <row r="1152" customFormat="false" ht="15" hidden="false" customHeight="false" outlineLevel="0" collapsed="false">
      <c r="A1152" s="20"/>
      <c r="B1152" s="35" t="str">
        <f aca="false">IF($A1152="","",IFERROR(INDEX(مخرج_البند,MATCH($A1152,قائمة_المخرجات,0)),""))</f>
        <v/>
      </c>
      <c r="C1152" s="30" t="str">
        <f aca="false">IF($A1152="","",IFERROR(INDEX(مخرج_الوصف,MATCH($A1152,قائمة_المخرجات,0)),""))</f>
        <v/>
      </c>
      <c r="D1152" s="20"/>
      <c r="E1152" s="31"/>
      <c r="F1152" s="22"/>
      <c r="G1152" s="36" t="str">
        <f aca="false">IF(OR($A1152="",$D1152&lt;&gt;"تسليم",NOT(ISNUMBER($E1152))),"",COUNTIFS($A$5:$A$1504,$A1152,$D$5:$D$1504,"تسليم",$E$5:$E$1504,"&lt;"&amp;$E1152)+1)</f>
        <v/>
      </c>
      <c r="H1152" s="33" t="str">
        <f aca="false">IF($G1152="","",_xlfn.MINIFS($E$5:$E$1504,$A$5:$A$1504,$A1152,$D$5:$D$1504,"&lt;&gt;تسليم",$E$5:$E$1504,"&gt;="&amp;$E1152))</f>
        <v/>
      </c>
      <c r="I1152" s="33" t="str">
        <f aca="false">IF($G1152="","",_xlfn.MINIFS($E$5:$E$1504,$A$5:$A$1504,$A1152,$D$5:$D$1504,"تسليم",$E$5:$E$1504,"&gt;"&amp;$E1152))</f>
        <v/>
      </c>
      <c r="J1152" s="33" t="str">
        <f aca="false">IF($G1152="","",IF(H1152&gt;0,IF(I1152&gt;0,MIN(H1152,I1152),H1152),IF(I1152&gt;0,I1152,تاريخ_الاحتساب)))</f>
        <v/>
      </c>
      <c r="K1152" s="34" t="str">
        <f aca="false">IF($G1152="","",IF(AND(H1152=0,I1152=0),"جارية","مغلقة"))</f>
        <v/>
      </c>
      <c r="L1152" s="26" t="str">
        <f aca="false">IF($G1152="","",MAX(0,NETWORKDAYS.INTL($E1152,J1152,رمز_العطلة,أيام_الأجازات)-1))</f>
        <v/>
      </c>
      <c r="M1152" s="26" t="str">
        <f aca="false">IF($G1152="","",MAX(0,L1152-مهلة_المراجعة))</f>
        <v/>
      </c>
      <c r="N1152" s="30" t="str">
        <f aca="false">IF($A1152="",IF(OR($D1152&lt;&gt;"",$E1152&lt;&gt;""),"رقم المخرج ناقص",""),IF(ISNA(MATCH($A1152,قائمة_المخرجات,0)),"رقم مخرج غير موجود",IF($D1152="","نوع الحركة ناقص",IF(NOT(ISNUMBER($E1152)),"التاريخ ناقص",IF($E1152&gt;تاريخ_الاحتساب,"تاريخ بعد تاريخ الاحتساب",IF(AND($D1152&lt;&gt;"تسليم",COUNTIFS($A$5:$A$1504,$A1152,$D$5:$D$1504,"تسليم",$E$5:$E$1504,"&lt;="&amp;$E1152)=0),"لا يوجد تسليم قبل الحركة دي",""))))))</f>
        <v/>
      </c>
    </row>
    <row r="1153" customFormat="false" ht="15" hidden="false" customHeight="false" outlineLevel="0" collapsed="false">
      <c r="A1153" s="20"/>
      <c r="B1153" s="35" t="str">
        <f aca="false">IF($A1153="","",IFERROR(INDEX(مخرج_البند,MATCH($A1153,قائمة_المخرجات,0)),""))</f>
        <v/>
      </c>
      <c r="C1153" s="30" t="str">
        <f aca="false">IF($A1153="","",IFERROR(INDEX(مخرج_الوصف,MATCH($A1153,قائمة_المخرجات,0)),""))</f>
        <v/>
      </c>
      <c r="D1153" s="20"/>
      <c r="E1153" s="31"/>
      <c r="F1153" s="22"/>
      <c r="G1153" s="36" t="str">
        <f aca="false">IF(OR($A1153="",$D1153&lt;&gt;"تسليم",NOT(ISNUMBER($E1153))),"",COUNTIFS($A$5:$A$1504,$A1153,$D$5:$D$1504,"تسليم",$E$5:$E$1504,"&lt;"&amp;$E1153)+1)</f>
        <v/>
      </c>
      <c r="H1153" s="33" t="str">
        <f aca="false">IF($G1153="","",_xlfn.MINIFS($E$5:$E$1504,$A$5:$A$1504,$A1153,$D$5:$D$1504,"&lt;&gt;تسليم",$E$5:$E$1504,"&gt;="&amp;$E1153))</f>
        <v/>
      </c>
      <c r="I1153" s="33" t="str">
        <f aca="false">IF($G1153="","",_xlfn.MINIFS($E$5:$E$1504,$A$5:$A$1504,$A1153,$D$5:$D$1504,"تسليم",$E$5:$E$1504,"&gt;"&amp;$E1153))</f>
        <v/>
      </c>
      <c r="J1153" s="33" t="str">
        <f aca="false">IF($G1153="","",IF(H1153&gt;0,IF(I1153&gt;0,MIN(H1153,I1153),H1153),IF(I1153&gt;0,I1153,تاريخ_الاحتساب)))</f>
        <v/>
      </c>
      <c r="K1153" s="34" t="str">
        <f aca="false">IF($G1153="","",IF(AND(H1153=0,I1153=0),"جارية","مغلقة"))</f>
        <v/>
      </c>
      <c r="L1153" s="26" t="str">
        <f aca="false">IF($G1153="","",MAX(0,NETWORKDAYS.INTL($E1153,J1153,رمز_العطلة,أيام_الأجازات)-1))</f>
        <v/>
      </c>
      <c r="M1153" s="26" t="str">
        <f aca="false">IF($G1153="","",MAX(0,L1153-مهلة_المراجعة))</f>
        <v/>
      </c>
      <c r="N1153" s="30" t="str">
        <f aca="false">IF($A1153="",IF(OR($D1153&lt;&gt;"",$E1153&lt;&gt;""),"رقم المخرج ناقص",""),IF(ISNA(MATCH($A1153,قائمة_المخرجات,0)),"رقم مخرج غير موجود",IF($D1153="","نوع الحركة ناقص",IF(NOT(ISNUMBER($E1153)),"التاريخ ناقص",IF($E1153&gt;تاريخ_الاحتساب,"تاريخ بعد تاريخ الاحتساب",IF(AND($D1153&lt;&gt;"تسليم",COUNTIFS($A$5:$A$1504,$A1153,$D$5:$D$1504,"تسليم",$E$5:$E$1504,"&lt;="&amp;$E1153)=0),"لا يوجد تسليم قبل الحركة دي",""))))))</f>
        <v/>
      </c>
    </row>
    <row r="1154" customFormat="false" ht="15" hidden="false" customHeight="false" outlineLevel="0" collapsed="false">
      <c r="A1154" s="20"/>
      <c r="B1154" s="35" t="str">
        <f aca="false">IF($A1154="","",IFERROR(INDEX(مخرج_البند,MATCH($A1154,قائمة_المخرجات,0)),""))</f>
        <v/>
      </c>
      <c r="C1154" s="30" t="str">
        <f aca="false">IF($A1154="","",IFERROR(INDEX(مخرج_الوصف,MATCH($A1154,قائمة_المخرجات,0)),""))</f>
        <v/>
      </c>
      <c r="D1154" s="20"/>
      <c r="E1154" s="31"/>
      <c r="F1154" s="22"/>
      <c r="G1154" s="36" t="str">
        <f aca="false">IF(OR($A1154="",$D1154&lt;&gt;"تسليم",NOT(ISNUMBER($E1154))),"",COUNTIFS($A$5:$A$1504,$A1154,$D$5:$D$1504,"تسليم",$E$5:$E$1504,"&lt;"&amp;$E1154)+1)</f>
        <v/>
      </c>
      <c r="H1154" s="33" t="str">
        <f aca="false">IF($G1154="","",_xlfn.MINIFS($E$5:$E$1504,$A$5:$A$1504,$A1154,$D$5:$D$1504,"&lt;&gt;تسليم",$E$5:$E$1504,"&gt;="&amp;$E1154))</f>
        <v/>
      </c>
      <c r="I1154" s="33" t="str">
        <f aca="false">IF($G1154="","",_xlfn.MINIFS($E$5:$E$1504,$A$5:$A$1504,$A1154,$D$5:$D$1504,"تسليم",$E$5:$E$1504,"&gt;"&amp;$E1154))</f>
        <v/>
      </c>
      <c r="J1154" s="33" t="str">
        <f aca="false">IF($G1154="","",IF(H1154&gt;0,IF(I1154&gt;0,MIN(H1154,I1154),H1154),IF(I1154&gt;0,I1154,تاريخ_الاحتساب)))</f>
        <v/>
      </c>
      <c r="K1154" s="34" t="str">
        <f aca="false">IF($G1154="","",IF(AND(H1154=0,I1154=0),"جارية","مغلقة"))</f>
        <v/>
      </c>
      <c r="L1154" s="26" t="str">
        <f aca="false">IF($G1154="","",MAX(0,NETWORKDAYS.INTL($E1154,J1154,رمز_العطلة,أيام_الأجازات)-1))</f>
        <v/>
      </c>
      <c r="M1154" s="26" t="str">
        <f aca="false">IF($G1154="","",MAX(0,L1154-مهلة_المراجعة))</f>
        <v/>
      </c>
      <c r="N1154" s="30" t="str">
        <f aca="false">IF($A1154="",IF(OR($D1154&lt;&gt;"",$E1154&lt;&gt;""),"رقم المخرج ناقص",""),IF(ISNA(MATCH($A1154,قائمة_المخرجات,0)),"رقم مخرج غير موجود",IF($D1154="","نوع الحركة ناقص",IF(NOT(ISNUMBER($E1154)),"التاريخ ناقص",IF($E1154&gt;تاريخ_الاحتساب,"تاريخ بعد تاريخ الاحتساب",IF(AND($D1154&lt;&gt;"تسليم",COUNTIFS($A$5:$A$1504,$A1154,$D$5:$D$1504,"تسليم",$E$5:$E$1504,"&lt;="&amp;$E1154)=0),"لا يوجد تسليم قبل الحركة دي",""))))))</f>
        <v/>
      </c>
    </row>
    <row r="1155" customFormat="false" ht="15" hidden="false" customHeight="false" outlineLevel="0" collapsed="false">
      <c r="A1155" s="20"/>
      <c r="B1155" s="35" t="str">
        <f aca="false">IF($A1155="","",IFERROR(INDEX(مخرج_البند,MATCH($A1155,قائمة_المخرجات,0)),""))</f>
        <v/>
      </c>
      <c r="C1155" s="30" t="str">
        <f aca="false">IF($A1155="","",IFERROR(INDEX(مخرج_الوصف,MATCH($A1155,قائمة_المخرجات,0)),""))</f>
        <v/>
      </c>
      <c r="D1155" s="20"/>
      <c r="E1155" s="31"/>
      <c r="F1155" s="22"/>
      <c r="G1155" s="36" t="str">
        <f aca="false">IF(OR($A1155="",$D1155&lt;&gt;"تسليم",NOT(ISNUMBER($E1155))),"",COUNTIFS($A$5:$A$1504,$A1155,$D$5:$D$1504,"تسليم",$E$5:$E$1504,"&lt;"&amp;$E1155)+1)</f>
        <v/>
      </c>
      <c r="H1155" s="33" t="str">
        <f aca="false">IF($G1155="","",_xlfn.MINIFS($E$5:$E$1504,$A$5:$A$1504,$A1155,$D$5:$D$1504,"&lt;&gt;تسليم",$E$5:$E$1504,"&gt;="&amp;$E1155))</f>
        <v/>
      </c>
      <c r="I1155" s="33" t="str">
        <f aca="false">IF($G1155="","",_xlfn.MINIFS($E$5:$E$1504,$A$5:$A$1504,$A1155,$D$5:$D$1504,"تسليم",$E$5:$E$1504,"&gt;"&amp;$E1155))</f>
        <v/>
      </c>
      <c r="J1155" s="33" t="str">
        <f aca="false">IF($G1155="","",IF(H1155&gt;0,IF(I1155&gt;0,MIN(H1155,I1155),H1155),IF(I1155&gt;0,I1155,تاريخ_الاحتساب)))</f>
        <v/>
      </c>
      <c r="K1155" s="34" t="str">
        <f aca="false">IF($G1155="","",IF(AND(H1155=0,I1155=0),"جارية","مغلقة"))</f>
        <v/>
      </c>
      <c r="L1155" s="26" t="str">
        <f aca="false">IF($G1155="","",MAX(0,NETWORKDAYS.INTL($E1155,J1155,رمز_العطلة,أيام_الأجازات)-1))</f>
        <v/>
      </c>
      <c r="M1155" s="26" t="str">
        <f aca="false">IF($G1155="","",MAX(0,L1155-مهلة_المراجعة))</f>
        <v/>
      </c>
      <c r="N1155" s="30" t="str">
        <f aca="false">IF($A1155="",IF(OR($D1155&lt;&gt;"",$E1155&lt;&gt;""),"رقم المخرج ناقص",""),IF(ISNA(MATCH($A1155,قائمة_المخرجات,0)),"رقم مخرج غير موجود",IF($D1155="","نوع الحركة ناقص",IF(NOT(ISNUMBER($E1155)),"التاريخ ناقص",IF($E1155&gt;تاريخ_الاحتساب,"تاريخ بعد تاريخ الاحتساب",IF(AND($D1155&lt;&gt;"تسليم",COUNTIFS($A$5:$A$1504,$A1155,$D$5:$D$1504,"تسليم",$E$5:$E$1504,"&lt;="&amp;$E1155)=0),"لا يوجد تسليم قبل الحركة دي",""))))))</f>
        <v/>
      </c>
    </row>
    <row r="1156" customFormat="false" ht="15" hidden="false" customHeight="false" outlineLevel="0" collapsed="false">
      <c r="A1156" s="20"/>
      <c r="B1156" s="35" t="str">
        <f aca="false">IF($A1156="","",IFERROR(INDEX(مخرج_البند,MATCH($A1156,قائمة_المخرجات,0)),""))</f>
        <v/>
      </c>
      <c r="C1156" s="30" t="str">
        <f aca="false">IF($A1156="","",IFERROR(INDEX(مخرج_الوصف,MATCH($A1156,قائمة_المخرجات,0)),""))</f>
        <v/>
      </c>
      <c r="D1156" s="20"/>
      <c r="E1156" s="31"/>
      <c r="F1156" s="22"/>
      <c r="G1156" s="36" t="str">
        <f aca="false">IF(OR($A1156="",$D1156&lt;&gt;"تسليم",NOT(ISNUMBER($E1156))),"",COUNTIFS($A$5:$A$1504,$A1156,$D$5:$D$1504,"تسليم",$E$5:$E$1504,"&lt;"&amp;$E1156)+1)</f>
        <v/>
      </c>
      <c r="H1156" s="33" t="str">
        <f aca="false">IF($G1156="","",_xlfn.MINIFS($E$5:$E$1504,$A$5:$A$1504,$A1156,$D$5:$D$1504,"&lt;&gt;تسليم",$E$5:$E$1504,"&gt;="&amp;$E1156))</f>
        <v/>
      </c>
      <c r="I1156" s="33" t="str">
        <f aca="false">IF($G1156="","",_xlfn.MINIFS($E$5:$E$1504,$A$5:$A$1504,$A1156,$D$5:$D$1504,"تسليم",$E$5:$E$1504,"&gt;"&amp;$E1156))</f>
        <v/>
      </c>
      <c r="J1156" s="33" t="str">
        <f aca="false">IF($G1156="","",IF(H1156&gt;0,IF(I1156&gt;0,MIN(H1156,I1156),H1156),IF(I1156&gt;0,I1156,تاريخ_الاحتساب)))</f>
        <v/>
      </c>
      <c r="K1156" s="34" t="str">
        <f aca="false">IF($G1156="","",IF(AND(H1156=0,I1156=0),"جارية","مغلقة"))</f>
        <v/>
      </c>
      <c r="L1156" s="26" t="str">
        <f aca="false">IF($G1156="","",MAX(0,NETWORKDAYS.INTL($E1156,J1156,رمز_العطلة,أيام_الأجازات)-1))</f>
        <v/>
      </c>
      <c r="M1156" s="26" t="str">
        <f aca="false">IF($G1156="","",MAX(0,L1156-مهلة_المراجعة))</f>
        <v/>
      </c>
      <c r="N1156" s="30" t="str">
        <f aca="false">IF($A1156="",IF(OR($D1156&lt;&gt;"",$E1156&lt;&gt;""),"رقم المخرج ناقص",""),IF(ISNA(MATCH($A1156,قائمة_المخرجات,0)),"رقم مخرج غير موجود",IF($D1156="","نوع الحركة ناقص",IF(NOT(ISNUMBER($E1156)),"التاريخ ناقص",IF($E1156&gt;تاريخ_الاحتساب,"تاريخ بعد تاريخ الاحتساب",IF(AND($D1156&lt;&gt;"تسليم",COUNTIFS($A$5:$A$1504,$A1156,$D$5:$D$1504,"تسليم",$E$5:$E$1504,"&lt;="&amp;$E1156)=0),"لا يوجد تسليم قبل الحركة دي",""))))))</f>
        <v/>
      </c>
    </row>
    <row r="1157" customFormat="false" ht="15" hidden="false" customHeight="false" outlineLevel="0" collapsed="false">
      <c r="A1157" s="20"/>
      <c r="B1157" s="35" t="str">
        <f aca="false">IF($A1157="","",IFERROR(INDEX(مخرج_البند,MATCH($A1157,قائمة_المخرجات,0)),""))</f>
        <v/>
      </c>
      <c r="C1157" s="30" t="str">
        <f aca="false">IF($A1157="","",IFERROR(INDEX(مخرج_الوصف,MATCH($A1157,قائمة_المخرجات,0)),""))</f>
        <v/>
      </c>
      <c r="D1157" s="20"/>
      <c r="E1157" s="31"/>
      <c r="F1157" s="22"/>
      <c r="G1157" s="36" t="str">
        <f aca="false">IF(OR($A1157="",$D1157&lt;&gt;"تسليم",NOT(ISNUMBER($E1157))),"",COUNTIFS($A$5:$A$1504,$A1157,$D$5:$D$1504,"تسليم",$E$5:$E$1504,"&lt;"&amp;$E1157)+1)</f>
        <v/>
      </c>
      <c r="H1157" s="33" t="str">
        <f aca="false">IF($G1157="","",_xlfn.MINIFS($E$5:$E$1504,$A$5:$A$1504,$A1157,$D$5:$D$1504,"&lt;&gt;تسليم",$E$5:$E$1504,"&gt;="&amp;$E1157))</f>
        <v/>
      </c>
      <c r="I1157" s="33" t="str">
        <f aca="false">IF($G1157="","",_xlfn.MINIFS($E$5:$E$1504,$A$5:$A$1504,$A1157,$D$5:$D$1504,"تسليم",$E$5:$E$1504,"&gt;"&amp;$E1157))</f>
        <v/>
      </c>
      <c r="J1157" s="33" t="str">
        <f aca="false">IF($G1157="","",IF(H1157&gt;0,IF(I1157&gt;0,MIN(H1157,I1157),H1157),IF(I1157&gt;0,I1157,تاريخ_الاحتساب)))</f>
        <v/>
      </c>
      <c r="K1157" s="34" t="str">
        <f aca="false">IF($G1157="","",IF(AND(H1157=0,I1157=0),"جارية","مغلقة"))</f>
        <v/>
      </c>
      <c r="L1157" s="26" t="str">
        <f aca="false">IF($G1157="","",MAX(0,NETWORKDAYS.INTL($E1157,J1157,رمز_العطلة,أيام_الأجازات)-1))</f>
        <v/>
      </c>
      <c r="M1157" s="26" t="str">
        <f aca="false">IF($G1157="","",MAX(0,L1157-مهلة_المراجعة))</f>
        <v/>
      </c>
      <c r="N1157" s="30" t="str">
        <f aca="false">IF($A1157="",IF(OR($D1157&lt;&gt;"",$E1157&lt;&gt;""),"رقم المخرج ناقص",""),IF(ISNA(MATCH($A1157,قائمة_المخرجات,0)),"رقم مخرج غير موجود",IF($D1157="","نوع الحركة ناقص",IF(NOT(ISNUMBER($E1157)),"التاريخ ناقص",IF($E1157&gt;تاريخ_الاحتساب,"تاريخ بعد تاريخ الاحتساب",IF(AND($D1157&lt;&gt;"تسليم",COUNTIFS($A$5:$A$1504,$A1157,$D$5:$D$1504,"تسليم",$E$5:$E$1504,"&lt;="&amp;$E1157)=0),"لا يوجد تسليم قبل الحركة دي",""))))))</f>
        <v/>
      </c>
    </row>
    <row r="1158" customFormat="false" ht="15" hidden="false" customHeight="false" outlineLevel="0" collapsed="false">
      <c r="A1158" s="20"/>
      <c r="B1158" s="35" t="str">
        <f aca="false">IF($A1158="","",IFERROR(INDEX(مخرج_البند,MATCH($A1158,قائمة_المخرجات,0)),""))</f>
        <v/>
      </c>
      <c r="C1158" s="30" t="str">
        <f aca="false">IF($A1158="","",IFERROR(INDEX(مخرج_الوصف,MATCH($A1158,قائمة_المخرجات,0)),""))</f>
        <v/>
      </c>
      <c r="D1158" s="20"/>
      <c r="E1158" s="31"/>
      <c r="F1158" s="22"/>
      <c r="G1158" s="36" t="str">
        <f aca="false">IF(OR($A1158="",$D1158&lt;&gt;"تسليم",NOT(ISNUMBER($E1158))),"",COUNTIFS($A$5:$A$1504,$A1158,$D$5:$D$1504,"تسليم",$E$5:$E$1504,"&lt;"&amp;$E1158)+1)</f>
        <v/>
      </c>
      <c r="H1158" s="33" t="str">
        <f aca="false">IF($G1158="","",_xlfn.MINIFS($E$5:$E$1504,$A$5:$A$1504,$A1158,$D$5:$D$1504,"&lt;&gt;تسليم",$E$5:$E$1504,"&gt;="&amp;$E1158))</f>
        <v/>
      </c>
      <c r="I1158" s="33" t="str">
        <f aca="false">IF($G1158="","",_xlfn.MINIFS($E$5:$E$1504,$A$5:$A$1504,$A1158,$D$5:$D$1504,"تسليم",$E$5:$E$1504,"&gt;"&amp;$E1158))</f>
        <v/>
      </c>
      <c r="J1158" s="33" t="str">
        <f aca="false">IF($G1158="","",IF(H1158&gt;0,IF(I1158&gt;0,MIN(H1158,I1158),H1158),IF(I1158&gt;0,I1158,تاريخ_الاحتساب)))</f>
        <v/>
      </c>
      <c r="K1158" s="34" t="str">
        <f aca="false">IF($G1158="","",IF(AND(H1158=0,I1158=0),"جارية","مغلقة"))</f>
        <v/>
      </c>
      <c r="L1158" s="26" t="str">
        <f aca="false">IF($G1158="","",MAX(0,NETWORKDAYS.INTL($E1158,J1158,رمز_العطلة,أيام_الأجازات)-1))</f>
        <v/>
      </c>
      <c r="M1158" s="26" t="str">
        <f aca="false">IF($G1158="","",MAX(0,L1158-مهلة_المراجعة))</f>
        <v/>
      </c>
      <c r="N1158" s="30" t="str">
        <f aca="false">IF($A1158="",IF(OR($D1158&lt;&gt;"",$E1158&lt;&gt;""),"رقم المخرج ناقص",""),IF(ISNA(MATCH($A1158,قائمة_المخرجات,0)),"رقم مخرج غير موجود",IF($D1158="","نوع الحركة ناقص",IF(NOT(ISNUMBER($E1158)),"التاريخ ناقص",IF($E1158&gt;تاريخ_الاحتساب,"تاريخ بعد تاريخ الاحتساب",IF(AND($D1158&lt;&gt;"تسليم",COUNTIFS($A$5:$A$1504,$A1158,$D$5:$D$1504,"تسليم",$E$5:$E$1504,"&lt;="&amp;$E1158)=0),"لا يوجد تسليم قبل الحركة دي",""))))))</f>
        <v/>
      </c>
    </row>
    <row r="1159" customFormat="false" ht="15" hidden="false" customHeight="false" outlineLevel="0" collapsed="false">
      <c r="A1159" s="20"/>
      <c r="B1159" s="35" t="str">
        <f aca="false">IF($A1159="","",IFERROR(INDEX(مخرج_البند,MATCH($A1159,قائمة_المخرجات,0)),""))</f>
        <v/>
      </c>
      <c r="C1159" s="30" t="str">
        <f aca="false">IF($A1159="","",IFERROR(INDEX(مخرج_الوصف,MATCH($A1159,قائمة_المخرجات,0)),""))</f>
        <v/>
      </c>
      <c r="D1159" s="20"/>
      <c r="E1159" s="31"/>
      <c r="F1159" s="22"/>
      <c r="G1159" s="36" t="str">
        <f aca="false">IF(OR($A1159="",$D1159&lt;&gt;"تسليم",NOT(ISNUMBER($E1159))),"",COUNTIFS($A$5:$A$1504,$A1159,$D$5:$D$1504,"تسليم",$E$5:$E$1504,"&lt;"&amp;$E1159)+1)</f>
        <v/>
      </c>
      <c r="H1159" s="33" t="str">
        <f aca="false">IF($G1159="","",_xlfn.MINIFS($E$5:$E$1504,$A$5:$A$1504,$A1159,$D$5:$D$1504,"&lt;&gt;تسليم",$E$5:$E$1504,"&gt;="&amp;$E1159))</f>
        <v/>
      </c>
      <c r="I1159" s="33" t="str">
        <f aca="false">IF($G1159="","",_xlfn.MINIFS($E$5:$E$1504,$A$5:$A$1504,$A1159,$D$5:$D$1504,"تسليم",$E$5:$E$1504,"&gt;"&amp;$E1159))</f>
        <v/>
      </c>
      <c r="J1159" s="33" t="str">
        <f aca="false">IF($G1159="","",IF(H1159&gt;0,IF(I1159&gt;0,MIN(H1159,I1159),H1159),IF(I1159&gt;0,I1159,تاريخ_الاحتساب)))</f>
        <v/>
      </c>
      <c r="K1159" s="34" t="str">
        <f aca="false">IF($G1159="","",IF(AND(H1159=0,I1159=0),"جارية","مغلقة"))</f>
        <v/>
      </c>
      <c r="L1159" s="26" t="str">
        <f aca="false">IF($G1159="","",MAX(0,NETWORKDAYS.INTL($E1159,J1159,رمز_العطلة,أيام_الأجازات)-1))</f>
        <v/>
      </c>
      <c r="M1159" s="26" t="str">
        <f aca="false">IF($G1159="","",MAX(0,L1159-مهلة_المراجعة))</f>
        <v/>
      </c>
      <c r="N1159" s="30" t="str">
        <f aca="false">IF($A1159="",IF(OR($D1159&lt;&gt;"",$E1159&lt;&gt;""),"رقم المخرج ناقص",""),IF(ISNA(MATCH($A1159,قائمة_المخرجات,0)),"رقم مخرج غير موجود",IF($D1159="","نوع الحركة ناقص",IF(NOT(ISNUMBER($E1159)),"التاريخ ناقص",IF($E1159&gt;تاريخ_الاحتساب,"تاريخ بعد تاريخ الاحتساب",IF(AND($D1159&lt;&gt;"تسليم",COUNTIFS($A$5:$A$1504,$A1159,$D$5:$D$1504,"تسليم",$E$5:$E$1504,"&lt;="&amp;$E1159)=0),"لا يوجد تسليم قبل الحركة دي",""))))))</f>
        <v/>
      </c>
    </row>
    <row r="1160" customFormat="false" ht="15" hidden="false" customHeight="false" outlineLevel="0" collapsed="false">
      <c r="A1160" s="20"/>
      <c r="B1160" s="35" t="str">
        <f aca="false">IF($A1160="","",IFERROR(INDEX(مخرج_البند,MATCH($A1160,قائمة_المخرجات,0)),""))</f>
        <v/>
      </c>
      <c r="C1160" s="30" t="str">
        <f aca="false">IF($A1160="","",IFERROR(INDEX(مخرج_الوصف,MATCH($A1160,قائمة_المخرجات,0)),""))</f>
        <v/>
      </c>
      <c r="D1160" s="20"/>
      <c r="E1160" s="31"/>
      <c r="F1160" s="22"/>
      <c r="G1160" s="36" t="str">
        <f aca="false">IF(OR($A1160="",$D1160&lt;&gt;"تسليم",NOT(ISNUMBER($E1160))),"",COUNTIFS($A$5:$A$1504,$A1160,$D$5:$D$1504,"تسليم",$E$5:$E$1504,"&lt;"&amp;$E1160)+1)</f>
        <v/>
      </c>
      <c r="H1160" s="33" t="str">
        <f aca="false">IF($G1160="","",_xlfn.MINIFS($E$5:$E$1504,$A$5:$A$1504,$A1160,$D$5:$D$1504,"&lt;&gt;تسليم",$E$5:$E$1504,"&gt;="&amp;$E1160))</f>
        <v/>
      </c>
      <c r="I1160" s="33" t="str">
        <f aca="false">IF($G1160="","",_xlfn.MINIFS($E$5:$E$1504,$A$5:$A$1504,$A1160,$D$5:$D$1504,"تسليم",$E$5:$E$1504,"&gt;"&amp;$E1160))</f>
        <v/>
      </c>
      <c r="J1160" s="33" t="str">
        <f aca="false">IF($G1160="","",IF(H1160&gt;0,IF(I1160&gt;0,MIN(H1160,I1160),H1160),IF(I1160&gt;0,I1160,تاريخ_الاحتساب)))</f>
        <v/>
      </c>
      <c r="K1160" s="34" t="str">
        <f aca="false">IF($G1160="","",IF(AND(H1160=0,I1160=0),"جارية","مغلقة"))</f>
        <v/>
      </c>
      <c r="L1160" s="26" t="str">
        <f aca="false">IF($G1160="","",MAX(0,NETWORKDAYS.INTL($E1160,J1160,رمز_العطلة,أيام_الأجازات)-1))</f>
        <v/>
      </c>
      <c r="M1160" s="26" t="str">
        <f aca="false">IF($G1160="","",MAX(0,L1160-مهلة_المراجعة))</f>
        <v/>
      </c>
      <c r="N1160" s="30" t="str">
        <f aca="false">IF($A1160="",IF(OR($D1160&lt;&gt;"",$E1160&lt;&gt;""),"رقم المخرج ناقص",""),IF(ISNA(MATCH($A1160,قائمة_المخرجات,0)),"رقم مخرج غير موجود",IF($D1160="","نوع الحركة ناقص",IF(NOT(ISNUMBER($E1160)),"التاريخ ناقص",IF($E1160&gt;تاريخ_الاحتساب,"تاريخ بعد تاريخ الاحتساب",IF(AND($D1160&lt;&gt;"تسليم",COUNTIFS($A$5:$A$1504,$A1160,$D$5:$D$1504,"تسليم",$E$5:$E$1504,"&lt;="&amp;$E1160)=0),"لا يوجد تسليم قبل الحركة دي",""))))))</f>
        <v/>
      </c>
    </row>
    <row r="1161" customFormat="false" ht="15" hidden="false" customHeight="false" outlineLevel="0" collapsed="false">
      <c r="A1161" s="20"/>
      <c r="B1161" s="35" t="str">
        <f aca="false">IF($A1161="","",IFERROR(INDEX(مخرج_البند,MATCH($A1161,قائمة_المخرجات,0)),""))</f>
        <v/>
      </c>
      <c r="C1161" s="30" t="str">
        <f aca="false">IF($A1161="","",IFERROR(INDEX(مخرج_الوصف,MATCH($A1161,قائمة_المخرجات,0)),""))</f>
        <v/>
      </c>
      <c r="D1161" s="20"/>
      <c r="E1161" s="31"/>
      <c r="F1161" s="22"/>
      <c r="G1161" s="36" t="str">
        <f aca="false">IF(OR($A1161="",$D1161&lt;&gt;"تسليم",NOT(ISNUMBER($E1161))),"",COUNTIFS($A$5:$A$1504,$A1161,$D$5:$D$1504,"تسليم",$E$5:$E$1504,"&lt;"&amp;$E1161)+1)</f>
        <v/>
      </c>
      <c r="H1161" s="33" t="str">
        <f aca="false">IF($G1161="","",_xlfn.MINIFS($E$5:$E$1504,$A$5:$A$1504,$A1161,$D$5:$D$1504,"&lt;&gt;تسليم",$E$5:$E$1504,"&gt;="&amp;$E1161))</f>
        <v/>
      </c>
      <c r="I1161" s="33" t="str">
        <f aca="false">IF($G1161="","",_xlfn.MINIFS($E$5:$E$1504,$A$5:$A$1504,$A1161,$D$5:$D$1504,"تسليم",$E$5:$E$1504,"&gt;"&amp;$E1161))</f>
        <v/>
      </c>
      <c r="J1161" s="33" t="str">
        <f aca="false">IF($G1161="","",IF(H1161&gt;0,IF(I1161&gt;0,MIN(H1161,I1161),H1161),IF(I1161&gt;0,I1161,تاريخ_الاحتساب)))</f>
        <v/>
      </c>
      <c r="K1161" s="34" t="str">
        <f aca="false">IF($G1161="","",IF(AND(H1161=0,I1161=0),"جارية","مغلقة"))</f>
        <v/>
      </c>
      <c r="L1161" s="26" t="str">
        <f aca="false">IF($G1161="","",MAX(0,NETWORKDAYS.INTL($E1161,J1161,رمز_العطلة,أيام_الأجازات)-1))</f>
        <v/>
      </c>
      <c r="M1161" s="26" t="str">
        <f aca="false">IF($G1161="","",MAX(0,L1161-مهلة_المراجعة))</f>
        <v/>
      </c>
      <c r="N1161" s="30" t="str">
        <f aca="false">IF($A1161="",IF(OR($D1161&lt;&gt;"",$E1161&lt;&gt;""),"رقم المخرج ناقص",""),IF(ISNA(MATCH($A1161,قائمة_المخرجات,0)),"رقم مخرج غير موجود",IF($D1161="","نوع الحركة ناقص",IF(NOT(ISNUMBER($E1161)),"التاريخ ناقص",IF($E1161&gt;تاريخ_الاحتساب,"تاريخ بعد تاريخ الاحتساب",IF(AND($D1161&lt;&gt;"تسليم",COUNTIFS($A$5:$A$1504,$A1161,$D$5:$D$1504,"تسليم",$E$5:$E$1504,"&lt;="&amp;$E1161)=0),"لا يوجد تسليم قبل الحركة دي",""))))))</f>
        <v/>
      </c>
    </row>
    <row r="1162" customFormat="false" ht="15" hidden="false" customHeight="false" outlineLevel="0" collapsed="false">
      <c r="A1162" s="20"/>
      <c r="B1162" s="35" t="str">
        <f aca="false">IF($A1162="","",IFERROR(INDEX(مخرج_البند,MATCH($A1162,قائمة_المخرجات,0)),""))</f>
        <v/>
      </c>
      <c r="C1162" s="30" t="str">
        <f aca="false">IF($A1162="","",IFERROR(INDEX(مخرج_الوصف,MATCH($A1162,قائمة_المخرجات,0)),""))</f>
        <v/>
      </c>
      <c r="D1162" s="20"/>
      <c r="E1162" s="31"/>
      <c r="F1162" s="22"/>
      <c r="G1162" s="36" t="str">
        <f aca="false">IF(OR($A1162="",$D1162&lt;&gt;"تسليم",NOT(ISNUMBER($E1162))),"",COUNTIFS($A$5:$A$1504,$A1162,$D$5:$D$1504,"تسليم",$E$5:$E$1504,"&lt;"&amp;$E1162)+1)</f>
        <v/>
      </c>
      <c r="H1162" s="33" t="str">
        <f aca="false">IF($G1162="","",_xlfn.MINIFS($E$5:$E$1504,$A$5:$A$1504,$A1162,$D$5:$D$1504,"&lt;&gt;تسليم",$E$5:$E$1504,"&gt;="&amp;$E1162))</f>
        <v/>
      </c>
      <c r="I1162" s="33" t="str">
        <f aca="false">IF($G1162="","",_xlfn.MINIFS($E$5:$E$1504,$A$5:$A$1504,$A1162,$D$5:$D$1504,"تسليم",$E$5:$E$1504,"&gt;"&amp;$E1162))</f>
        <v/>
      </c>
      <c r="J1162" s="33" t="str">
        <f aca="false">IF($G1162="","",IF(H1162&gt;0,IF(I1162&gt;0,MIN(H1162,I1162),H1162),IF(I1162&gt;0,I1162,تاريخ_الاحتساب)))</f>
        <v/>
      </c>
      <c r="K1162" s="34" t="str">
        <f aca="false">IF($G1162="","",IF(AND(H1162=0,I1162=0),"جارية","مغلقة"))</f>
        <v/>
      </c>
      <c r="L1162" s="26" t="str">
        <f aca="false">IF($G1162="","",MAX(0,NETWORKDAYS.INTL($E1162,J1162,رمز_العطلة,أيام_الأجازات)-1))</f>
        <v/>
      </c>
      <c r="M1162" s="26" t="str">
        <f aca="false">IF($G1162="","",MAX(0,L1162-مهلة_المراجعة))</f>
        <v/>
      </c>
      <c r="N1162" s="30" t="str">
        <f aca="false">IF($A1162="",IF(OR($D1162&lt;&gt;"",$E1162&lt;&gt;""),"رقم المخرج ناقص",""),IF(ISNA(MATCH($A1162,قائمة_المخرجات,0)),"رقم مخرج غير موجود",IF($D1162="","نوع الحركة ناقص",IF(NOT(ISNUMBER($E1162)),"التاريخ ناقص",IF($E1162&gt;تاريخ_الاحتساب,"تاريخ بعد تاريخ الاحتساب",IF(AND($D1162&lt;&gt;"تسليم",COUNTIFS($A$5:$A$1504,$A1162,$D$5:$D$1504,"تسليم",$E$5:$E$1504,"&lt;="&amp;$E1162)=0),"لا يوجد تسليم قبل الحركة دي",""))))))</f>
        <v/>
      </c>
    </row>
    <row r="1163" customFormat="false" ht="15" hidden="false" customHeight="false" outlineLevel="0" collapsed="false">
      <c r="A1163" s="20"/>
      <c r="B1163" s="35" t="str">
        <f aca="false">IF($A1163="","",IFERROR(INDEX(مخرج_البند,MATCH($A1163,قائمة_المخرجات,0)),""))</f>
        <v/>
      </c>
      <c r="C1163" s="30" t="str">
        <f aca="false">IF($A1163="","",IFERROR(INDEX(مخرج_الوصف,MATCH($A1163,قائمة_المخرجات,0)),""))</f>
        <v/>
      </c>
      <c r="D1163" s="20"/>
      <c r="E1163" s="31"/>
      <c r="F1163" s="22"/>
      <c r="G1163" s="36" t="str">
        <f aca="false">IF(OR($A1163="",$D1163&lt;&gt;"تسليم",NOT(ISNUMBER($E1163))),"",COUNTIFS($A$5:$A$1504,$A1163,$D$5:$D$1504,"تسليم",$E$5:$E$1504,"&lt;"&amp;$E1163)+1)</f>
        <v/>
      </c>
      <c r="H1163" s="33" t="str">
        <f aca="false">IF($G1163="","",_xlfn.MINIFS($E$5:$E$1504,$A$5:$A$1504,$A1163,$D$5:$D$1504,"&lt;&gt;تسليم",$E$5:$E$1504,"&gt;="&amp;$E1163))</f>
        <v/>
      </c>
      <c r="I1163" s="33" t="str">
        <f aca="false">IF($G1163="","",_xlfn.MINIFS($E$5:$E$1504,$A$5:$A$1504,$A1163,$D$5:$D$1504,"تسليم",$E$5:$E$1504,"&gt;"&amp;$E1163))</f>
        <v/>
      </c>
      <c r="J1163" s="33" t="str">
        <f aca="false">IF($G1163="","",IF(H1163&gt;0,IF(I1163&gt;0,MIN(H1163,I1163),H1163),IF(I1163&gt;0,I1163,تاريخ_الاحتساب)))</f>
        <v/>
      </c>
      <c r="K1163" s="34" t="str">
        <f aca="false">IF($G1163="","",IF(AND(H1163=0,I1163=0),"جارية","مغلقة"))</f>
        <v/>
      </c>
      <c r="L1163" s="26" t="str">
        <f aca="false">IF($G1163="","",MAX(0,NETWORKDAYS.INTL($E1163,J1163,رمز_العطلة,أيام_الأجازات)-1))</f>
        <v/>
      </c>
      <c r="M1163" s="26" t="str">
        <f aca="false">IF($G1163="","",MAX(0,L1163-مهلة_المراجعة))</f>
        <v/>
      </c>
      <c r="N1163" s="30" t="str">
        <f aca="false">IF($A1163="",IF(OR($D1163&lt;&gt;"",$E1163&lt;&gt;""),"رقم المخرج ناقص",""),IF(ISNA(MATCH($A1163,قائمة_المخرجات,0)),"رقم مخرج غير موجود",IF($D1163="","نوع الحركة ناقص",IF(NOT(ISNUMBER($E1163)),"التاريخ ناقص",IF($E1163&gt;تاريخ_الاحتساب,"تاريخ بعد تاريخ الاحتساب",IF(AND($D1163&lt;&gt;"تسليم",COUNTIFS($A$5:$A$1504,$A1163,$D$5:$D$1504,"تسليم",$E$5:$E$1504,"&lt;="&amp;$E1163)=0),"لا يوجد تسليم قبل الحركة دي",""))))))</f>
        <v/>
      </c>
    </row>
    <row r="1164" customFormat="false" ht="15" hidden="false" customHeight="false" outlineLevel="0" collapsed="false">
      <c r="A1164" s="20"/>
      <c r="B1164" s="35" t="str">
        <f aca="false">IF($A1164="","",IFERROR(INDEX(مخرج_البند,MATCH($A1164,قائمة_المخرجات,0)),""))</f>
        <v/>
      </c>
      <c r="C1164" s="30" t="str">
        <f aca="false">IF($A1164="","",IFERROR(INDEX(مخرج_الوصف,MATCH($A1164,قائمة_المخرجات,0)),""))</f>
        <v/>
      </c>
      <c r="D1164" s="20"/>
      <c r="E1164" s="31"/>
      <c r="F1164" s="22"/>
      <c r="G1164" s="36" t="str">
        <f aca="false">IF(OR($A1164="",$D1164&lt;&gt;"تسليم",NOT(ISNUMBER($E1164))),"",COUNTIFS($A$5:$A$1504,$A1164,$D$5:$D$1504,"تسليم",$E$5:$E$1504,"&lt;"&amp;$E1164)+1)</f>
        <v/>
      </c>
      <c r="H1164" s="33" t="str">
        <f aca="false">IF($G1164="","",_xlfn.MINIFS($E$5:$E$1504,$A$5:$A$1504,$A1164,$D$5:$D$1504,"&lt;&gt;تسليم",$E$5:$E$1504,"&gt;="&amp;$E1164))</f>
        <v/>
      </c>
      <c r="I1164" s="33" t="str">
        <f aca="false">IF($G1164="","",_xlfn.MINIFS($E$5:$E$1504,$A$5:$A$1504,$A1164,$D$5:$D$1504,"تسليم",$E$5:$E$1504,"&gt;"&amp;$E1164))</f>
        <v/>
      </c>
      <c r="J1164" s="33" t="str">
        <f aca="false">IF($G1164="","",IF(H1164&gt;0,IF(I1164&gt;0,MIN(H1164,I1164),H1164),IF(I1164&gt;0,I1164,تاريخ_الاحتساب)))</f>
        <v/>
      </c>
      <c r="K1164" s="34" t="str">
        <f aca="false">IF($G1164="","",IF(AND(H1164=0,I1164=0),"جارية","مغلقة"))</f>
        <v/>
      </c>
      <c r="L1164" s="26" t="str">
        <f aca="false">IF($G1164="","",MAX(0,NETWORKDAYS.INTL($E1164,J1164,رمز_العطلة,أيام_الأجازات)-1))</f>
        <v/>
      </c>
      <c r="M1164" s="26" t="str">
        <f aca="false">IF($G1164="","",MAX(0,L1164-مهلة_المراجعة))</f>
        <v/>
      </c>
      <c r="N1164" s="30" t="str">
        <f aca="false">IF($A1164="",IF(OR($D1164&lt;&gt;"",$E1164&lt;&gt;""),"رقم المخرج ناقص",""),IF(ISNA(MATCH($A1164,قائمة_المخرجات,0)),"رقم مخرج غير موجود",IF($D1164="","نوع الحركة ناقص",IF(NOT(ISNUMBER($E1164)),"التاريخ ناقص",IF($E1164&gt;تاريخ_الاحتساب,"تاريخ بعد تاريخ الاحتساب",IF(AND($D1164&lt;&gt;"تسليم",COUNTIFS($A$5:$A$1504,$A1164,$D$5:$D$1504,"تسليم",$E$5:$E$1504,"&lt;="&amp;$E1164)=0),"لا يوجد تسليم قبل الحركة دي",""))))))</f>
        <v/>
      </c>
    </row>
    <row r="1165" customFormat="false" ht="15" hidden="false" customHeight="false" outlineLevel="0" collapsed="false">
      <c r="A1165" s="20"/>
      <c r="B1165" s="35" t="str">
        <f aca="false">IF($A1165="","",IFERROR(INDEX(مخرج_البند,MATCH($A1165,قائمة_المخرجات,0)),""))</f>
        <v/>
      </c>
      <c r="C1165" s="30" t="str">
        <f aca="false">IF($A1165="","",IFERROR(INDEX(مخرج_الوصف,MATCH($A1165,قائمة_المخرجات,0)),""))</f>
        <v/>
      </c>
      <c r="D1165" s="20"/>
      <c r="E1165" s="31"/>
      <c r="F1165" s="22"/>
      <c r="G1165" s="36" t="str">
        <f aca="false">IF(OR($A1165="",$D1165&lt;&gt;"تسليم",NOT(ISNUMBER($E1165))),"",COUNTIFS($A$5:$A$1504,$A1165,$D$5:$D$1504,"تسليم",$E$5:$E$1504,"&lt;"&amp;$E1165)+1)</f>
        <v/>
      </c>
      <c r="H1165" s="33" t="str">
        <f aca="false">IF($G1165="","",_xlfn.MINIFS($E$5:$E$1504,$A$5:$A$1504,$A1165,$D$5:$D$1504,"&lt;&gt;تسليم",$E$5:$E$1504,"&gt;="&amp;$E1165))</f>
        <v/>
      </c>
      <c r="I1165" s="33" t="str">
        <f aca="false">IF($G1165="","",_xlfn.MINIFS($E$5:$E$1504,$A$5:$A$1504,$A1165,$D$5:$D$1504,"تسليم",$E$5:$E$1504,"&gt;"&amp;$E1165))</f>
        <v/>
      </c>
      <c r="J1165" s="33" t="str">
        <f aca="false">IF($G1165="","",IF(H1165&gt;0,IF(I1165&gt;0,MIN(H1165,I1165),H1165),IF(I1165&gt;0,I1165,تاريخ_الاحتساب)))</f>
        <v/>
      </c>
      <c r="K1165" s="34" t="str">
        <f aca="false">IF($G1165="","",IF(AND(H1165=0,I1165=0),"جارية","مغلقة"))</f>
        <v/>
      </c>
      <c r="L1165" s="26" t="str">
        <f aca="false">IF($G1165="","",MAX(0,NETWORKDAYS.INTL($E1165,J1165,رمز_العطلة,أيام_الأجازات)-1))</f>
        <v/>
      </c>
      <c r="M1165" s="26" t="str">
        <f aca="false">IF($G1165="","",MAX(0,L1165-مهلة_المراجعة))</f>
        <v/>
      </c>
      <c r="N1165" s="30" t="str">
        <f aca="false">IF($A1165="",IF(OR($D1165&lt;&gt;"",$E1165&lt;&gt;""),"رقم المخرج ناقص",""),IF(ISNA(MATCH($A1165,قائمة_المخرجات,0)),"رقم مخرج غير موجود",IF($D1165="","نوع الحركة ناقص",IF(NOT(ISNUMBER($E1165)),"التاريخ ناقص",IF($E1165&gt;تاريخ_الاحتساب,"تاريخ بعد تاريخ الاحتساب",IF(AND($D1165&lt;&gt;"تسليم",COUNTIFS($A$5:$A$1504,$A1165,$D$5:$D$1504,"تسليم",$E$5:$E$1504,"&lt;="&amp;$E1165)=0),"لا يوجد تسليم قبل الحركة دي",""))))))</f>
        <v/>
      </c>
    </row>
    <row r="1166" customFormat="false" ht="15" hidden="false" customHeight="false" outlineLevel="0" collapsed="false">
      <c r="A1166" s="20"/>
      <c r="B1166" s="35" t="str">
        <f aca="false">IF($A1166="","",IFERROR(INDEX(مخرج_البند,MATCH($A1166,قائمة_المخرجات,0)),""))</f>
        <v/>
      </c>
      <c r="C1166" s="30" t="str">
        <f aca="false">IF($A1166="","",IFERROR(INDEX(مخرج_الوصف,MATCH($A1166,قائمة_المخرجات,0)),""))</f>
        <v/>
      </c>
      <c r="D1166" s="20"/>
      <c r="E1166" s="31"/>
      <c r="F1166" s="22"/>
      <c r="G1166" s="36" t="str">
        <f aca="false">IF(OR($A1166="",$D1166&lt;&gt;"تسليم",NOT(ISNUMBER($E1166))),"",COUNTIFS($A$5:$A$1504,$A1166,$D$5:$D$1504,"تسليم",$E$5:$E$1504,"&lt;"&amp;$E1166)+1)</f>
        <v/>
      </c>
      <c r="H1166" s="33" t="str">
        <f aca="false">IF($G1166="","",_xlfn.MINIFS($E$5:$E$1504,$A$5:$A$1504,$A1166,$D$5:$D$1504,"&lt;&gt;تسليم",$E$5:$E$1504,"&gt;="&amp;$E1166))</f>
        <v/>
      </c>
      <c r="I1166" s="33" t="str">
        <f aca="false">IF($G1166="","",_xlfn.MINIFS($E$5:$E$1504,$A$5:$A$1504,$A1166,$D$5:$D$1504,"تسليم",$E$5:$E$1504,"&gt;"&amp;$E1166))</f>
        <v/>
      </c>
      <c r="J1166" s="33" t="str">
        <f aca="false">IF($G1166="","",IF(H1166&gt;0,IF(I1166&gt;0,MIN(H1166,I1166),H1166),IF(I1166&gt;0,I1166,تاريخ_الاحتساب)))</f>
        <v/>
      </c>
      <c r="K1166" s="34" t="str">
        <f aca="false">IF($G1166="","",IF(AND(H1166=0,I1166=0),"جارية","مغلقة"))</f>
        <v/>
      </c>
      <c r="L1166" s="26" t="str">
        <f aca="false">IF($G1166="","",MAX(0,NETWORKDAYS.INTL($E1166,J1166,رمز_العطلة,أيام_الأجازات)-1))</f>
        <v/>
      </c>
      <c r="M1166" s="26" t="str">
        <f aca="false">IF($G1166="","",MAX(0,L1166-مهلة_المراجعة))</f>
        <v/>
      </c>
      <c r="N1166" s="30" t="str">
        <f aca="false">IF($A1166="",IF(OR($D1166&lt;&gt;"",$E1166&lt;&gt;""),"رقم المخرج ناقص",""),IF(ISNA(MATCH($A1166,قائمة_المخرجات,0)),"رقم مخرج غير موجود",IF($D1166="","نوع الحركة ناقص",IF(NOT(ISNUMBER($E1166)),"التاريخ ناقص",IF($E1166&gt;تاريخ_الاحتساب,"تاريخ بعد تاريخ الاحتساب",IF(AND($D1166&lt;&gt;"تسليم",COUNTIFS($A$5:$A$1504,$A1166,$D$5:$D$1504,"تسليم",$E$5:$E$1504,"&lt;="&amp;$E1166)=0),"لا يوجد تسليم قبل الحركة دي",""))))))</f>
        <v/>
      </c>
    </row>
    <row r="1167" customFormat="false" ht="15" hidden="false" customHeight="false" outlineLevel="0" collapsed="false">
      <c r="A1167" s="20"/>
      <c r="B1167" s="35" t="str">
        <f aca="false">IF($A1167="","",IFERROR(INDEX(مخرج_البند,MATCH($A1167,قائمة_المخرجات,0)),""))</f>
        <v/>
      </c>
      <c r="C1167" s="30" t="str">
        <f aca="false">IF($A1167="","",IFERROR(INDEX(مخرج_الوصف,MATCH($A1167,قائمة_المخرجات,0)),""))</f>
        <v/>
      </c>
      <c r="D1167" s="20"/>
      <c r="E1167" s="31"/>
      <c r="F1167" s="22"/>
      <c r="G1167" s="36" t="str">
        <f aca="false">IF(OR($A1167="",$D1167&lt;&gt;"تسليم",NOT(ISNUMBER($E1167))),"",COUNTIFS($A$5:$A$1504,$A1167,$D$5:$D$1504,"تسليم",$E$5:$E$1504,"&lt;"&amp;$E1167)+1)</f>
        <v/>
      </c>
      <c r="H1167" s="33" t="str">
        <f aca="false">IF($G1167="","",_xlfn.MINIFS($E$5:$E$1504,$A$5:$A$1504,$A1167,$D$5:$D$1504,"&lt;&gt;تسليم",$E$5:$E$1504,"&gt;="&amp;$E1167))</f>
        <v/>
      </c>
      <c r="I1167" s="33" t="str">
        <f aca="false">IF($G1167="","",_xlfn.MINIFS($E$5:$E$1504,$A$5:$A$1504,$A1167,$D$5:$D$1504,"تسليم",$E$5:$E$1504,"&gt;"&amp;$E1167))</f>
        <v/>
      </c>
      <c r="J1167" s="33" t="str">
        <f aca="false">IF($G1167="","",IF(H1167&gt;0,IF(I1167&gt;0,MIN(H1167,I1167),H1167),IF(I1167&gt;0,I1167,تاريخ_الاحتساب)))</f>
        <v/>
      </c>
      <c r="K1167" s="34" t="str">
        <f aca="false">IF($G1167="","",IF(AND(H1167=0,I1167=0),"جارية","مغلقة"))</f>
        <v/>
      </c>
      <c r="L1167" s="26" t="str">
        <f aca="false">IF($G1167="","",MAX(0,NETWORKDAYS.INTL($E1167,J1167,رمز_العطلة,أيام_الأجازات)-1))</f>
        <v/>
      </c>
      <c r="M1167" s="26" t="str">
        <f aca="false">IF($G1167="","",MAX(0,L1167-مهلة_المراجعة))</f>
        <v/>
      </c>
      <c r="N1167" s="30" t="str">
        <f aca="false">IF($A1167="",IF(OR($D1167&lt;&gt;"",$E1167&lt;&gt;""),"رقم المخرج ناقص",""),IF(ISNA(MATCH($A1167,قائمة_المخرجات,0)),"رقم مخرج غير موجود",IF($D1167="","نوع الحركة ناقص",IF(NOT(ISNUMBER($E1167)),"التاريخ ناقص",IF($E1167&gt;تاريخ_الاحتساب,"تاريخ بعد تاريخ الاحتساب",IF(AND($D1167&lt;&gt;"تسليم",COUNTIFS($A$5:$A$1504,$A1167,$D$5:$D$1504,"تسليم",$E$5:$E$1504,"&lt;="&amp;$E1167)=0),"لا يوجد تسليم قبل الحركة دي",""))))))</f>
        <v/>
      </c>
    </row>
    <row r="1168" customFormat="false" ht="15" hidden="false" customHeight="false" outlineLevel="0" collapsed="false">
      <c r="A1168" s="20"/>
      <c r="B1168" s="35" t="str">
        <f aca="false">IF($A1168="","",IFERROR(INDEX(مخرج_البند,MATCH($A1168,قائمة_المخرجات,0)),""))</f>
        <v/>
      </c>
      <c r="C1168" s="30" t="str">
        <f aca="false">IF($A1168="","",IFERROR(INDEX(مخرج_الوصف,MATCH($A1168,قائمة_المخرجات,0)),""))</f>
        <v/>
      </c>
      <c r="D1168" s="20"/>
      <c r="E1168" s="31"/>
      <c r="F1168" s="22"/>
      <c r="G1168" s="36" t="str">
        <f aca="false">IF(OR($A1168="",$D1168&lt;&gt;"تسليم",NOT(ISNUMBER($E1168))),"",COUNTIFS($A$5:$A$1504,$A1168,$D$5:$D$1504,"تسليم",$E$5:$E$1504,"&lt;"&amp;$E1168)+1)</f>
        <v/>
      </c>
      <c r="H1168" s="33" t="str">
        <f aca="false">IF($G1168="","",_xlfn.MINIFS($E$5:$E$1504,$A$5:$A$1504,$A1168,$D$5:$D$1504,"&lt;&gt;تسليم",$E$5:$E$1504,"&gt;="&amp;$E1168))</f>
        <v/>
      </c>
      <c r="I1168" s="33" t="str">
        <f aca="false">IF($G1168="","",_xlfn.MINIFS($E$5:$E$1504,$A$5:$A$1504,$A1168,$D$5:$D$1504,"تسليم",$E$5:$E$1504,"&gt;"&amp;$E1168))</f>
        <v/>
      </c>
      <c r="J1168" s="33" t="str">
        <f aca="false">IF($G1168="","",IF(H1168&gt;0,IF(I1168&gt;0,MIN(H1168,I1168),H1168),IF(I1168&gt;0,I1168,تاريخ_الاحتساب)))</f>
        <v/>
      </c>
      <c r="K1168" s="34" t="str">
        <f aca="false">IF($G1168="","",IF(AND(H1168=0,I1168=0),"جارية","مغلقة"))</f>
        <v/>
      </c>
      <c r="L1168" s="26" t="str">
        <f aca="false">IF($G1168="","",MAX(0,NETWORKDAYS.INTL($E1168,J1168,رمز_العطلة,أيام_الأجازات)-1))</f>
        <v/>
      </c>
      <c r="M1168" s="26" t="str">
        <f aca="false">IF($G1168="","",MAX(0,L1168-مهلة_المراجعة))</f>
        <v/>
      </c>
      <c r="N1168" s="30" t="str">
        <f aca="false">IF($A1168="",IF(OR($D1168&lt;&gt;"",$E1168&lt;&gt;""),"رقم المخرج ناقص",""),IF(ISNA(MATCH($A1168,قائمة_المخرجات,0)),"رقم مخرج غير موجود",IF($D1168="","نوع الحركة ناقص",IF(NOT(ISNUMBER($E1168)),"التاريخ ناقص",IF($E1168&gt;تاريخ_الاحتساب,"تاريخ بعد تاريخ الاحتساب",IF(AND($D1168&lt;&gt;"تسليم",COUNTIFS($A$5:$A$1504,$A1168,$D$5:$D$1504,"تسليم",$E$5:$E$1504,"&lt;="&amp;$E1168)=0),"لا يوجد تسليم قبل الحركة دي",""))))))</f>
        <v/>
      </c>
    </row>
    <row r="1169" customFormat="false" ht="15" hidden="false" customHeight="false" outlineLevel="0" collapsed="false">
      <c r="A1169" s="20"/>
      <c r="B1169" s="35" t="str">
        <f aca="false">IF($A1169="","",IFERROR(INDEX(مخرج_البند,MATCH($A1169,قائمة_المخرجات,0)),""))</f>
        <v/>
      </c>
      <c r="C1169" s="30" t="str">
        <f aca="false">IF($A1169="","",IFERROR(INDEX(مخرج_الوصف,MATCH($A1169,قائمة_المخرجات,0)),""))</f>
        <v/>
      </c>
      <c r="D1169" s="20"/>
      <c r="E1169" s="31"/>
      <c r="F1169" s="22"/>
      <c r="G1169" s="36" t="str">
        <f aca="false">IF(OR($A1169="",$D1169&lt;&gt;"تسليم",NOT(ISNUMBER($E1169))),"",COUNTIFS($A$5:$A$1504,$A1169,$D$5:$D$1504,"تسليم",$E$5:$E$1504,"&lt;"&amp;$E1169)+1)</f>
        <v/>
      </c>
      <c r="H1169" s="33" t="str">
        <f aca="false">IF($G1169="","",_xlfn.MINIFS($E$5:$E$1504,$A$5:$A$1504,$A1169,$D$5:$D$1504,"&lt;&gt;تسليم",$E$5:$E$1504,"&gt;="&amp;$E1169))</f>
        <v/>
      </c>
      <c r="I1169" s="33" t="str">
        <f aca="false">IF($G1169="","",_xlfn.MINIFS($E$5:$E$1504,$A$5:$A$1504,$A1169,$D$5:$D$1504,"تسليم",$E$5:$E$1504,"&gt;"&amp;$E1169))</f>
        <v/>
      </c>
      <c r="J1169" s="33" t="str">
        <f aca="false">IF($G1169="","",IF(H1169&gt;0,IF(I1169&gt;0,MIN(H1169,I1169),H1169),IF(I1169&gt;0,I1169,تاريخ_الاحتساب)))</f>
        <v/>
      </c>
      <c r="K1169" s="34" t="str">
        <f aca="false">IF($G1169="","",IF(AND(H1169=0,I1169=0),"جارية","مغلقة"))</f>
        <v/>
      </c>
      <c r="L1169" s="26" t="str">
        <f aca="false">IF($G1169="","",MAX(0,NETWORKDAYS.INTL($E1169,J1169,رمز_العطلة,أيام_الأجازات)-1))</f>
        <v/>
      </c>
      <c r="M1169" s="26" t="str">
        <f aca="false">IF($G1169="","",MAX(0,L1169-مهلة_المراجعة))</f>
        <v/>
      </c>
      <c r="N1169" s="30" t="str">
        <f aca="false">IF($A1169="",IF(OR($D1169&lt;&gt;"",$E1169&lt;&gt;""),"رقم المخرج ناقص",""),IF(ISNA(MATCH($A1169,قائمة_المخرجات,0)),"رقم مخرج غير موجود",IF($D1169="","نوع الحركة ناقص",IF(NOT(ISNUMBER($E1169)),"التاريخ ناقص",IF($E1169&gt;تاريخ_الاحتساب,"تاريخ بعد تاريخ الاحتساب",IF(AND($D1169&lt;&gt;"تسليم",COUNTIFS($A$5:$A$1504,$A1169,$D$5:$D$1504,"تسليم",$E$5:$E$1504,"&lt;="&amp;$E1169)=0),"لا يوجد تسليم قبل الحركة دي",""))))))</f>
        <v/>
      </c>
    </row>
    <row r="1170" customFormat="false" ht="15" hidden="false" customHeight="false" outlineLevel="0" collapsed="false">
      <c r="A1170" s="20"/>
      <c r="B1170" s="35" t="str">
        <f aca="false">IF($A1170="","",IFERROR(INDEX(مخرج_البند,MATCH($A1170,قائمة_المخرجات,0)),""))</f>
        <v/>
      </c>
      <c r="C1170" s="30" t="str">
        <f aca="false">IF($A1170="","",IFERROR(INDEX(مخرج_الوصف,MATCH($A1170,قائمة_المخرجات,0)),""))</f>
        <v/>
      </c>
      <c r="D1170" s="20"/>
      <c r="E1170" s="31"/>
      <c r="F1170" s="22"/>
      <c r="G1170" s="36" t="str">
        <f aca="false">IF(OR($A1170="",$D1170&lt;&gt;"تسليم",NOT(ISNUMBER($E1170))),"",COUNTIFS($A$5:$A$1504,$A1170,$D$5:$D$1504,"تسليم",$E$5:$E$1504,"&lt;"&amp;$E1170)+1)</f>
        <v/>
      </c>
      <c r="H1170" s="33" t="str">
        <f aca="false">IF($G1170="","",_xlfn.MINIFS($E$5:$E$1504,$A$5:$A$1504,$A1170,$D$5:$D$1504,"&lt;&gt;تسليم",$E$5:$E$1504,"&gt;="&amp;$E1170))</f>
        <v/>
      </c>
      <c r="I1170" s="33" t="str">
        <f aca="false">IF($G1170="","",_xlfn.MINIFS($E$5:$E$1504,$A$5:$A$1504,$A1170,$D$5:$D$1504,"تسليم",$E$5:$E$1504,"&gt;"&amp;$E1170))</f>
        <v/>
      </c>
      <c r="J1170" s="33" t="str">
        <f aca="false">IF($G1170="","",IF(H1170&gt;0,IF(I1170&gt;0,MIN(H1170,I1170),H1170),IF(I1170&gt;0,I1170,تاريخ_الاحتساب)))</f>
        <v/>
      </c>
      <c r="K1170" s="34" t="str">
        <f aca="false">IF($G1170="","",IF(AND(H1170=0,I1170=0),"جارية","مغلقة"))</f>
        <v/>
      </c>
      <c r="L1170" s="26" t="str">
        <f aca="false">IF($G1170="","",MAX(0,NETWORKDAYS.INTL($E1170,J1170,رمز_العطلة,أيام_الأجازات)-1))</f>
        <v/>
      </c>
      <c r="M1170" s="26" t="str">
        <f aca="false">IF($G1170="","",MAX(0,L1170-مهلة_المراجعة))</f>
        <v/>
      </c>
      <c r="N1170" s="30" t="str">
        <f aca="false">IF($A1170="",IF(OR($D1170&lt;&gt;"",$E1170&lt;&gt;""),"رقم المخرج ناقص",""),IF(ISNA(MATCH($A1170,قائمة_المخرجات,0)),"رقم مخرج غير موجود",IF($D1170="","نوع الحركة ناقص",IF(NOT(ISNUMBER($E1170)),"التاريخ ناقص",IF($E1170&gt;تاريخ_الاحتساب,"تاريخ بعد تاريخ الاحتساب",IF(AND($D1170&lt;&gt;"تسليم",COUNTIFS($A$5:$A$1504,$A1170,$D$5:$D$1504,"تسليم",$E$5:$E$1504,"&lt;="&amp;$E1170)=0),"لا يوجد تسليم قبل الحركة دي",""))))))</f>
        <v/>
      </c>
    </row>
    <row r="1171" customFormat="false" ht="15" hidden="false" customHeight="false" outlineLevel="0" collapsed="false">
      <c r="A1171" s="20"/>
      <c r="B1171" s="35" t="str">
        <f aca="false">IF($A1171="","",IFERROR(INDEX(مخرج_البند,MATCH($A1171,قائمة_المخرجات,0)),""))</f>
        <v/>
      </c>
      <c r="C1171" s="30" t="str">
        <f aca="false">IF($A1171="","",IFERROR(INDEX(مخرج_الوصف,MATCH($A1171,قائمة_المخرجات,0)),""))</f>
        <v/>
      </c>
      <c r="D1171" s="20"/>
      <c r="E1171" s="31"/>
      <c r="F1171" s="22"/>
      <c r="G1171" s="36" t="str">
        <f aca="false">IF(OR($A1171="",$D1171&lt;&gt;"تسليم",NOT(ISNUMBER($E1171))),"",COUNTIFS($A$5:$A$1504,$A1171,$D$5:$D$1504,"تسليم",$E$5:$E$1504,"&lt;"&amp;$E1171)+1)</f>
        <v/>
      </c>
      <c r="H1171" s="33" t="str">
        <f aca="false">IF($G1171="","",_xlfn.MINIFS($E$5:$E$1504,$A$5:$A$1504,$A1171,$D$5:$D$1504,"&lt;&gt;تسليم",$E$5:$E$1504,"&gt;="&amp;$E1171))</f>
        <v/>
      </c>
      <c r="I1171" s="33" t="str">
        <f aca="false">IF($G1171="","",_xlfn.MINIFS($E$5:$E$1504,$A$5:$A$1504,$A1171,$D$5:$D$1504,"تسليم",$E$5:$E$1504,"&gt;"&amp;$E1171))</f>
        <v/>
      </c>
      <c r="J1171" s="33" t="str">
        <f aca="false">IF($G1171="","",IF(H1171&gt;0,IF(I1171&gt;0,MIN(H1171,I1171),H1171),IF(I1171&gt;0,I1171,تاريخ_الاحتساب)))</f>
        <v/>
      </c>
      <c r="K1171" s="34" t="str">
        <f aca="false">IF($G1171="","",IF(AND(H1171=0,I1171=0),"جارية","مغلقة"))</f>
        <v/>
      </c>
      <c r="L1171" s="26" t="str">
        <f aca="false">IF($G1171="","",MAX(0,NETWORKDAYS.INTL($E1171,J1171,رمز_العطلة,أيام_الأجازات)-1))</f>
        <v/>
      </c>
      <c r="M1171" s="26" t="str">
        <f aca="false">IF($G1171="","",MAX(0,L1171-مهلة_المراجعة))</f>
        <v/>
      </c>
      <c r="N1171" s="30" t="str">
        <f aca="false">IF($A1171="",IF(OR($D1171&lt;&gt;"",$E1171&lt;&gt;""),"رقم المخرج ناقص",""),IF(ISNA(MATCH($A1171,قائمة_المخرجات,0)),"رقم مخرج غير موجود",IF($D1171="","نوع الحركة ناقص",IF(NOT(ISNUMBER($E1171)),"التاريخ ناقص",IF($E1171&gt;تاريخ_الاحتساب,"تاريخ بعد تاريخ الاحتساب",IF(AND($D1171&lt;&gt;"تسليم",COUNTIFS($A$5:$A$1504,$A1171,$D$5:$D$1504,"تسليم",$E$5:$E$1504,"&lt;="&amp;$E1171)=0),"لا يوجد تسليم قبل الحركة دي",""))))))</f>
        <v/>
      </c>
    </row>
    <row r="1172" customFormat="false" ht="15" hidden="false" customHeight="false" outlineLevel="0" collapsed="false">
      <c r="A1172" s="20"/>
      <c r="B1172" s="35" t="str">
        <f aca="false">IF($A1172="","",IFERROR(INDEX(مخرج_البند,MATCH($A1172,قائمة_المخرجات,0)),""))</f>
        <v/>
      </c>
      <c r="C1172" s="30" t="str">
        <f aca="false">IF($A1172="","",IFERROR(INDEX(مخرج_الوصف,MATCH($A1172,قائمة_المخرجات,0)),""))</f>
        <v/>
      </c>
      <c r="D1172" s="20"/>
      <c r="E1172" s="31"/>
      <c r="F1172" s="22"/>
      <c r="G1172" s="36" t="str">
        <f aca="false">IF(OR($A1172="",$D1172&lt;&gt;"تسليم",NOT(ISNUMBER($E1172))),"",COUNTIFS($A$5:$A$1504,$A1172,$D$5:$D$1504,"تسليم",$E$5:$E$1504,"&lt;"&amp;$E1172)+1)</f>
        <v/>
      </c>
      <c r="H1172" s="33" t="str">
        <f aca="false">IF($G1172="","",_xlfn.MINIFS($E$5:$E$1504,$A$5:$A$1504,$A1172,$D$5:$D$1504,"&lt;&gt;تسليم",$E$5:$E$1504,"&gt;="&amp;$E1172))</f>
        <v/>
      </c>
      <c r="I1172" s="33" t="str">
        <f aca="false">IF($G1172="","",_xlfn.MINIFS($E$5:$E$1504,$A$5:$A$1504,$A1172,$D$5:$D$1504,"تسليم",$E$5:$E$1504,"&gt;"&amp;$E1172))</f>
        <v/>
      </c>
      <c r="J1172" s="33" t="str">
        <f aca="false">IF($G1172="","",IF(H1172&gt;0,IF(I1172&gt;0,MIN(H1172,I1172),H1172),IF(I1172&gt;0,I1172,تاريخ_الاحتساب)))</f>
        <v/>
      </c>
      <c r="K1172" s="34" t="str">
        <f aca="false">IF($G1172="","",IF(AND(H1172=0,I1172=0),"جارية","مغلقة"))</f>
        <v/>
      </c>
      <c r="L1172" s="26" t="str">
        <f aca="false">IF($G1172="","",MAX(0,NETWORKDAYS.INTL($E1172,J1172,رمز_العطلة,أيام_الأجازات)-1))</f>
        <v/>
      </c>
      <c r="M1172" s="26" t="str">
        <f aca="false">IF($G1172="","",MAX(0,L1172-مهلة_المراجعة))</f>
        <v/>
      </c>
      <c r="N1172" s="30" t="str">
        <f aca="false">IF($A1172="",IF(OR($D1172&lt;&gt;"",$E1172&lt;&gt;""),"رقم المخرج ناقص",""),IF(ISNA(MATCH($A1172,قائمة_المخرجات,0)),"رقم مخرج غير موجود",IF($D1172="","نوع الحركة ناقص",IF(NOT(ISNUMBER($E1172)),"التاريخ ناقص",IF($E1172&gt;تاريخ_الاحتساب,"تاريخ بعد تاريخ الاحتساب",IF(AND($D1172&lt;&gt;"تسليم",COUNTIFS($A$5:$A$1504,$A1172,$D$5:$D$1504,"تسليم",$E$5:$E$1504,"&lt;="&amp;$E1172)=0),"لا يوجد تسليم قبل الحركة دي",""))))))</f>
        <v/>
      </c>
    </row>
    <row r="1173" customFormat="false" ht="15" hidden="false" customHeight="false" outlineLevel="0" collapsed="false">
      <c r="A1173" s="20"/>
      <c r="B1173" s="35" t="str">
        <f aca="false">IF($A1173="","",IFERROR(INDEX(مخرج_البند,MATCH($A1173,قائمة_المخرجات,0)),""))</f>
        <v/>
      </c>
      <c r="C1173" s="30" t="str">
        <f aca="false">IF($A1173="","",IFERROR(INDEX(مخرج_الوصف,MATCH($A1173,قائمة_المخرجات,0)),""))</f>
        <v/>
      </c>
      <c r="D1173" s="20"/>
      <c r="E1173" s="31"/>
      <c r="F1173" s="22"/>
      <c r="G1173" s="36" t="str">
        <f aca="false">IF(OR($A1173="",$D1173&lt;&gt;"تسليم",NOT(ISNUMBER($E1173))),"",COUNTIFS($A$5:$A$1504,$A1173,$D$5:$D$1504,"تسليم",$E$5:$E$1504,"&lt;"&amp;$E1173)+1)</f>
        <v/>
      </c>
      <c r="H1173" s="33" t="str">
        <f aca="false">IF($G1173="","",_xlfn.MINIFS($E$5:$E$1504,$A$5:$A$1504,$A1173,$D$5:$D$1504,"&lt;&gt;تسليم",$E$5:$E$1504,"&gt;="&amp;$E1173))</f>
        <v/>
      </c>
      <c r="I1173" s="33" t="str">
        <f aca="false">IF($G1173="","",_xlfn.MINIFS($E$5:$E$1504,$A$5:$A$1504,$A1173,$D$5:$D$1504,"تسليم",$E$5:$E$1504,"&gt;"&amp;$E1173))</f>
        <v/>
      </c>
      <c r="J1173" s="33" t="str">
        <f aca="false">IF($G1173="","",IF(H1173&gt;0,IF(I1173&gt;0,MIN(H1173,I1173),H1173),IF(I1173&gt;0,I1173,تاريخ_الاحتساب)))</f>
        <v/>
      </c>
      <c r="K1173" s="34" t="str">
        <f aca="false">IF($G1173="","",IF(AND(H1173=0,I1173=0),"جارية","مغلقة"))</f>
        <v/>
      </c>
      <c r="L1173" s="26" t="str">
        <f aca="false">IF($G1173="","",MAX(0,NETWORKDAYS.INTL($E1173,J1173,رمز_العطلة,أيام_الأجازات)-1))</f>
        <v/>
      </c>
      <c r="M1173" s="26" t="str">
        <f aca="false">IF($G1173="","",MAX(0,L1173-مهلة_المراجعة))</f>
        <v/>
      </c>
      <c r="N1173" s="30" t="str">
        <f aca="false">IF($A1173="",IF(OR($D1173&lt;&gt;"",$E1173&lt;&gt;""),"رقم المخرج ناقص",""),IF(ISNA(MATCH($A1173,قائمة_المخرجات,0)),"رقم مخرج غير موجود",IF($D1173="","نوع الحركة ناقص",IF(NOT(ISNUMBER($E1173)),"التاريخ ناقص",IF($E1173&gt;تاريخ_الاحتساب,"تاريخ بعد تاريخ الاحتساب",IF(AND($D1173&lt;&gt;"تسليم",COUNTIFS($A$5:$A$1504,$A1173,$D$5:$D$1504,"تسليم",$E$5:$E$1504,"&lt;="&amp;$E1173)=0),"لا يوجد تسليم قبل الحركة دي",""))))))</f>
        <v/>
      </c>
    </row>
    <row r="1174" customFormat="false" ht="15" hidden="false" customHeight="false" outlineLevel="0" collapsed="false">
      <c r="A1174" s="20"/>
      <c r="B1174" s="35" t="str">
        <f aca="false">IF($A1174="","",IFERROR(INDEX(مخرج_البند,MATCH($A1174,قائمة_المخرجات,0)),""))</f>
        <v/>
      </c>
      <c r="C1174" s="30" t="str">
        <f aca="false">IF($A1174="","",IFERROR(INDEX(مخرج_الوصف,MATCH($A1174,قائمة_المخرجات,0)),""))</f>
        <v/>
      </c>
      <c r="D1174" s="20"/>
      <c r="E1174" s="31"/>
      <c r="F1174" s="22"/>
      <c r="G1174" s="36" t="str">
        <f aca="false">IF(OR($A1174="",$D1174&lt;&gt;"تسليم",NOT(ISNUMBER($E1174))),"",COUNTIFS($A$5:$A$1504,$A1174,$D$5:$D$1504,"تسليم",$E$5:$E$1504,"&lt;"&amp;$E1174)+1)</f>
        <v/>
      </c>
      <c r="H1174" s="33" t="str">
        <f aca="false">IF($G1174="","",_xlfn.MINIFS($E$5:$E$1504,$A$5:$A$1504,$A1174,$D$5:$D$1504,"&lt;&gt;تسليم",$E$5:$E$1504,"&gt;="&amp;$E1174))</f>
        <v/>
      </c>
      <c r="I1174" s="33" t="str">
        <f aca="false">IF($G1174="","",_xlfn.MINIFS($E$5:$E$1504,$A$5:$A$1504,$A1174,$D$5:$D$1504,"تسليم",$E$5:$E$1504,"&gt;"&amp;$E1174))</f>
        <v/>
      </c>
      <c r="J1174" s="33" t="str">
        <f aca="false">IF($G1174="","",IF(H1174&gt;0,IF(I1174&gt;0,MIN(H1174,I1174),H1174),IF(I1174&gt;0,I1174,تاريخ_الاحتساب)))</f>
        <v/>
      </c>
      <c r="K1174" s="34" t="str">
        <f aca="false">IF($G1174="","",IF(AND(H1174=0,I1174=0),"جارية","مغلقة"))</f>
        <v/>
      </c>
      <c r="L1174" s="26" t="str">
        <f aca="false">IF($G1174="","",MAX(0,NETWORKDAYS.INTL($E1174,J1174,رمز_العطلة,أيام_الأجازات)-1))</f>
        <v/>
      </c>
      <c r="M1174" s="26" t="str">
        <f aca="false">IF($G1174="","",MAX(0,L1174-مهلة_المراجعة))</f>
        <v/>
      </c>
      <c r="N1174" s="30" t="str">
        <f aca="false">IF($A1174="",IF(OR($D1174&lt;&gt;"",$E1174&lt;&gt;""),"رقم المخرج ناقص",""),IF(ISNA(MATCH($A1174,قائمة_المخرجات,0)),"رقم مخرج غير موجود",IF($D1174="","نوع الحركة ناقص",IF(NOT(ISNUMBER($E1174)),"التاريخ ناقص",IF($E1174&gt;تاريخ_الاحتساب,"تاريخ بعد تاريخ الاحتساب",IF(AND($D1174&lt;&gt;"تسليم",COUNTIFS($A$5:$A$1504,$A1174,$D$5:$D$1504,"تسليم",$E$5:$E$1504,"&lt;="&amp;$E1174)=0),"لا يوجد تسليم قبل الحركة دي",""))))))</f>
        <v/>
      </c>
    </row>
    <row r="1175" customFormat="false" ht="15" hidden="false" customHeight="false" outlineLevel="0" collapsed="false">
      <c r="A1175" s="20"/>
      <c r="B1175" s="35" t="str">
        <f aca="false">IF($A1175="","",IFERROR(INDEX(مخرج_البند,MATCH($A1175,قائمة_المخرجات,0)),""))</f>
        <v/>
      </c>
      <c r="C1175" s="30" t="str">
        <f aca="false">IF($A1175="","",IFERROR(INDEX(مخرج_الوصف,MATCH($A1175,قائمة_المخرجات,0)),""))</f>
        <v/>
      </c>
      <c r="D1175" s="20"/>
      <c r="E1175" s="31"/>
      <c r="F1175" s="22"/>
      <c r="G1175" s="36" t="str">
        <f aca="false">IF(OR($A1175="",$D1175&lt;&gt;"تسليم",NOT(ISNUMBER($E1175))),"",COUNTIFS($A$5:$A$1504,$A1175,$D$5:$D$1504,"تسليم",$E$5:$E$1504,"&lt;"&amp;$E1175)+1)</f>
        <v/>
      </c>
      <c r="H1175" s="33" t="str">
        <f aca="false">IF($G1175="","",_xlfn.MINIFS($E$5:$E$1504,$A$5:$A$1504,$A1175,$D$5:$D$1504,"&lt;&gt;تسليم",$E$5:$E$1504,"&gt;="&amp;$E1175))</f>
        <v/>
      </c>
      <c r="I1175" s="33" t="str">
        <f aca="false">IF($G1175="","",_xlfn.MINIFS($E$5:$E$1504,$A$5:$A$1504,$A1175,$D$5:$D$1504,"تسليم",$E$5:$E$1504,"&gt;"&amp;$E1175))</f>
        <v/>
      </c>
      <c r="J1175" s="33" t="str">
        <f aca="false">IF($G1175="","",IF(H1175&gt;0,IF(I1175&gt;0,MIN(H1175,I1175),H1175),IF(I1175&gt;0,I1175,تاريخ_الاحتساب)))</f>
        <v/>
      </c>
      <c r="K1175" s="34" t="str">
        <f aca="false">IF($G1175="","",IF(AND(H1175=0,I1175=0),"جارية","مغلقة"))</f>
        <v/>
      </c>
      <c r="L1175" s="26" t="str">
        <f aca="false">IF($G1175="","",MAX(0,NETWORKDAYS.INTL($E1175,J1175,رمز_العطلة,أيام_الأجازات)-1))</f>
        <v/>
      </c>
      <c r="M1175" s="26" t="str">
        <f aca="false">IF($G1175="","",MAX(0,L1175-مهلة_المراجعة))</f>
        <v/>
      </c>
      <c r="N1175" s="30" t="str">
        <f aca="false">IF($A1175="",IF(OR($D1175&lt;&gt;"",$E1175&lt;&gt;""),"رقم المخرج ناقص",""),IF(ISNA(MATCH($A1175,قائمة_المخرجات,0)),"رقم مخرج غير موجود",IF($D1175="","نوع الحركة ناقص",IF(NOT(ISNUMBER($E1175)),"التاريخ ناقص",IF($E1175&gt;تاريخ_الاحتساب,"تاريخ بعد تاريخ الاحتساب",IF(AND($D1175&lt;&gt;"تسليم",COUNTIFS($A$5:$A$1504,$A1175,$D$5:$D$1504,"تسليم",$E$5:$E$1504,"&lt;="&amp;$E1175)=0),"لا يوجد تسليم قبل الحركة دي",""))))))</f>
        <v/>
      </c>
    </row>
    <row r="1176" customFormat="false" ht="15" hidden="false" customHeight="false" outlineLevel="0" collapsed="false">
      <c r="A1176" s="20"/>
      <c r="B1176" s="35" t="str">
        <f aca="false">IF($A1176="","",IFERROR(INDEX(مخرج_البند,MATCH($A1176,قائمة_المخرجات,0)),""))</f>
        <v/>
      </c>
      <c r="C1176" s="30" t="str">
        <f aca="false">IF($A1176="","",IFERROR(INDEX(مخرج_الوصف,MATCH($A1176,قائمة_المخرجات,0)),""))</f>
        <v/>
      </c>
      <c r="D1176" s="20"/>
      <c r="E1176" s="31"/>
      <c r="F1176" s="22"/>
      <c r="G1176" s="36" t="str">
        <f aca="false">IF(OR($A1176="",$D1176&lt;&gt;"تسليم",NOT(ISNUMBER($E1176))),"",COUNTIFS($A$5:$A$1504,$A1176,$D$5:$D$1504,"تسليم",$E$5:$E$1504,"&lt;"&amp;$E1176)+1)</f>
        <v/>
      </c>
      <c r="H1176" s="33" t="str">
        <f aca="false">IF($G1176="","",_xlfn.MINIFS($E$5:$E$1504,$A$5:$A$1504,$A1176,$D$5:$D$1504,"&lt;&gt;تسليم",$E$5:$E$1504,"&gt;="&amp;$E1176))</f>
        <v/>
      </c>
      <c r="I1176" s="33" t="str">
        <f aca="false">IF($G1176="","",_xlfn.MINIFS($E$5:$E$1504,$A$5:$A$1504,$A1176,$D$5:$D$1504,"تسليم",$E$5:$E$1504,"&gt;"&amp;$E1176))</f>
        <v/>
      </c>
      <c r="J1176" s="33" t="str">
        <f aca="false">IF($G1176="","",IF(H1176&gt;0,IF(I1176&gt;0,MIN(H1176,I1176),H1176),IF(I1176&gt;0,I1176,تاريخ_الاحتساب)))</f>
        <v/>
      </c>
      <c r="K1176" s="34" t="str">
        <f aca="false">IF($G1176="","",IF(AND(H1176=0,I1176=0),"جارية","مغلقة"))</f>
        <v/>
      </c>
      <c r="L1176" s="26" t="str">
        <f aca="false">IF($G1176="","",MAX(0,NETWORKDAYS.INTL($E1176,J1176,رمز_العطلة,أيام_الأجازات)-1))</f>
        <v/>
      </c>
      <c r="M1176" s="26" t="str">
        <f aca="false">IF($G1176="","",MAX(0,L1176-مهلة_المراجعة))</f>
        <v/>
      </c>
      <c r="N1176" s="30" t="str">
        <f aca="false">IF($A1176="",IF(OR($D1176&lt;&gt;"",$E1176&lt;&gt;""),"رقم المخرج ناقص",""),IF(ISNA(MATCH($A1176,قائمة_المخرجات,0)),"رقم مخرج غير موجود",IF($D1176="","نوع الحركة ناقص",IF(NOT(ISNUMBER($E1176)),"التاريخ ناقص",IF($E1176&gt;تاريخ_الاحتساب,"تاريخ بعد تاريخ الاحتساب",IF(AND($D1176&lt;&gt;"تسليم",COUNTIFS($A$5:$A$1504,$A1176,$D$5:$D$1504,"تسليم",$E$5:$E$1504,"&lt;="&amp;$E1176)=0),"لا يوجد تسليم قبل الحركة دي",""))))))</f>
        <v/>
      </c>
    </row>
    <row r="1177" customFormat="false" ht="15" hidden="false" customHeight="false" outlineLevel="0" collapsed="false">
      <c r="A1177" s="20"/>
      <c r="B1177" s="35" t="str">
        <f aca="false">IF($A1177="","",IFERROR(INDEX(مخرج_البند,MATCH($A1177,قائمة_المخرجات,0)),""))</f>
        <v/>
      </c>
      <c r="C1177" s="30" t="str">
        <f aca="false">IF($A1177="","",IFERROR(INDEX(مخرج_الوصف,MATCH($A1177,قائمة_المخرجات,0)),""))</f>
        <v/>
      </c>
      <c r="D1177" s="20"/>
      <c r="E1177" s="31"/>
      <c r="F1177" s="22"/>
      <c r="G1177" s="36" t="str">
        <f aca="false">IF(OR($A1177="",$D1177&lt;&gt;"تسليم",NOT(ISNUMBER($E1177))),"",COUNTIFS($A$5:$A$1504,$A1177,$D$5:$D$1504,"تسليم",$E$5:$E$1504,"&lt;"&amp;$E1177)+1)</f>
        <v/>
      </c>
      <c r="H1177" s="33" t="str">
        <f aca="false">IF($G1177="","",_xlfn.MINIFS($E$5:$E$1504,$A$5:$A$1504,$A1177,$D$5:$D$1504,"&lt;&gt;تسليم",$E$5:$E$1504,"&gt;="&amp;$E1177))</f>
        <v/>
      </c>
      <c r="I1177" s="33" t="str">
        <f aca="false">IF($G1177="","",_xlfn.MINIFS($E$5:$E$1504,$A$5:$A$1504,$A1177,$D$5:$D$1504,"تسليم",$E$5:$E$1504,"&gt;"&amp;$E1177))</f>
        <v/>
      </c>
      <c r="J1177" s="33" t="str">
        <f aca="false">IF($G1177="","",IF(H1177&gt;0,IF(I1177&gt;0,MIN(H1177,I1177),H1177),IF(I1177&gt;0,I1177,تاريخ_الاحتساب)))</f>
        <v/>
      </c>
      <c r="K1177" s="34" t="str">
        <f aca="false">IF($G1177="","",IF(AND(H1177=0,I1177=0),"جارية","مغلقة"))</f>
        <v/>
      </c>
      <c r="L1177" s="26" t="str">
        <f aca="false">IF($G1177="","",MAX(0,NETWORKDAYS.INTL($E1177,J1177,رمز_العطلة,أيام_الأجازات)-1))</f>
        <v/>
      </c>
      <c r="M1177" s="26" t="str">
        <f aca="false">IF($G1177="","",MAX(0,L1177-مهلة_المراجعة))</f>
        <v/>
      </c>
      <c r="N1177" s="30" t="str">
        <f aca="false">IF($A1177="",IF(OR($D1177&lt;&gt;"",$E1177&lt;&gt;""),"رقم المخرج ناقص",""),IF(ISNA(MATCH($A1177,قائمة_المخرجات,0)),"رقم مخرج غير موجود",IF($D1177="","نوع الحركة ناقص",IF(NOT(ISNUMBER($E1177)),"التاريخ ناقص",IF($E1177&gt;تاريخ_الاحتساب,"تاريخ بعد تاريخ الاحتساب",IF(AND($D1177&lt;&gt;"تسليم",COUNTIFS($A$5:$A$1504,$A1177,$D$5:$D$1504,"تسليم",$E$5:$E$1504,"&lt;="&amp;$E1177)=0),"لا يوجد تسليم قبل الحركة دي",""))))))</f>
        <v/>
      </c>
    </row>
    <row r="1178" customFormat="false" ht="15" hidden="false" customHeight="false" outlineLevel="0" collapsed="false">
      <c r="A1178" s="20"/>
      <c r="B1178" s="35" t="str">
        <f aca="false">IF($A1178="","",IFERROR(INDEX(مخرج_البند,MATCH($A1178,قائمة_المخرجات,0)),""))</f>
        <v/>
      </c>
      <c r="C1178" s="30" t="str">
        <f aca="false">IF($A1178="","",IFERROR(INDEX(مخرج_الوصف,MATCH($A1178,قائمة_المخرجات,0)),""))</f>
        <v/>
      </c>
      <c r="D1178" s="20"/>
      <c r="E1178" s="31"/>
      <c r="F1178" s="22"/>
      <c r="G1178" s="36" t="str">
        <f aca="false">IF(OR($A1178="",$D1178&lt;&gt;"تسليم",NOT(ISNUMBER($E1178))),"",COUNTIFS($A$5:$A$1504,$A1178,$D$5:$D$1504,"تسليم",$E$5:$E$1504,"&lt;"&amp;$E1178)+1)</f>
        <v/>
      </c>
      <c r="H1178" s="33" t="str">
        <f aca="false">IF($G1178="","",_xlfn.MINIFS($E$5:$E$1504,$A$5:$A$1504,$A1178,$D$5:$D$1504,"&lt;&gt;تسليم",$E$5:$E$1504,"&gt;="&amp;$E1178))</f>
        <v/>
      </c>
      <c r="I1178" s="33" t="str">
        <f aca="false">IF($G1178="","",_xlfn.MINIFS($E$5:$E$1504,$A$5:$A$1504,$A1178,$D$5:$D$1504,"تسليم",$E$5:$E$1504,"&gt;"&amp;$E1178))</f>
        <v/>
      </c>
      <c r="J1178" s="33" t="str">
        <f aca="false">IF($G1178="","",IF(H1178&gt;0,IF(I1178&gt;0,MIN(H1178,I1178),H1178),IF(I1178&gt;0,I1178,تاريخ_الاحتساب)))</f>
        <v/>
      </c>
      <c r="K1178" s="34" t="str">
        <f aca="false">IF($G1178="","",IF(AND(H1178=0,I1178=0),"جارية","مغلقة"))</f>
        <v/>
      </c>
      <c r="L1178" s="26" t="str">
        <f aca="false">IF($G1178="","",MAX(0,NETWORKDAYS.INTL($E1178,J1178,رمز_العطلة,أيام_الأجازات)-1))</f>
        <v/>
      </c>
      <c r="M1178" s="26" t="str">
        <f aca="false">IF($G1178="","",MAX(0,L1178-مهلة_المراجعة))</f>
        <v/>
      </c>
      <c r="N1178" s="30" t="str">
        <f aca="false">IF($A1178="",IF(OR($D1178&lt;&gt;"",$E1178&lt;&gt;""),"رقم المخرج ناقص",""),IF(ISNA(MATCH($A1178,قائمة_المخرجات,0)),"رقم مخرج غير موجود",IF($D1178="","نوع الحركة ناقص",IF(NOT(ISNUMBER($E1178)),"التاريخ ناقص",IF($E1178&gt;تاريخ_الاحتساب,"تاريخ بعد تاريخ الاحتساب",IF(AND($D1178&lt;&gt;"تسليم",COUNTIFS($A$5:$A$1504,$A1178,$D$5:$D$1504,"تسليم",$E$5:$E$1504,"&lt;="&amp;$E1178)=0),"لا يوجد تسليم قبل الحركة دي",""))))))</f>
        <v/>
      </c>
    </row>
    <row r="1179" customFormat="false" ht="15" hidden="false" customHeight="false" outlineLevel="0" collapsed="false">
      <c r="A1179" s="20"/>
      <c r="B1179" s="35" t="str">
        <f aca="false">IF($A1179="","",IFERROR(INDEX(مخرج_البند,MATCH($A1179,قائمة_المخرجات,0)),""))</f>
        <v/>
      </c>
      <c r="C1179" s="30" t="str">
        <f aca="false">IF($A1179="","",IFERROR(INDEX(مخرج_الوصف,MATCH($A1179,قائمة_المخرجات,0)),""))</f>
        <v/>
      </c>
      <c r="D1179" s="20"/>
      <c r="E1179" s="31"/>
      <c r="F1179" s="22"/>
      <c r="G1179" s="36" t="str">
        <f aca="false">IF(OR($A1179="",$D1179&lt;&gt;"تسليم",NOT(ISNUMBER($E1179))),"",COUNTIFS($A$5:$A$1504,$A1179,$D$5:$D$1504,"تسليم",$E$5:$E$1504,"&lt;"&amp;$E1179)+1)</f>
        <v/>
      </c>
      <c r="H1179" s="33" t="str">
        <f aca="false">IF($G1179="","",_xlfn.MINIFS($E$5:$E$1504,$A$5:$A$1504,$A1179,$D$5:$D$1504,"&lt;&gt;تسليم",$E$5:$E$1504,"&gt;="&amp;$E1179))</f>
        <v/>
      </c>
      <c r="I1179" s="33" t="str">
        <f aca="false">IF($G1179="","",_xlfn.MINIFS($E$5:$E$1504,$A$5:$A$1504,$A1179,$D$5:$D$1504,"تسليم",$E$5:$E$1504,"&gt;"&amp;$E1179))</f>
        <v/>
      </c>
      <c r="J1179" s="33" t="str">
        <f aca="false">IF($G1179="","",IF(H1179&gt;0,IF(I1179&gt;0,MIN(H1179,I1179),H1179),IF(I1179&gt;0,I1179,تاريخ_الاحتساب)))</f>
        <v/>
      </c>
      <c r="K1179" s="34" t="str">
        <f aca="false">IF($G1179="","",IF(AND(H1179=0,I1179=0),"جارية","مغلقة"))</f>
        <v/>
      </c>
      <c r="L1179" s="26" t="str">
        <f aca="false">IF($G1179="","",MAX(0,NETWORKDAYS.INTL($E1179,J1179,رمز_العطلة,أيام_الأجازات)-1))</f>
        <v/>
      </c>
      <c r="M1179" s="26" t="str">
        <f aca="false">IF($G1179="","",MAX(0,L1179-مهلة_المراجعة))</f>
        <v/>
      </c>
      <c r="N1179" s="30" t="str">
        <f aca="false">IF($A1179="",IF(OR($D1179&lt;&gt;"",$E1179&lt;&gt;""),"رقم المخرج ناقص",""),IF(ISNA(MATCH($A1179,قائمة_المخرجات,0)),"رقم مخرج غير موجود",IF($D1179="","نوع الحركة ناقص",IF(NOT(ISNUMBER($E1179)),"التاريخ ناقص",IF($E1179&gt;تاريخ_الاحتساب,"تاريخ بعد تاريخ الاحتساب",IF(AND($D1179&lt;&gt;"تسليم",COUNTIFS($A$5:$A$1504,$A1179,$D$5:$D$1504,"تسليم",$E$5:$E$1504,"&lt;="&amp;$E1179)=0),"لا يوجد تسليم قبل الحركة دي",""))))))</f>
        <v/>
      </c>
    </row>
    <row r="1180" customFormat="false" ht="15" hidden="false" customHeight="false" outlineLevel="0" collapsed="false">
      <c r="A1180" s="20"/>
      <c r="B1180" s="35" t="str">
        <f aca="false">IF($A1180="","",IFERROR(INDEX(مخرج_البند,MATCH($A1180,قائمة_المخرجات,0)),""))</f>
        <v/>
      </c>
      <c r="C1180" s="30" t="str">
        <f aca="false">IF($A1180="","",IFERROR(INDEX(مخرج_الوصف,MATCH($A1180,قائمة_المخرجات,0)),""))</f>
        <v/>
      </c>
      <c r="D1180" s="20"/>
      <c r="E1180" s="31"/>
      <c r="F1180" s="22"/>
      <c r="G1180" s="36" t="str">
        <f aca="false">IF(OR($A1180="",$D1180&lt;&gt;"تسليم",NOT(ISNUMBER($E1180))),"",COUNTIFS($A$5:$A$1504,$A1180,$D$5:$D$1504,"تسليم",$E$5:$E$1504,"&lt;"&amp;$E1180)+1)</f>
        <v/>
      </c>
      <c r="H1180" s="33" t="str">
        <f aca="false">IF($G1180="","",_xlfn.MINIFS($E$5:$E$1504,$A$5:$A$1504,$A1180,$D$5:$D$1504,"&lt;&gt;تسليم",$E$5:$E$1504,"&gt;="&amp;$E1180))</f>
        <v/>
      </c>
      <c r="I1180" s="33" t="str">
        <f aca="false">IF($G1180="","",_xlfn.MINIFS($E$5:$E$1504,$A$5:$A$1504,$A1180,$D$5:$D$1504,"تسليم",$E$5:$E$1504,"&gt;"&amp;$E1180))</f>
        <v/>
      </c>
      <c r="J1180" s="33" t="str">
        <f aca="false">IF($G1180="","",IF(H1180&gt;0,IF(I1180&gt;0,MIN(H1180,I1180),H1180),IF(I1180&gt;0,I1180,تاريخ_الاحتساب)))</f>
        <v/>
      </c>
      <c r="K1180" s="34" t="str">
        <f aca="false">IF($G1180="","",IF(AND(H1180=0,I1180=0),"جارية","مغلقة"))</f>
        <v/>
      </c>
      <c r="L1180" s="26" t="str">
        <f aca="false">IF($G1180="","",MAX(0,NETWORKDAYS.INTL($E1180,J1180,رمز_العطلة,أيام_الأجازات)-1))</f>
        <v/>
      </c>
      <c r="M1180" s="26" t="str">
        <f aca="false">IF($G1180="","",MAX(0,L1180-مهلة_المراجعة))</f>
        <v/>
      </c>
      <c r="N1180" s="30" t="str">
        <f aca="false">IF($A1180="",IF(OR($D1180&lt;&gt;"",$E1180&lt;&gt;""),"رقم المخرج ناقص",""),IF(ISNA(MATCH($A1180,قائمة_المخرجات,0)),"رقم مخرج غير موجود",IF($D1180="","نوع الحركة ناقص",IF(NOT(ISNUMBER($E1180)),"التاريخ ناقص",IF($E1180&gt;تاريخ_الاحتساب,"تاريخ بعد تاريخ الاحتساب",IF(AND($D1180&lt;&gt;"تسليم",COUNTIFS($A$5:$A$1504,$A1180,$D$5:$D$1504,"تسليم",$E$5:$E$1504,"&lt;="&amp;$E1180)=0),"لا يوجد تسليم قبل الحركة دي",""))))))</f>
        <v/>
      </c>
    </row>
    <row r="1181" customFormat="false" ht="15" hidden="false" customHeight="false" outlineLevel="0" collapsed="false">
      <c r="A1181" s="20"/>
      <c r="B1181" s="35" t="str">
        <f aca="false">IF($A1181="","",IFERROR(INDEX(مخرج_البند,MATCH($A1181,قائمة_المخرجات,0)),""))</f>
        <v/>
      </c>
      <c r="C1181" s="30" t="str">
        <f aca="false">IF($A1181="","",IFERROR(INDEX(مخرج_الوصف,MATCH($A1181,قائمة_المخرجات,0)),""))</f>
        <v/>
      </c>
      <c r="D1181" s="20"/>
      <c r="E1181" s="31"/>
      <c r="F1181" s="22"/>
      <c r="G1181" s="36" t="str">
        <f aca="false">IF(OR($A1181="",$D1181&lt;&gt;"تسليم",NOT(ISNUMBER($E1181))),"",COUNTIFS($A$5:$A$1504,$A1181,$D$5:$D$1504,"تسليم",$E$5:$E$1504,"&lt;"&amp;$E1181)+1)</f>
        <v/>
      </c>
      <c r="H1181" s="33" t="str">
        <f aca="false">IF($G1181="","",_xlfn.MINIFS($E$5:$E$1504,$A$5:$A$1504,$A1181,$D$5:$D$1504,"&lt;&gt;تسليم",$E$5:$E$1504,"&gt;="&amp;$E1181))</f>
        <v/>
      </c>
      <c r="I1181" s="33" t="str">
        <f aca="false">IF($G1181="","",_xlfn.MINIFS($E$5:$E$1504,$A$5:$A$1504,$A1181,$D$5:$D$1504,"تسليم",$E$5:$E$1504,"&gt;"&amp;$E1181))</f>
        <v/>
      </c>
      <c r="J1181" s="33" t="str">
        <f aca="false">IF($G1181="","",IF(H1181&gt;0,IF(I1181&gt;0,MIN(H1181,I1181),H1181),IF(I1181&gt;0,I1181,تاريخ_الاحتساب)))</f>
        <v/>
      </c>
      <c r="K1181" s="34" t="str">
        <f aca="false">IF($G1181="","",IF(AND(H1181=0,I1181=0),"جارية","مغلقة"))</f>
        <v/>
      </c>
      <c r="L1181" s="26" t="str">
        <f aca="false">IF($G1181="","",MAX(0,NETWORKDAYS.INTL($E1181,J1181,رمز_العطلة,أيام_الأجازات)-1))</f>
        <v/>
      </c>
      <c r="M1181" s="26" t="str">
        <f aca="false">IF($G1181="","",MAX(0,L1181-مهلة_المراجعة))</f>
        <v/>
      </c>
      <c r="N1181" s="30" t="str">
        <f aca="false">IF($A1181="",IF(OR($D1181&lt;&gt;"",$E1181&lt;&gt;""),"رقم المخرج ناقص",""),IF(ISNA(MATCH($A1181,قائمة_المخرجات,0)),"رقم مخرج غير موجود",IF($D1181="","نوع الحركة ناقص",IF(NOT(ISNUMBER($E1181)),"التاريخ ناقص",IF($E1181&gt;تاريخ_الاحتساب,"تاريخ بعد تاريخ الاحتساب",IF(AND($D1181&lt;&gt;"تسليم",COUNTIFS($A$5:$A$1504,$A1181,$D$5:$D$1504,"تسليم",$E$5:$E$1504,"&lt;="&amp;$E1181)=0),"لا يوجد تسليم قبل الحركة دي",""))))))</f>
        <v/>
      </c>
    </row>
    <row r="1182" customFormat="false" ht="15" hidden="false" customHeight="false" outlineLevel="0" collapsed="false">
      <c r="A1182" s="20"/>
      <c r="B1182" s="35" t="str">
        <f aca="false">IF($A1182="","",IFERROR(INDEX(مخرج_البند,MATCH($A1182,قائمة_المخرجات,0)),""))</f>
        <v/>
      </c>
      <c r="C1182" s="30" t="str">
        <f aca="false">IF($A1182="","",IFERROR(INDEX(مخرج_الوصف,MATCH($A1182,قائمة_المخرجات,0)),""))</f>
        <v/>
      </c>
      <c r="D1182" s="20"/>
      <c r="E1182" s="31"/>
      <c r="F1182" s="22"/>
      <c r="G1182" s="36" t="str">
        <f aca="false">IF(OR($A1182="",$D1182&lt;&gt;"تسليم",NOT(ISNUMBER($E1182))),"",COUNTIFS($A$5:$A$1504,$A1182,$D$5:$D$1504,"تسليم",$E$5:$E$1504,"&lt;"&amp;$E1182)+1)</f>
        <v/>
      </c>
      <c r="H1182" s="33" t="str">
        <f aca="false">IF($G1182="","",_xlfn.MINIFS($E$5:$E$1504,$A$5:$A$1504,$A1182,$D$5:$D$1504,"&lt;&gt;تسليم",$E$5:$E$1504,"&gt;="&amp;$E1182))</f>
        <v/>
      </c>
      <c r="I1182" s="33" t="str">
        <f aca="false">IF($G1182="","",_xlfn.MINIFS($E$5:$E$1504,$A$5:$A$1504,$A1182,$D$5:$D$1504,"تسليم",$E$5:$E$1504,"&gt;"&amp;$E1182))</f>
        <v/>
      </c>
      <c r="J1182" s="33" t="str">
        <f aca="false">IF($G1182="","",IF(H1182&gt;0,IF(I1182&gt;0,MIN(H1182,I1182),H1182),IF(I1182&gt;0,I1182,تاريخ_الاحتساب)))</f>
        <v/>
      </c>
      <c r="K1182" s="34" t="str">
        <f aca="false">IF($G1182="","",IF(AND(H1182=0,I1182=0),"جارية","مغلقة"))</f>
        <v/>
      </c>
      <c r="L1182" s="26" t="str">
        <f aca="false">IF($G1182="","",MAX(0,NETWORKDAYS.INTL($E1182,J1182,رمز_العطلة,أيام_الأجازات)-1))</f>
        <v/>
      </c>
      <c r="M1182" s="26" t="str">
        <f aca="false">IF($G1182="","",MAX(0,L1182-مهلة_المراجعة))</f>
        <v/>
      </c>
      <c r="N1182" s="30" t="str">
        <f aca="false">IF($A1182="",IF(OR($D1182&lt;&gt;"",$E1182&lt;&gt;""),"رقم المخرج ناقص",""),IF(ISNA(MATCH($A1182,قائمة_المخرجات,0)),"رقم مخرج غير موجود",IF($D1182="","نوع الحركة ناقص",IF(NOT(ISNUMBER($E1182)),"التاريخ ناقص",IF($E1182&gt;تاريخ_الاحتساب,"تاريخ بعد تاريخ الاحتساب",IF(AND($D1182&lt;&gt;"تسليم",COUNTIFS($A$5:$A$1504,$A1182,$D$5:$D$1504,"تسليم",$E$5:$E$1504,"&lt;="&amp;$E1182)=0),"لا يوجد تسليم قبل الحركة دي",""))))))</f>
        <v/>
      </c>
    </row>
    <row r="1183" customFormat="false" ht="15" hidden="false" customHeight="false" outlineLevel="0" collapsed="false">
      <c r="A1183" s="20"/>
      <c r="B1183" s="35" t="str">
        <f aca="false">IF($A1183="","",IFERROR(INDEX(مخرج_البند,MATCH($A1183,قائمة_المخرجات,0)),""))</f>
        <v/>
      </c>
      <c r="C1183" s="30" t="str">
        <f aca="false">IF($A1183="","",IFERROR(INDEX(مخرج_الوصف,MATCH($A1183,قائمة_المخرجات,0)),""))</f>
        <v/>
      </c>
      <c r="D1183" s="20"/>
      <c r="E1183" s="31"/>
      <c r="F1183" s="22"/>
      <c r="G1183" s="36" t="str">
        <f aca="false">IF(OR($A1183="",$D1183&lt;&gt;"تسليم",NOT(ISNUMBER($E1183))),"",COUNTIFS($A$5:$A$1504,$A1183,$D$5:$D$1504,"تسليم",$E$5:$E$1504,"&lt;"&amp;$E1183)+1)</f>
        <v/>
      </c>
      <c r="H1183" s="33" t="str">
        <f aca="false">IF($G1183="","",_xlfn.MINIFS($E$5:$E$1504,$A$5:$A$1504,$A1183,$D$5:$D$1504,"&lt;&gt;تسليم",$E$5:$E$1504,"&gt;="&amp;$E1183))</f>
        <v/>
      </c>
      <c r="I1183" s="33" t="str">
        <f aca="false">IF($G1183="","",_xlfn.MINIFS($E$5:$E$1504,$A$5:$A$1504,$A1183,$D$5:$D$1504,"تسليم",$E$5:$E$1504,"&gt;"&amp;$E1183))</f>
        <v/>
      </c>
      <c r="J1183" s="33" t="str">
        <f aca="false">IF($G1183="","",IF(H1183&gt;0,IF(I1183&gt;0,MIN(H1183,I1183),H1183),IF(I1183&gt;0,I1183,تاريخ_الاحتساب)))</f>
        <v/>
      </c>
      <c r="K1183" s="34" t="str">
        <f aca="false">IF($G1183="","",IF(AND(H1183=0,I1183=0),"جارية","مغلقة"))</f>
        <v/>
      </c>
      <c r="L1183" s="26" t="str">
        <f aca="false">IF($G1183="","",MAX(0,NETWORKDAYS.INTL($E1183,J1183,رمز_العطلة,أيام_الأجازات)-1))</f>
        <v/>
      </c>
      <c r="M1183" s="26" t="str">
        <f aca="false">IF($G1183="","",MAX(0,L1183-مهلة_المراجعة))</f>
        <v/>
      </c>
      <c r="N1183" s="30" t="str">
        <f aca="false">IF($A1183="",IF(OR($D1183&lt;&gt;"",$E1183&lt;&gt;""),"رقم المخرج ناقص",""),IF(ISNA(MATCH($A1183,قائمة_المخرجات,0)),"رقم مخرج غير موجود",IF($D1183="","نوع الحركة ناقص",IF(NOT(ISNUMBER($E1183)),"التاريخ ناقص",IF($E1183&gt;تاريخ_الاحتساب,"تاريخ بعد تاريخ الاحتساب",IF(AND($D1183&lt;&gt;"تسليم",COUNTIFS($A$5:$A$1504,$A1183,$D$5:$D$1504,"تسليم",$E$5:$E$1504,"&lt;="&amp;$E1183)=0),"لا يوجد تسليم قبل الحركة دي",""))))))</f>
        <v/>
      </c>
    </row>
    <row r="1184" customFormat="false" ht="15" hidden="false" customHeight="false" outlineLevel="0" collapsed="false">
      <c r="A1184" s="20"/>
      <c r="B1184" s="35" t="str">
        <f aca="false">IF($A1184="","",IFERROR(INDEX(مخرج_البند,MATCH($A1184,قائمة_المخرجات,0)),""))</f>
        <v/>
      </c>
      <c r="C1184" s="30" t="str">
        <f aca="false">IF($A1184="","",IFERROR(INDEX(مخرج_الوصف,MATCH($A1184,قائمة_المخرجات,0)),""))</f>
        <v/>
      </c>
      <c r="D1184" s="20"/>
      <c r="E1184" s="31"/>
      <c r="F1184" s="22"/>
      <c r="G1184" s="36" t="str">
        <f aca="false">IF(OR($A1184="",$D1184&lt;&gt;"تسليم",NOT(ISNUMBER($E1184))),"",COUNTIFS($A$5:$A$1504,$A1184,$D$5:$D$1504,"تسليم",$E$5:$E$1504,"&lt;"&amp;$E1184)+1)</f>
        <v/>
      </c>
      <c r="H1184" s="33" t="str">
        <f aca="false">IF($G1184="","",_xlfn.MINIFS($E$5:$E$1504,$A$5:$A$1504,$A1184,$D$5:$D$1504,"&lt;&gt;تسليم",$E$5:$E$1504,"&gt;="&amp;$E1184))</f>
        <v/>
      </c>
      <c r="I1184" s="33" t="str">
        <f aca="false">IF($G1184="","",_xlfn.MINIFS($E$5:$E$1504,$A$5:$A$1504,$A1184,$D$5:$D$1504,"تسليم",$E$5:$E$1504,"&gt;"&amp;$E1184))</f>
        <v/>
      </c>
      <c r="J1184" s="33" t="str">
        <f aca="false">IF($G1184="","",IF(H1184&gt;0,IF(I1184&gt;0,MIN(H1184,I1184),H1184),IF(I1184&gt;0,I1184,تاريخ_الاحتساب)))</f>
        <v/>
      </c>
      <c r="K1184" s="34" t="str">
        <f aca="false">IF($G1184="","",IF(AND(H1184=0,I1184=0),"جارية","مغلقة"))</f>
        <v/>
      </c>
      <c r="L1184" s="26" t="str">
        <f aca="false">IF($G1184="","",MAX(0,NETWORKDAYS.INTL($E1184,J1184,رمز_العطلة,أيام_الأجازات)-1))</f>
        <v/>
      </c>
      <c r="M1184" s="26" t="str">
        <f aca="false">IF($G1184="","",MAX(0,L1184-مهلة_المراجعة))</f>
        <v/>
      </c>
      <c r="N1184" s="30" t="str">
        <f aca="false">IF($A1184="",IF(OR($D1184&lt;&gt;"",$E1184&lt;&gt;""),"رقم المخرج ناقص",""),IF(ISNA(MATCH($A1184,قائمة_المخرجات,0)),"رقم مخرج غير موجود",IF($D1184="","نوع الحركة ناقص",IF(NOT(ISNUMBER($E1184)),"التاريخ ناقص",IF($E1184&gt;تاريخ_الاحتساب,"تاريخ بعد تاريخ الاحتساب",IF(AND($D1184&lt;&gt;"تسليم",COUNTIFS($A$5:$A$1504,$A1184,$D$5:$D$1504,"تسليم",$E$5:$E$1504,"&lt;="&amp;$E1184)=0),"لا يوجد تسليم قبل الحركة دي",""))))))</f>
        <v/>
      </c>
    </row>
    <row r="1185" customFormat="false" ht="15" hidden="false" customHeight="false" outlineLevel="0" collapsed="false">
      <c r="A1185" s="20"/>
      <c r="B1185" s="35" t="str">
        <f aca="false">IF($A1185="","",IFERROR(INDEX(مخرج_البند,MATCH($A1185,قائمة_المخرجات,0)),""))</f>
        <v/>
      </c>
      <c r="C1185" s="30" t="str">
        <f aca="false">IF($A1185="","",IFERROR(INDEX(مخرج_الوصف,MATCH($A1185,قائمة_المخرجات,0)),""))</f>
        <v/>
      </c>
      <c r="D1185" s="20"/>
      <c r="E1185" s="31"/>
      <c r="F1185" s="22"/>
      <c r="G1185" s="36" t="str">
        <f aca="false">IF(OR($A1185="",$D1185&lt;&gt;"تسليم",NOT(ISNUMBER($E1185))),"",COUNTIFS($A$5:$A$1504,$A1185,$D$5:$D$1504,"تسليم",$E$5:$E$1504,"&lt;"&amp;$E1185)+1)</f>
        <v/>
      </c>
      <c r="H1185" s="33" t="str">
        <f aca="false">IF($G1185="","",_xlfn.MINIFS($E$5:$E$1504,$A$5:$A$1504,$A1185,$D$5:$D$1504,"&lt;&gt;تسليم",$E$5:$E$1504,"&gt;="&amp;$E1185))</f>
        <v/>
      </c>
      <c r="I1185" s="33" t="str">
        <f aca="false">IF($G1185="","",_xlfn.MINIFS($E$5:$E$1504,$A$5:$A$1504,$A1185,$D$5:$D$1504,"تسليم",$E$5:$E$1504,"&gt;"&amp;$E1185))</f>
        <v/>
      </c>
      <c r="J1185" s="33" t="str">
        <f aca="false">IF($G1185="","",IF(H1185&gt;0,IF(I1185&gt;0,MIN(H1185,I1185),H1185),IF(I1185&gt;0,I1185,تاريخ_الاحتساب)))</f>
        <v/>
      </c>
      <c r="K1185" s="34" t="str">
        <f aca="false">IF($G1185="","",IF(AND(H1185=0,I1185=0),"جارية","مغلقة"))</f>
        <v/>
      </c>
      <c r="L1185" s="26" t="str">
        <f aca="false">IF($G1185="","",MAX(0,NETWORKDAYS.INTL($E1185,J1185,رمز_العطلة,أيام_الأجازات)-1))</f>
        <v/>
      </c>
      <c r="M1185" s="26" t="str">
        <f aca="false">IF($G1185="","",MAX(0,L1185-مهلة_المراجعة))</f>
        <v/>
      </c>
      <c r="N1185" s="30" t="str">
        <f aca="false">IF($A1185="",IF(OR($D1185&lt;&gt;"",$E1185&lt;&gt;""),"رقم المخرج ناقص",""),IF(ISNA(MATCH($A1185,قائمة_المخرجات,0)),"رقم مخرج غير موجود",IF($D1185="","نوع الحركة ناقص",IF(NOT(ISNUMBER($E1185)),"التاريخ ناقص",IF($E1185&gt;تاريخ_الاحتساب,"تاريخ بعد تاريخ الاحتساب",IF(AND($D1185&lt;&gt;"تسليم",COUNTIFS($A$5:$A$1504,$A1185,$D$5:$D$1504,"تسليم",$E$5:$E$1504,"&lt;="&amp;$E1185)=0),"لا يوجد تسليم قبل الحركة دي",""))))))</f>
        <v/>
      </c>
    </row>
    <row r="1186" customFormat="false" ht="15" hidden="false" customHeight="false" outlineLevel="0" collapsed="false">
      <c r="A1186" s="20"/>
      <c r="B1186" s="35" t="str">
        <f aca="false">IF($A1186="","",IFERROR(INDEX(مخرج_البند,MATCH($A1186,قائمة_المخرجات,0)),""))</f>
        <v/>
      </c>
      <c r="C1186" s="30" t="str">
        <f aca="false">IF($A1186="","",IFERROR(INDEX(مخرج_الوصف,MATCH($A1186,قائمة_المخرجات,0)),""))</f>
        <v/>
      </c>
      <c r="D1186" s="20"/>
      <c r="E1186" s="31"/>
      <c r="F1186" s="22"/>
      <c r="G1186" s="36" t="str">
        <f aca="false">IF(OR($A1186="",$D1186&lt;&gt;"تسليم",NOT(ISNUMBER($E1186))),"",COUNTIFS($A$5:$A$1504,$A1186,$D$5:$D$1504,"تسليم",$E$5:$E$1504,"&lt;"&amp;$E1186)+1)</f>
        <v/>
      </c>
      <c r="H1186" s="33" t="str">
        <f aca="false">IF($G1186="","",_xlfn.MINIFS($E$5:$E$1504,$A$5:$A$1504,$A1186,$D$5:$D$1504,"&lt;&gt;تسليم",$E$5:$E$1504,"&gt;="&amp;$E1186))</f>
        <v/>
      </c>
      <c r="I1186" s="33" t="str">
        <f aca="false">IF($G1186="","",_xlfn.MINIFS($E$5:$E$1504,$A$5:$A$1504,$A1186,$D$5:$D$1504,"تسليم",$E$5:$E$1504,"&gt;"&amp;$E1186))</f>
        <v/>
      </c>
      <c r="J1186" s="33" t="str">
        <f aca="false">IF($G1186="","",IF(H1186&gt;0,IF(I1186&gt;0,MIN(H1186,I1186),H1186),IF(I1186&gt;0,I1186,تاريخ_الاحتساب)))</f>
        <v/>
      </c>
      <c r="K1186" s="34" t="str">
        <f aca="false">IF($G1186="","",IF(AND(H1186=0,I1186=0),"جارية","مغلقة"))</f>
        <v/>
      </c>
      <c r="L1186" s="26" t="str">
        <f aca="false">IF($G1186="","",MAX(0,NETWORKDAYS.INTL($E1186,J1186,رمز_العطلة,أيام_الأجازات)-1))</f>
        <v/>
      </c>
      <c r="M1186" s="26" t="str">
        <f aca="false">IF($G1186="","",MAX(0,L1186-مهلة_المراجعة))</f>
        <v/>
      </c>
      <c r="N1186" s="30" t="str">
        <f aca="false">IF($A1186="",IF(OR($D1186&lt;&gt;"",$E1186&lt;&gt;""),"رقم المخرج ناقص",""),IF(ISNA(MATCH($A1186,قائمة_المخرجات,0)),"رقم مخرج غير موجود",IF($D1186="","نوع الحركة ناقص",IF(NOT(ISNUMBER($E1186)),"التاريخ ناقص",IF($E1186&gt;تاريخ_الاحتساب,"تاريخ بعد تاريخ الاحتساب",IF(AND($D1186&lt;&gt;"تسليم",COUNTIFS($A$5:$A$1504,$A1186,$D$5:$D$1504,"تسليم",$E$5:$E$1504,"&lt;="&amp;$E1186)=0),"لا يوجد تسليم قبل الحركة دي",""))))))</f>
        <v/>
      </c>
    </row>
    <row r="1187" customFormat="false" ht="15" hidden="false" customHeight="false" outlineLevel="0" collapsed="false">
      <c r="A1187" s="20"/>
      <c r="B1187" s="35" t="str">
        <f aca="false">IF($A1187="","",IFERROR(INDEX(مخرج_البند,MATCH($A1187,قائمة_المخرجات,0)),""))</f>
        <v/>
      </c>
      <c r="C1187" s="30" t="str">
        <f aca="false">IF($A1187="","",IFERROR(INDEX(مخرج_الوصف,MATCH($A1187,قائمة_المخرجات,0)),""))</f>
        <v/>
      </c>
      <c r="D1187" s="20"/>
      <c r="E1187" s="31"/>
      <c r="F1187" s="22"/>
      <c r="G1187" s="36" t="str">
        <f aca="false">IF(OR($A1187="",$D1187&lt;&gt;"تسليم",NOT(ISNUMBER($E1187))),"",COUNTIFS($A$5:$A$1504,$A1187,$D$5:$D$1504,"تسليم",$E$5:$E$1504,"&lt;"&amp;$E1187)+1)</f>
        <v/>
      </c>
      <c r="H1187" s="33" t="str">
        <f aca="false">IF($G1187="","",_xlfn.MINIFS($E$5:$E$1504,$A$5:$A$1504,$A1187,$D$5:$D$1504,"&lt;&gt;تسليم",$E$5:$E$1504,"&gt;="&amp;$E1187))</f>
        <v/>
      </c>
      <c r="I1187" s="33" t="str">
        <f aca="false">IF($G1187="","",_xlfn.MINIFS($E$5:$E$1504,$A$5:$A$1504,$A1187,$D$5:$D$1504,"تسليم",$E$5:$E$1504,"&gt;"&amp;$E1187))</f>
        <v/>
      </c>
      <c r="J1187" s="33" t="str">
        <f aca="false">IF($G1187="","",IF(H1187&gt;0,IF(I1187&gt;0,MIN(H1187,I1187),H1187),IF(I1187&gt;0,I1187,تاريخ_الاحتساب)))</f>
        <v/>
      </c>
      <c r="K1187" s="34" t="str">
        <f aca="false">IF($G1187="","",IF(AND(H1187=0,I1187=0),"جارية","مغلقة"))</f>
        <v/>
      </c>
      <c r="L1187" s="26" t="str">
        <f aca="false">IF($G1187="","",MAX(0,NETWORKDAYS.INTL($E1187,J1187,رمز_العطلة,أيام_الأجازات)-1))</f>
        <v/>
      </c>
      <c r="M1187" s="26" t="str">
        <f aca="false">IF($G1187="","",MAX(0,L1187-مهلة_المراجعة))</f>
        <v/>
      </c>
      <c r="N1187" s="30" t="str">
        <f aca="false">IF($A1187="",IF(OR($D1187&lt;&gt;"",$E1187&lt;&gt;""),"رقم المخرج ناقص",""),IF(ISNA(MATCH($A1187,قائمة_المخرجات,0)),"رقم مخرج غير موجود",IF($D1187="","نوع الحركة ناقص",IF(NOT(ISNUMBER($E1187)),"التاريخ ناقص",IF($E1187&gt;تاريخ_الاحتساب,"تاريخ بعد تاريخ الاحتساب",IF(AND($D1187&lt;&gt;"تسليم",COUNTIFS($A$5:$A$1504,$A1187,$D$5:$D$1504,"تسليم",$E$5:$E$1504,"&lt;="&amp;$E1187)=0),"لا يوجد تسليم قبل الحركة دي",""))))))</f>
        <v/>
      </c>
    </row>
    <row r="1188" customFormat="false" ht="15" hidden="false" customHeight="false" outlineLevel="0" collapsed="false">
      <c r="A1188" s="20"/>
      <c r="B1188" s="35" t="str">
        <f aca="false">IF($A1188="","",IFERROR(INDEX(مخرج_البند,MATCH($A1188,قائمة_المخرجات,0)),""))</f>
        <v/>
      </c>
      <c r="C1188" s="30" t="str">
        <f aca="false">IF($A1188="","",IFERROR(INDEX(مخرج_الوصف,MATCH($A1188,قائمة_المخرجات,0)),""))</f>
        <v/>
      </c>
      <c r="D1188" s="20"/>
      <c r="E1188" s="31"/>
      <c r="F1188" s="22"/>
      <c r="G1188" s="36" t="str">
        <f aca="false">IF(OR($A1188="",$D1188&lt;&gt;"تسليم",NOT(ISNUMBER($E1188))),"",COUNTIFS($A$5:$A$1504,$A1188,$D$5:$D$1504,"تسليم",$E$5:$E$1504,"&lt;"&amp;$E1188)+1)</f>
        <v/>
      </c>
      <c r="H1188" s="33" t="str">
        <f aca="false">IF($G1188="","",_xlfn.MINIFS($E$5:$E$1504,$A$5:$A$1504,$A1188,$D$5:$D$1504,"&lt;&gt;تسليم",$E$5:$E$1504,"&gt;="&amp;$E1188))</f>
        <v/>
      </c>
      <c r="I1188" s="33" t="str">
        <f aca="false">IF($G1188="","",_xlfn.MINIFS($E$5:$E$1504,$A$5:$A$1504,$A1188,$D$5:$D$1504,"تسليم",$E$5:$E$1504,"&gt;"&amp;$E1188))</f>
        <v/>
      </c>
      <c r="J1188" s="33" t="str">
        <f aca="false">IF($G1188="","",IF(H1188&gt;0,IF(I1188&gt;0,MIN(H1188,I1188),H1188),IF(I1188&gt;0,I1188,تاريخ_الاحتساب)))</f>
        <v/>
      </c>
      <c r="K1188" s="34" t="str">
        <f aca="false">IF($G1188="","",IF(AND(H1188=0,I1188=0),"جارية","مغلقة"))</f>
        <v/>
      </c>
      <c r="L1188" s="26" t="str">
        <f aca="false">IF($G1188="","",MAX(0,NETWORKDAYS.INTL($E1188,J1188,رمز_العطلة,أيام_الأجازات)-1))</f>
        <v/>
      </c>
      <c r="M1188" s="26" t="str">
        <f aca="false">IF($G1188="","",MAX(0,L1188-مهلة_المراجعة))</f>
        <v/>
      </c>
      <c r="N1188" s="30" t="str">
        <f aca="false">IF($A1188="",IF(OR($D1188&lt;&gt;"",$E1188&lt;&gt;""),"رقم المخرج ناقص",""),IF(ISNA(MATCH($A1188,قائمة_المخرجات,0)),"رقم مخرج غير موجود",IF($D1188="","نوع الحركة ناقص",IF(NOT(ISNUMBER($E1188)),"التاريخ ناقص",IF($E1188&gt;تاريخ_الاحتساب,"تاريخ بعد تاريخ الاحتساب",IF(AND($D1188&lt;&gt;"تسليم",COUNTIFS($A$5:$A$1504,$A1188,$D$5:$D$1504,"تسليم",$E$5:$E$1504,"&lt;="&amp;$E1188)=0),"لا يوجد تسليم قبل الحركة دي",""))))))</f>
        <v/>
      </c>
    </row>
    <row r="1189" customFormat="false" ht="15" hidden="false" customHeight="false" outlineLevel="0" collapsed="false">
      <c r="A1189" s="20"/>
      <c r="B1189" s="35" t="str">
        <f aca="false">IF($A1189="","",IFERROR(INDEX(مخرج_البند,MATCH($A1189,قائمة_المخرجات,0)),""))</f>
        <v/>
      </c>
      <c r="C1189" s="30" t="str">
        <f aca="false">IF($A1189="","",IFERROR(INDEX(مخرج_الوصف,MATCH($A1189,قائمة_المخرجات,0)),""))</f>
        <v/>
      </c>
      <c r="D1189" s="20"/>
      <c r="E1189" s="31"/>
      <c r="F1189" s="22"/>
      <c r="G1189" s="36" t="str">
        <f aca="false">IF(OR($A1189="",$D1189&lt;&gt;"تسليم",NOT(ISNUMBER($E1189))),"",COUNTIFS($A$5:$A$1504,$A1189,$D$5:$D$1504,"تسليم",$E$5:$E$1504,"&lt;"&amp;$E1189)+1)</f>
        <v/>
      </c>
      <c r="H1189" s="33" t="str">
        <f aca="false">IF($G1189="","",_xlfn.MINIFS($E$5:$E$1504,$A$5:$A$1504,$A1189,$D$5:$D$1504,"&lt;&gt;تسليم",$E$5:$E$1504,"&gt;="&amp;$E1189))</f>
        <v/>
      </c>
      <c r="I1189" s="33" t="str">
        <f aca="false">IF($G1189="","",_xlfn.MINIFS($E$5:$E$1504,$A$5:$A$1504,$A1189,$D$5:$D$1504,"تسليم",$E$5:$E$1504,"&gt;"&amp;$E1189))</f>
        <v/>
      </c>
      <c r="J1189" s="33" t="str">
        <f aca="false">IF($G1189="","",IF(H1189&gt;0,IF(I1189&gt;0,MIN(H1189,I1189),H1189),IF(I1189&gt;0,I1189,تاريخ_الاحتساب)))</f>
        <v/>
      </c>
      <c r="K1189" s="34" t="str">
        <f aca="false">IF($G1189="","",IF(AND(H1189=0,I1189=0),"جارية","مغلقة"))</f>
        <v/>
      </c>
      <c r="L1189" s="26" t="str">
        <f aca="false">IF($G1189="","",MAX(0,NETWORKDAYS.INTL($E1189,J1189,رمز_العطلة,أيام_الأجازات)-1))</f>
        <v/>
      </c>
      <c r="M1189" s="26" t="str">
        <f aca="false">IF($G1189="","",MAX(0,L1189-مهلة_المراجعة))</f>
        <v/>
      </c>
      <c r="N1189" s="30" t="str">
        <f aca="false">IF($A1189="",IF(OR($D1189&lt;&gt;"",$E1189&lt;&gt;""),"رقم المخرج ناقص",""),IF(ISNA(MATCH($A1189,قائمة_المخرجات,0)),"رقم مخرج غير موجود",IF($D1189="","نوع الحركة ناقص",IF(NOT(ISNUMBER($E1189)),"التاريخ ناقص",IF($E1189&gt;تاريخ_الاحتساب,"تاريخ بعد تاريخ الاحتساب",IF(AND($D1189&lt;&gt;"تسليم",COUNTIFS($A$5:$A$1504,$A1189,$D$5:$D$1504,"تسليم",$E$5:$E$1504,"&lt;="&amp;$E1189)=0),"لا يوجد تسليم قبل الحركة دي",""))))))</f>
        <v/>
      </c>
    </row>
    <row r="1190" customFormat="false" ht="15" hidden="false" customHeight="false" outlineLevel="0" collapsed="false">
      <c r="A1190" s="20"/>
      <c r="B1190" s="35" t="str">
        <f aca="false">IF($A1190="","",IFERROR(INDEX(مخرج_البند,MATCH($A1190,قائمة_المخرجات,0)),""))</f>
        <v/>
      </c>
      <c r="C1190" s="30" t="str">
        <f aca="false">IF($A1190="","",IFERROR(INDEX(مخرج_الوصف,MATCH($A1190,قائمة_المخرجات,0)),""))</f>
        <v/>
      </c>
      <c r="D1190" s="20"/>
      <c r="E1190" s="31"/>
      <c r="F1190" s="22"/>
      <c r="G1190" s="36" t="str">
        <f aca="false">IF(OR($A1190="",$D1190&lt;&gt;"تسليم",NOT(ISNUMBER($E1190))),"",COUNTIFS($A$5:$A$1504,$A1190,$D$5:$D$1504,"تسليم",$E$5:$E$1504,"&lt;"&amp;$E1190)+1)</f>
        <v/>
      </c>
      <c r="H1190" s="33" t="str">
        <f aca="false">IF($G1190="","",_xlfn.MINIFS($E$5:$E$1504,$A$5:$A$1504,$A1190,$D$5:$D$1504,"&lt;&gt;تسليم",$E$5:$E$1504,"&gt;="&amp;$E1190))</f>
        <v/>
      </c>
      <c r="I1190" s="33" t="str">
        <f aca="false">IF($G1190="","",_xlfn.MINIFS($E$5:$E$1504,$A$5:$A$1504,$A1190,$D$5:$D$1504,"تسليم",$E$5:$E$1504,"&gt;"&amp;$E1190))</f>
        <v/>
      </c>
      <c r="J1190" s="33" t="str">
        <f aca="false">IF($G1190="","",IF(H1190&gt;0,IF(I1190&gt;0,MIN(H1190,I1190),H1190),IF(I1190&gt;0,I1190,تاريخ_الاحتساب)))</f>
        <v/>
      </c>
      <c r="K1190" s="34" t="str">
        <f aca="false">IF($G1190="","",IF(AND(H1190=0,I1190=0),"جارية","مغلقة"))</f>
        <v/>
      </c>
      <c r="L1190" s="26" t="str">
        <f aca="false">IF($G1190="","",MAX(0,NETWORKDAYS.INTL($E1190,J1190,رمز_العطلة,أيام_الأجازات)-1))</f>
        <v/>
      </c>
      <c r="M1190" s="26" t="str">
        <f aca="false">IF($G1190="","",MAX(0,L1190-مهلة_المراجعة))</f>
        <v/>
      </c>
      <c r="N1190" s="30" t="str">
        <f aca="false">IF($A1190="",IF(OR($D1190&lt;&gt;"",$E1190&lt;&gt;""),"رقم المخرج ناقص",""),IF(ISNA(MATCH($A1190,قائمة_المخرجات,0)),"رقم مخرج غير موجود",IF($D1190="","نوع الحركة ناقص",IF(NOT(ISNUMBER($E1190)),"التاريخ ناقص",IF($E1190&gt;تاريخ_الاحتساب,"تاريخ بعد تاريخ الاحتساب",IF(AND($D1190&lt;&gt;"تسليم",COUNTIFS($A$5:$A$1504,$A1190,$D$5:$D$1504,"تسليم",$E$5:$E$1504,"&lt;="&amp;$E1190)=0),"لا يوجد تسليم قبل الحركة دي",""))))))</f>
        <v/>
      </c>
    </row>
    <row r="1191" customFormat="false" ht="15" hidden="false" customHeight="false" outlineLevel="0" collapsed="false">
      <c r="A1191" s="20"/>
      <c r="B1191" s="35" t="str">
        <f aca="false">IF($A1191="","",IFERROR(INDEX(مخرج_البند,MATCH($A1191,قائمة_المخرجات,0)),""))</f>
        <v/>
      </c>
      <c r="C1191" s="30" t="str">
        <f aca="false">IF($A1191="","",IFERROR(INDEX(مخرج_الوصف,MATCH($A1191,قائمة_المخرجات,0)),""))</f>
        <v/>
      </c>
      <c r="D1191" s="20"/>
      <c r="E1191" s="31"/>
      <c r="F1191" s="22"/>
      <c r="G1191" s="36" t="str">
        <f aca="false">IF(OR($A1191="",$D1191&lt;&gt;"تسليم",NOT(ISNUMBER($E1191))),"",COUNTIFS($A$5:$A$1504,$A1191,$D$5:$D$1504,"تسليم",$E$5:$E$1504,"&lt;"&amp;$E1191)+1)</f>
        <v/>
      </c>
      <c r="H1191" s="33" t="str">
        <f aca="false">IF($G1191="","",_xlfn.MINIFS($E$5:$E$1504,$A$5:$A$1504,$A1191,$D$5:$D$1504,"&lt;&gt;تسليم",$E$5:$E$1504,"&gt;="&amp;$E1191))</f>
        <v/>
      </c>
      <c r="I1191" s="33" t="str">
        <f aca="false">IF($G1191="","",_xlfn.MINIFS($E$5:$E$1504,$A$5:$A$1504,$A1191,$D$5:$D$1504,"تسليم",$E$5:$E$1504,"&gt;"&amp;$E1191))</f>
        <v/>
      </c>
      <c r="J1191" s="33" t="str">
        <f aca="false">IF($G1191="","",IF(H1191&gt;0,IF(I1191&gt;0,MIN(H1191,I1191),H1191),IF(I1191&gt;0,I1191,تاريخ_الاحتساب)))</f>
        <v/>
      </c>
      <c r="K1191" s="34" t="str">
        <f aca="false">IF($G1191="","",IF(AND(H1191=0,I1191=0),"جارية","مغلقة"))</f>
        <v/>
      </c>
      <c r="L1191" s="26" t="str">
        <f aca="false">IF($G1191="","",MAX(0,NETWORKDAYS.INTL($E1191,J1191,رمز_العطلة,أيام_الأجازات)-1))</f>
        <v/>
      </c>
      <c r="M1191" s="26" t="str">
        <f aca="false">IF($G1191="","",MAX(0,L1191-مهلة_المراجعة))</f>
        <v/>
      </c>
      <c r="N1191" s="30" t="str">
        <f aca="false">IF($A1191="",IF(OR($D1191&lt;&gt;"",$E1191&lt;&gt;""),"رقم المخرج ناقص",""),IF(ISNA(MATCH($A1191,قائمة_المخرجات,0)),"رقم مخرج غير موجود",IF($D1191="","نوع الحركة ناقص",IF(NOT(ISNUMBER($E1191)),"التاريخ ناقص",IF($E1191&gt;تاريخ_الاحتساب,"تاريخ بعد تاريخ الاحتساب",IF(AND($D1191&lt;&gt;"تسليم",COUNTIFS($A$5:$A$1504,$A1191,$D$5:$D$1504,"تسليم",$E$5:$E$1504,"&lt;="&amp;$E1191)=0),"لا يوجد تسليم قبل الحركة دي",""))))))</f>
        <v/>
      </c>
    </row>
    <row r="1192" customFormat="false" ht="15" hidden="false" customHeight="false" outlineLevel="0" collapsed="false">
      <c r="A1192" s="20"/>
      <c r="B1192" s="35" t="str">
        <f aca="false">IF($A1192="","",IFERROR(INDEX(مخرج_البند,MATCH($A1192,قائمة_المخرجات,0)),""))</f>
        <v/>
      </c>
      <c r="C1192" s="30" t="str">
        <f aca="false">IF($A1192="","",IFERROR(INDEX(مخرج_الوصف,MATCH($A1192,قائمة_المخرجات,0)),""))</f>
        <v/>
      </c>
      <c r="D1192" s="20"/>
      <c r="E1192" s="31"/>
      <c r="F1192" s="22"/>
      <c r="G1192" s="36" t="str">
        <f aca="false">IF(OR($A1192="",$D1192&lt;&gt;"تسليم",NOT(ISNUMBER($E1192))),"",COUNTIFS($A$5:$A$1504,$A1192,$D$5:$D$1504,"تسليم",$E$5:$E$1504,"&lt;"&amp;$E1192)+1)</f>
        <v/>
      </c>
      <c r="H1192" s="33" t="str">
        <f aca="false">IF($G1192="","",_xlfn.MINIFS($E$5:$E$1504,$A$5:$A$1504,$A1192,$D$5:$D$1504,"&lt;&gt;تسليم",$E$5:$E$1504,"&gt;="&amp;$E1192))</f>
        <v/>
      </c>
      <c r="I1192" s="33" t="str">
        <f aca="false">IF($G1192="","",_xlfn.MINIFS($E$5:$E$1504,$A$5:$A$1504,$A1192,$D$5:$D$1504,"تسليم",$E$5:$E$1504,"&gt;"&amp;$E1192))</f>
        <v/>
      </c>
      <c r="J1192" s="33" t="str">
        <f aca="false">IF($G1192="","",IF(H1192&gt;0,IF(I1192&gt;0,MIN(H1192,I1192),H1192),IF(I1192&gt;0,I1192,تاريخ_الاحتساب)))</f>
        <v/>
      </c>
      <c r="K1192" s="34" t="str">
        <f aca="false">IF($G1192="","",IF(AND(H1192=0,I1192=0),"جارية","مغلقة"))</f>
        <v/>
      </c>
      <c r="L1192" s="26" t="str">
        <f aca="false">IF($G1192="","",MAX(0,NETWORKDAYS.INTL($E1192,J1192,رمز_العطلة,أيام_الأجازات)-1))</f>
        <v/>
      </c>
      <c r="M1192" s="26" t="str">
        <f aca="false">IF($G1192="","",MAX(0,L1192-مهلة_المراجعة))</f>
        <v/>
      </c>
      <c r="N1192" s="30" t="str">
        <f aca="false">IF($A1192="",IF(OR($D1192&lt;&gt;"",$E1192&lt;&gt;""),"رقم المخرج ناقص",""),IF(ISNA(MATCH($A1192,قائمة_المخرجات,0)),"رقم مخرج غير موجود",IF($D1192="","نوع الحركة ناقص",IF(NOT(ISNUMBER($E1192)),"التاريخ ناقص",IF($E1192&gt;تاريخ_الاحتساب,"تاريخ بعد تاريخ الاحتساب",IF(AND($D1192&lt;&gt;"تسليم",COUNTIFS($A$5:$A$1504,$A1192,$D$5:$D$1504,"تسليم",$E$5:$E$1504,"&lt;="&amp;$E1192)=0),"لا يوجد تسليم قبل الحركة دي",""))))))</f>
        <v/>
      </c>
    </row>
    <row r="1193" customFormat="false" ht="15" hidden="false" customHeight="false" outlineLevel="0" collapsed="false">
      <c r="A1193" s="20"/>
      <c r="B1193" s="35" t="str">
        <f aca="false">IF($A1193="","",IFERROR(INDEX(مخرج_البند,MATCH($A1193,قائمة_المخرجات,0)),""))</f>
        <v/>
      </c>
      <c r="C1193" s="30" t="str">
        <f aca="false">IF($A1193="","",IFERROR(INDEX(مخرج_الوصف,MATCH($A1193,قائمة_المخرجات,0)),""))</f>
        <v/>
      </c>
      <c r="D1193" s="20"/>
      <c r="E1193" s="31"/>
      <c r="F1193" s="22"/>
      <c r="G1193" s="36" t="str">
        <f aca="false">IF(OR($A1193="",$D1193&lt;&gt;"تسليم",NOT(ISNUMBER($E1193))),"",COUNTIFS($A$5:$A$1504,$A1193,$D$5:$D$1504,"تسليم",$E$5:$E$1504,"&lt;"&amp;$E1193)+1)</f>
        <v/>
      </c>
      <c r="H1193" s="33" t="str">
        <f aca="false">IF($G1193="","",_xlfn.MINIFS($E$5:$E$1504,$A$5:$A$1504,$A1193,$D$5:$D$1504,"&lt;&gt;تسليم",$E$5:$E$1504,"&gt;="&amp;$E1193))</f>
        <v/>
      </c>
      <c r="I1193" s="33" t="str">
        <f aca="false">IF($G1193="","",_xlfn.MINIFS($E$5:$E$1504,$A$5:$A$1504,$A1193,$D$5:$D$1504,"تسليم",$E$5:$E$1504,"&gt;"&amp;$E1193))</f>
        <v/>
      </c>
      <c r="J1193" s="33" t="str">
        <f aca="false">IF($G1193="","",IF(H1193&gt;0,IF(I1193&gt;0,MIN(H1193,I1193),H1193),IF(I1193&gt;0,I1193,تاريخ_الاحتساب)))</f>
        <v/>
      </c>
      <c r="K1193" s="34" t="str">
        <f aca="false">IF($G1193="","",IF(AND(H1193=0,I1193=0),"جارية","مغلقة"))</f>
        <v/>
      </c>
      <c r="L1193" s="26" t="str">
        <f aca="false">IF($G1193="","",MAX(0,NETWORKDAYS.INTL($E1193,J1193,رمز_العطلة,أيام_الأجازات)-1))</f>
        <v/>
      </c>
      <c r="M1193" s="26" t="str">
        <f aca="false">IF($G1193="","",MAX(0,L1193-مهلة_المراجعة))</f>
        <v/>
      </c>
      <c r="N1193" s="30" t="str">
        <f aca="false">IF($A1193="",IF(OR($D1193&lt;&gt;"",$E1193&lt;&gt;""),"رقم المخرج ناقص",""),IF(ISNA(MATCH($A1193,قائمة_المخرجات,0)),"رقم مخرج غير موجود",IF($D1193="","نوع الحركة ناقص",IF(NOT(ISNUMBER($E1193)),"التاريخ ناقص",IF($E1193&gt;تاريخ_الاحتساب,"تاريخ بعد تاريخ الاحتساب",IF(AND($D1193&lt;&gt;"تسليم",COUNTIFS($A$5:$A$1504,$A1193,$D$5:$D$1504,"تسليم",$E$5:$E$1504,"&lt;="&amp;$E1193)=0),"لا يوجد تسليم قبل الحركة دي",""))))))</f>
        <v/>
      </c>
    </row>
    <row r="1194" customFormat="false" ht="15" hidden="false" customHeight="false" outlineLevel="0" collapsed="false">
      <c r="A1194" s="20"/>
      <c r="B1194" s="35" t="str">
        <f aca="false">IF($A1194="","",IFERROR(INDEX(مخرج_البند,MATCH($A1194,قائمة_المخرجات,0)),""))</f>
        <v/>
      </c>
      <c r="C1194" s="30" t="str">
        <f aca="false">IF($A1194="","",IFERROR(INDEX(مخرج_الوصف,MATCH($A1194,قائمة_المخرجات,0)),""))</f>
        <v/>
      </c>
      <c r="D1194" s="20"/>
      <c r="E1194" s="31"/>
      <c r="F1194" s="22"/>
      <c r="G1194" s="36" t="str">
        <f aca="false">IF(OR($A1194="",$D1194&lt;&gt;"تسليم",NOT(ISNUMBER($E1194))),"",COUNTIFS($A$5:$A$1504,$A1194,$D$5:$D$1504,"تسليم",$E$5:$E$1504,"&lt;"&amp;$E1194)+1)</f>
        <v/>
      </c>
      <c r="H1194" s="33" t="str">
        <f aca="false">IF($G1194="","",_xlfn.MINIFS($E$5:$E$1504,$A$5:$A$1504,$A1194,$D$5:$D$1504,"&lt;&gt;تسليم",$E$5:$E$1504,"&gt;="&amp;$E1194))</f>
        <v/>
      </c>
      <c r="I1194" s="33" t="str">
        <f aca="false">IF($G1194="","",_xlfn.MINIFS($E$5:$E$1504,$A$5:$A$1504,$A1194,$D$5:$D$1504,"تسليم",$E$5:$E$1504,"&gt;"&amp;$E1194))</f>
        <v/>
      </c>
      <c r="J1194" s="33" t="str">
        <f aca="false">IF($G1194="","",IF(H1194&gt;0,IF(I1194&gt;0,MIN(H1194,I1194),H1194),IF(I1194&gt;0,I1194,تاريخ_الاحتساب)))</f>
        <v/>
      </c>
      <c r="K1194" s="34" t="str">
        <f aca="false">IF($G1194="","",IF(AND(H1194=0,I1194=0),"جارية","مغلقة"))</f>
        <v/>
      </c>
      <c r="L1194" s="26" t="str">
        <f aca="false">IF($G1194="","",MAX(0,NETWORKDAYS.INTL($E1194,J1194,رمز_العطلة,أيام_الأجازات)-1))</f>
        <v/>
      </c>
      <c r="M1194" s="26" t="str">
        <f aca="false">IF($G1194="","",MAX(0,L1194-مهلة_المراجعة))</f>
        <v/>
      </c>
      <c r="N1194" s="30" t="str">
        <f aca="false">IF($A1194="",IF(OR($D1194&lt;&gt;"",$E1194&lt;&gt;""),"رقم المخرج ناقص",""),IF(ISNA(MATCH($A1194,قائمة_المخرجات,0)),"رقم مخرج غير موجود",IF($D1194="","نوع الحركة ناقص",IF(NOT(ISNUMBER($E1194)),"التاريخ ناقص",IF($E1194&gt;تاريخ_الاحتساب,"تاريخ بعد تاريخ الاحتساب",IF(AND($D1194&lt;&gt;"تسليم",COUNTIFS($A$5:$A$1504,$A1194,$D$5:$D$1504,"تسليم",$E$5:$E$1504,"&lt;="&amp;$E1194)=0),"لا يوجد تسليم قبل الحركة دي",""))))))</f>
        <v/>
      </c>
    </row>
    <row r="1195" customFormat="false" ht="15" hidden="false" customHeight="false" outlineLevel="0" collapsed="false">
      <c r="A1195" s="20"/>
      <c r="B1195" s="35" t="str">
        <f aca="false">IF($A1195="","",IFERROR(INDEX(مخرج_البند,MATCH($A1195,قائمة_المخرجات,0)),""))</f>
        <v/>
      </c>
      <c r="C1195" s="30" t="str">
        <f aca="false">IF($A1195="","",IFERROR(INDEX(مخرج_الوصف,MATCH($A1195,قائمة_المخرجات,0)),""))</f>
        <v/>
      </c>
      <c r="D1195" s="20"/>
      <c r="E1195" s="31"/>
      <c r="F1195" s="22"/>
      <c r="G1195" s="36" t="str">
        <f aca="false">IF(OR($A1195="",$D1195&lt;&gt;"تسليم",NOT(ISNUMBER($E1195))),"",COUNTIFS($A$5:$A$1504,$A1195,$D$5:$D$1504,"تسليم",$E$5:$E$1504,"&lt;"&amp;$E1195)+1)</f>
        <v/>
      </c>
      <c r="H1195" s="33" t="str">
        <f aca="false">IF($G1195="","",_xlfn.MINIFS($E$5:$E$1504,$A$5:$A$1504,$A1195,$D$5:$D$1504,"&lt;&gt;تسليم",$E$5:$E$1504,"&gt;="&amp;$E1195))</f>
        <v/>
      </c>
      <c r="I1195" s="33" t="str">
        <f aca="false">IF($G1195="","",_xlfn.MINIFS($E$5:$E$1504,$A$5:$A$1504,$A1195,$D$5:$D$1504,"تسليم",$E$5:$E$1504,"&gt;"&amp;$E1195))</f>
        <v/>
      </c>
      <c r="J1195" s="33" t="str">
        <f aca="false">IF($G1195="","",IF(H1195&gt;0,IF(I1195&gt;0,MIN(H1195,I1195),H1195),IF(I1195&gt;0,I1195,تاريخ_الاحتساب)))</f>
        <v/>
      </c>
      <c r="K1195" s="34" t="str">
        <f aca="false">IF($G1195="","",IF(AND(H1195=0,I1195=0),"جارية","مغلقة"))</f>
        <v/>
      </c>
      <c r="L1195" s="26" t="str">
        <f aca="false">IF($G1195="","",MAX(0,NETWORKDAYS.INTL($E1195,J1195,رمز_العطلة,أيام_الأجازات)-1))</f>
        <v/>
      </c>
      <c r="M1195" s="26" t="str">
        <f aca="false">IF($G1195="","",MAX(0,L1195-مهلة_المراجعة))</f>
        <v/>
      </c>
      <c r="N1195" s="30" t="str">
        <f aca="false">IF($A1195="",IF(OR($D1195&lt;&gt;"",$E1195&lt;&gt;""),"رقم المخرج ناقص",""),IF(ISNA(MATCH($A1195,قائمة_المخرجات,0)),"رقم مخرج غير موجود",IF($D1195="","نوع الحركة ناقص",IF(NOT(ISNUMBER($E1195)),"التاريخ ناقص",IF($E1195&gt;تاريخ_الاحتساب,"تاريخ بعد تاريخ الاحتساب",IF(AND($D1195&lt;&gt;"تسليم",COUNTIFS($A$5:$A$1504,$A1195,$D$5:$D$1504,"تسليم",$E$5:$E$1504,"&lt;="&amp;$E1195)=0),"لا يوجد تسليم قبل الحركة دي",""))))))</f>
        <v/>
      </c>
    </row>
    <row r="1196" customFormat="false" ht="15" hidden="false" customHeight="false" outlineLevel="0" collapsed="false">
      <c r="A1196" s="20"/>
      <c r="B1196" s="35" t="str">
        <f aca="false">IF($A1196="","",IFERROR(INDEX(مخرج_البند,MATCH($A1196,قائمة_المخرجات,0)),""))</f>
        <v/>
      </c>
      <c r="C1196" s="30" t="str">
        <f aca="false">IF($A1196="","",IFERROR(INDEX(مخرج_الوصف,MATCH($A1196,قائمة_المخرجات,0)),""))</f>
        <v/>
      </c>
      <c r="D1196" s="20"/>
      <c r="E1196" s="31"/>
      <c r="F1196" s="22"/>
      <c r="G1196" s="36" t="str">
        <f aca="false">IF(OR($A1196="",$D1196&lt;&gt;"تسليم",NOT(ISNUMBER($E1196))),"",COUNTIFS($A$5:$A$1504,$A1196,$D$5:$D$1504,"تسليم",$E$5:$E$1504,"&lt;"&amp;$E1196)+1)</f>
        <v/>
      </c>
      <c r="H1196" s="33" t="str">
        <f aca="false">IF($G1196="","",_xlfn.MINIFS($E$5:$E$1504,$A$5:$A$1504,$A1196,$D$5:$D$1504,"&lt;&gt;تسليم",$E$5:$E$1504,"&gt;="&amp;$E1196))</f>
        <v/>
      </c>
      <c r="I1196" s="33" t="str">
        <f aca="false">IF($G1196="","",_xlfn.MINIFS($E$5:$E$1504,$A$5:$A$1504,$A1196,$D$5:$D$1504,"تسليم",$E$5:$E$1504,"&gt;"&amp;$E1196))</f>
        <v/>
      </c>
      <c r="J1196" s="33" t="str">
        <f aca="false">IF($G1196="","",IF(H1196&gt;0,IF(I1196&gt;0,MIN(H1196,I1196),H1196),IF(I1196&gt;0,I1196,تاريخ_الاحتساب)))</f>
        <v/>
      </c>
      <c r="K1196" s="34" t="str">
        <f aca="false">IF($G1196="","",IF(AND(H1196=0,I1196=0),"جارية","مغلقة"))</f>
        <v/>
      </c>
      <c r="L1196" s="26" t="str">
        <f aca="false">IF($G1196="","",MAX(0,NETWORKDAYS.INTL($E1196,J1196,رمز_العطلة,أيام_الأجازات)-1))</f>
        <v/>
      </c>
      <c r="M1196" s="26" t="str">
        <f aca="false">IF($G1196="","",MAX(0,L1196-مهلة_المراجعة))</f>
        <v/>
      </c>
      <c r="N1196" s="30" t="str">
        <f aca="false">IF($A1196="",IF(OR($D1196&lt;&gt;"",$E1196&lt;&gt;""),"رقم المخرج ناقص",""),IF(ISNA(MATCH($A1196,قائمة_المخرجات,0)),"رقم مخرج غير موجود",IF($D1196="","نوع الحركة ناقص",IF(NOT(ISNUMBER($E1196)),"التاريخ ناقص",IF($E1196&gt;تاريخ_الاحتساب,"تاريخ بعد تاريخ الاحتساب",IF(AND($D1196&lt;&gt;"تسليم",COUNTIFS($A$5:$A$1504,$A1196,$D$5:$D$1504,"تسليم",$E$5:$E$1504,"&lt;="&amp;$E1196)=0),"لا يوجد تسليم قبل الحركة دي",""))))))</f>
        <v/>
      </c>
    </row>
    <row r="1197" customFormat="false" ht="15" hidden="false" customHeight="false" outlineLevel="0" collapsed="false">
      <c r="A1197" s="20"/>
      <c r="B1197" s="35" t="str">
        <f aca="false">IF($A1197="","",IFERROR(INDEX(مخرج_البند,MATCH($A1197,قائمة_المخرجات,0)),""))</f>
        <v/>
      </c>
      <c r="C1197" s="30" t="str">
        <f aca="false">IF($A1197="","",IFERROR(INDEX(مخرج_الوصف,MATCH($A1197,قائمة_المخرجات,0)),""))</f>
        <v/>
      </c>
      <c r="D1197" s="20"/>
      <c r="E1197" s="31"/>
      <c r="F1197" s="22"/>
      <c r="G1197" s="36" t="str">
        <f aca="false">IF(OR($A1197="",$D1197&lt;&gt;"تسليم",NOT(ISNUMBER($E1197))),"",COUNTIFS($A$5:$A$1504,$A1197,$D$5:$D$1504,"تسليم",$E$5:$E$1504,"&lt;"&amp;$E1197)+1)</f>
        <v/>
      </c>
      <c r="H1197" s="33" t="str">
        <f aca="false">IF($G1197="","",_xlfn.MINIFS($E$5:$E$1504,$A$5:$A$1504,$A1197,$D$5:$D$1504,"&lt;&gt;تسليم",$E$5:$E$1504,"&gt;="&amp;$E1197))</f>
        <v/>
      </c>
      <c r="I1197" s="33" t="str">
        <f aca="false">IF($G1197="","",_xlfn.MINIFS($E$5:$E$1504,$A$5:$A$1504,$A1197,$D$5:$D$1504,"تسليم",$E$5:$E$1504,"&gt;"&amp;$E1197))</f>
        <v/>
      </c>
      <c r="J1197" s="33" t="str">
        <f aca="false">IF($G1197="","",IF(H1197&gt;0,IF(I1197&gt;0,MIN(H1197,I1197),H1197),IF(I1197&gt;0,I1197,تاريخ_الاحتساب)))</f>
        <v/>
      </c>
      <c r="K1197" s="34" t="str">
        <f aca="false">IF($G1197="","",IF(AND(H1197=0,I1197=0),"جارية","مغلقة"))</f>
        <v/>
      </c>
      <c r="L1197" s="26" t="str">
        <f aca="false">IF($G1197="","",MAX(0,NETWORKDAYS.INTL($E1197,J1197,رمز_العطلة,أيام_الأجازات)-1))</f>
        <v/>
      </c>
      <c r="M1197" s="26" t="str">
        <f aca="false">IF($G1197="","",MAX(0,L1197-مهلة_المراجعة))</f>
        <v/>
      </c>
      <c r="N1197" s="30" t="str">
        <f aca="false">IF($A1197="",IF(OR($D1197&lt;&gt;"",$E1197&lt;&gt;""),"رقم المخرج ناقص",""),IF(ISNA(MATCH($A1197,قائمة_المخرجات,0)),"رقم مخرج غير موجود",IF($D1197="","نوع الحركة ناقص",IF(NOT(ISNUMBER($E1197)),"التاريخ ناقص",IF($E1197&gt;تاريخ_الاحتساب,"تاريخ بعد تاريخ الاحتساب",IF(AND($D1197&lt;&gt;"تسليم",COUNTIFS($A$5:$A$1504,$A1197,$D$5:$D$1504,"تسليم",$E$5:$E$1504,"&lt;="&amp;$E1197)=0),"لا يوجد تسليم قبل الحركة دي",""))))))</f>
        <v/>
      </c>
    </row>
    <row r="1198" customFormat="false" ht="15" hidden="false" customHeight="false" outlineLevel="0" collapsed="false">
      <c r="A1198" s="20"/>
      <c r="B1198" s="35" t="str">
        <f aca="false">IF($A1198="","",IFERROR(INDEX(مخرج_البند,MATCH($A1198,قائمة_المخرجات,0)),""))</f>
        <v/>
      </c>
      <c r="C1198" s="30" t="str">
        <f aca="false">IF($A1198="","",IFERROR(INDEX(مخرج_الوصف,MATCH($A1198,قائمة_المخرجات,0)),""))</f>
        <v/>
      </c>
      <c r="D1198" s="20"/>
      <c r="E1198" s="31"/>
      <c r="F1198" s="22"/>
      <c r="G1198" s="36" t="str">
        <f aca="false">IF(OR($A1198="",$D1198&lt;&gt;"تسليم",NOT(ISNUMBER($E1198))),"",COUNTIFS($A$5:$A$1504,$A1198,$D$5:$D$1504,"تسليم",$E$5:$E$1504,"&lt;"&amp;$E1198)+1)</f>
        <v/>
      </c>
      <c r="H1198" s="33" t="str">
        <f aca="false">IF($G1198="","",_xlfn.MINIFS($E$5:$E$1504,$A$5:$A$1504,$A1198,$D$5:$D$1504,"&lt;&gt;تسليم",$E$5:$E$1504,"&gt;="&amp;$E1198))</f>
        <v/>
      </c>
      <c r="I1198" s="33" t="str">
        <f aca="false">IF($G1198="","",_xlfn.MINIFS($E$5:$E$1504,$A$5:$A$1504,$A1198,$D$5:$D$1504,"تسليم",$E$5:$E$1504,"&gt;"&amp;$E1198))</f>
        <v/>
      </c>
      <c r="J1198" s="33" t="str">
        <f aca="false">IF($G1198="","",IF(H1198&gt;0,IF(I1198&gt;0,MIN(H1198,I1198),H1198),IF(I1198&gt;0,I1198,تاريخ_الاحتساب)))</f>
        <v/>
      </c>
      <c r="K1198" s="34" t="str">
        <f aca="false">IF($G1198="","",IF(AND(H1198=0,I1198=0),"جارية","مغلقة"))</f>
        <v/>
      </c>
      <c r="L1198" s="26" t="str">
        <f aca="false">IF($G1198="","",MAX(0,NETWORKDAYS.INTL($E1198,J1198,رمز_العطلة,أيام_الأجازات)-1))</f>
        <v/>
      </c>
      <c r="M1198" s="26" t="str">
        <f aca="false">IF($G1198="","",MAX(0,L1198-مهلة_المراجعة))</f>
        <v/>
      </c>
      <c r="N1198" s="30" t="str">
        <f aca="false">IF($A1198="",IF(OR($D1198&lt;&gt;"",$E1198&lt;&gt;""),"رقم المخرج ناقص",""),IF(ISNA(MATCH($A1198,قائمة_المخرجات,0)),"رقم مخرج غير موجود",IF($D1198="","نوع الحركة ناقص",IF(NOT(ISNUMBER($E1198)),"التاريخ ناقص",IF($E1198&gt;تاريخ_الاحتساب,"تاريخ بعد تاريخ الاحتساب",IF(AND($D1198&lt;&gt;"تسليم",COUNTIFS($A$5:$A$1504,$A1198,$D$5:$D$1504,"تسليم",$E$5:$E$1504,"&lt;="&amp;$E1198)=0),"لا يوجد تسليم قبل الحركة دي",""))))))</f>
        <v/>
      </c>
    </row>
    <row r="1199" customFormat="false" ht="15" hidden="false" customHeight="false" outlineLevel="0" collapsed="false">
      <c r="A1199" s="20"/>
      <c r="B1199" s="35" t="str">
        <f aca="false">IF($A1199="","",IFERROR(INDEX(مخرج_البند,MATCH($A1199,قائمة_المخرجات,0)),""))</f>
        <v/>
      </c>
      <c r="C1199" s="30" t="str">
        <f aca="false">IF($A1199="","",IFERROR(INDEX(مخرج_الوصف,MATCH($A1199,قائمة_المخرجات,0)),""))</f>
        <v/>
      </c>
      <c r="D1199" s="20"/>
      <c r="E1199" s="31"/>
      <c r="F1199" s="22"/>
      <c r="G1199" s="36" t="str">
        <f aca="false">IF(OR($A1199="",$D1199&lt;&gt;"تسليم",NOT(ISNUMBER($E1199))),"",COUNTIFS($A$5:$A$1504,$A1199,$D$5:$D$1504,"تسليم",$E$5:$E$1504,"&lt;"&amp;$E1199)+1)</f>
        <v/>
      </c>
      <c r="H1199" s="33" t="str">
        <f aca="false">IF($G1199="","",_xlfn.MINIFS($E$5:$E$1504,$A$5:$A$1504,$A1199,$D$5:$D$1504,"&lt;&gt;تسليم",$E$5:$E$1504,"&gt;="&amp;$E1199))</f>
        <v/>
      </c>
      <c r="I1199" s="33" t="str">
        <f aca="false">IF($G1199="","",_xlfn.MINIFS($E$5:$E$1504,$A$5:$A$1504,$A1199,$D$5:$D$1504,"تسليم",$E$5:$E$1504,"&gt;"&amp;$E1199))</f>
        <v/>
      </c>
      <c r="J1199" s="33" t="str">
        <f aca="false">IF($G1199="","",IF(H1199&gt;0,IF(I1199&gt;0,MIN(H1199,I1199),H1199),IF(I1199&gt;0,I1199,تاريخ_الاحتساب)))</f>
        <v/>
      </c>
      <c r="K1199" s="34" t="str">
        <f aca="false">IF($G1199="","",IF(AND(H1199=0,I1199=0),"جارية","مغلقة"))</f>
        <v/>
      </c>
      <c r="L1199" s="26" t="str">
        <f aca="false">IF($G1199="","",MAX(0,NETWORKDAYS.INTL($E1199,J1199,رمز_العطلة,أيام_الأجازات)-1))</f>
        <v/>
      </c>
      <c r="M1199" s="26" t="str">
        <f aca="false">IF($G1199="","",MAX(0,L1199-مهلة_المراجعة))</f>
        <v/>
      </c>
      <c r="N1199" s="30" t="str">
        <f aca="false">IF($A1199="",IF(OR($D1199&lt;&gt;"",$E1199&lt;&gt;""),"رقم المخرج ناقص",""),IF(ISNA(MATCH($A1199,قائمة_المخرجات,0)),"رقم مخرج غير موجود",IF($D1199="","نوع الحركة ناقص",IF(NOT(ISNUMBER($E1199)),"التاريخ ناقص",IF($E1199&gt;تاريخ_الاحتساب,"تاريخ بعد تاريخ الاحتساب",IF(AND($D1199&lt;&gt;"تسليم",COUNTIFS($A$5:$A$1504,$A1199,$D$5:$D$1504,"تسليم",$E$5:$E$1504,"&lt;="&amp;$E1199)=0),"لا يوجد تسليم قبل الحركة دي",""))))))</f>
        <v/>
      </c>
    </row>
    <row r="1200" customFormat="false" ht="15" hidden="false" customHeight="false" outlineLevel="0" collapsed="false">
      <c r="A1200" s="20"/>
      <c r="B1200" s="35" t="str">
        <f aca="false">IF($A1200="","",IFERROR(INDEX(مخرج_البند,MATCH($A1200,قائمة_المخرجات,0)),""))</f>
        <v/>
      </c>
      <c r="C1200" s="30" t="str">
        <f aca="false">IF($A1200="","",IFERROR(INDEX(مخرج_الوصف,MATCH($A1200,قائمة_المخرجات,0)),""))</f>
        <v/>
      </c>
      <c r="D1200" s="20"/>
      <c r="E1200" s="31"/>
      <c r="F1200" s="22"/>
      <c r="G1200" s="36" t="str">
        <f aca="false">IF(OR($A1200="",$D1200&lt;&gt;"تسليم",NOT(ISNUMBER($E1200))),"",COUNTIFS($A$5:$A$1504,$A1200,$D$5:$D$1504,"تسليم",$E$5:$E$1504,"&lt;"&amp;$E1200)+1)</f>
        <v/>
      </c>
      <c r="H1200" s="33" t="str">
        <f aca="false">IF($G1200="","",_xlfn.MINIFS($E$5:$E$1504,$A$5:$A$1504,$A1200,$D$5:$D$1504,"&lt;&gt;تسليم",$E$5:$E$1504,"&gt;="&amp;$E1200))</f>
        <v/>
      </c>
      <c r="I1200" s="33" t="str">
        <f aca="false">IF($G1200="","",_xlfn.MINIFS($E$5:$E$1504,$A$5:$A$1504,$A1200,$D$5:$D$1504,"تسليم",$E$5:$E$1504,"&gt;"&amp;$E1200))</f>
        <v/>
      </c>
      <c r="J1200" s="33" t="str">
        <f aca="false">IF($G1200="","",IF(H1200&gt;0,IF(I1200&gt;0,MIN(H1200,I1200),H1200),IF(I1200&gt;0,I1200,تاريخ_الاحتساب)))</f>
        <v/>
      </c>
      <c r="K1200" s="34" t="str">
        <f aca="false">IF($G1200="","",IF(AND(H1200=0,I1200=0),"جارية","مغلقة"))</f>
        <v/>
      </c>
      <c r="L1200" s="26" t="str">
        <f aca="false">IF($G1200="","",MAX(0,NETWORKDAYS.INTL($E1200,J1200,رمز_العطلة,أيام_الأجازات)-1))</f>
        <v/>
      </c>
      <c r="M1200" s="26" t="str">
        <f aca="false">IF($G1200="","",MAX(0,L1200-مهلة_المراجعة))</f>
        <v/>
      </c>
      <c r="N1200" s="30" t="str">
        <f aca="false">IF($A1200="",IF(OR($D1200&lt;&gt;"",$E1200&lt;&gt;""),"رقم المخرج ناقص",""),IF(ISNA(MATCH($A1200,قائمة_المخرجات,0)),"رقم مخرج غير موجود",IF($D1200="","نوع الحركة ناقص",IF(NOT(ISNUMBER($E1200)),"التاريخ ناقص",IF($E1200&gt;تاريخ_الاحتساب,"تاريخ بعد تاريخ الاحتساب",IF(AND($D1200&lt;&gt;"تسليم",COUNTIFS($A$5:$A$1504,$A1200,$D$5:$D$1504,"تسليم",$E$5:$E$1504,"&lt;="&amp;$E1200)=0),"لا يوجد تسليم قبل الحركة دي",""))))))</f>
        <v/>
      </c>
    </row>
    <row r="1201" customFormat="false" ht="15" hidden="false" customHeight="false" outlineLevel="0" collapsed="false">
      <c r="A1201" s="20"/>
      <c r="B1201" s="35" t="str">
        <f aca="false">IF($A1201="","",IFERROR(INDEX(مخرج_البند,MATCH($A1201,قائمة_المخرجات,0)),""))</f>
        <v/>
      </c>
      <c r="C1201" s="30" t="str">
        <f aca="false">IF($A1201="","",IFERROR(INDEX(مخرج_الوصف,MATCH($A1201,قائمة_المخرجات,0)),""))</f>
        <v/>
      </c>
      <c r="D1201" s="20"/>
      <c r="E1201" s="31"/>
      <c r="F1201" s="22"/>
      <c r="G1201" s="36" t="str">
        <f aca="false">IF(OR($A1201="",$D1201&lt;&gt;"تسليم",NOT(ISNUMBER($E1201))),"",COUNTIFS($A$5:$A$1504,$A1201,$D$5:$D$1504,"تسليم",$E$5:$E$1504,"&lt;"&amp;$E1201)+1)</f>
        <v/>
      </c>
      <c r="H1201" s="33" t="str">
        <f aca="false">IF($G1201="","",_xlfn.MINIFS($E$5:$E$1504,$A$5:$A$1504,$A1201,$D$5:$D$1504,"&lt;&gt;تسليم",$E$5:$E$1504,"&gt;="&amp;$E1201))</f>
        <v/>
      </c>
      <c r="I1201" s="33" t="str">
        <f aca="false">IF($G1201="","",_xlfn.MINIFS($E$5:$E$1504,$A$5:$A$1504,$A1201,$D$5:$D$1504,"تسليم",$E$5:$E$1504,"&gt;"&amp;$E1201))</f>
        <v/>
      </c>
      <c r="J1201" s="33" t="str">
        <f aca="false">IF($G1201="","",IF(H1201&gt;0,IF(I1201&gt;0,MIN(H1201,I1201),H1201),IF(I1201&gt;0,I1201,تاريخ_الاحتساب)))</f>
        <v/>
      </c>
      <c r="K1201" s="34" t="str">
        <f aca="false">IF($G1201="","",IF(AND(H1201=0,I1201=0),"جارية","مغلقة"))</f>
        <v/>
      </c>
      <c r="L1201" s="26" t="str">
        <f aca="false">IF($G1201="","",MAX(0,NETWORKDAYS.INTL($E1201,J1201,رمز_العطلة,أيام_الأجازات)-1))</f>
        <v/>
      </c>
      <c r="M1201" s="26" t="str">
        <f aca="false">IF($G1201="","",MAX(0,L1201-مهلة_المراجعة))</f>
        <v/>
      </c>
      <c r="N1201" s="30" t="str">
        <f aca="false">IF($A1201="",IF(OR($D1201&lt;&gt;"",$E1201&lt;&gt;""),"رقم المخرج ناقص",""),IF(ISNA(MATCH($A1201,قائمة_المخرجات,0)),"رقم مخرج غير موجود",IF($D1201="","نوع الحركة ناقص",IF(NOT(ISNUMBER($E1201)),"التاريخ ناقص",IF($E1201&gt;تاريخ_الاحتساب,"تاريخ بعد تاريخ الاحتساب",IF(AND($D1201&lt;&gt;"تسليم",COUNTIFS($A$5:$A$1504,$A1201,$D$5:$D$1504,"تسليم",$E$5:$E$1504,"&lt;="&amp;$E1201)=0),"لا يوجد تسليم قبل الحركة دي",""))))))</f>
        <v/>
      </c>
    </row>
    <row r="1202" customFormat="false" ht="15" hidden="false" customHeight="false" outlineLevel="0" collapsed="false">
      <c r="A1202" s="20"/>
      <c r="B1202" s="35" t="str">
        <f aca="false">IF($A1202="","",IFERROR(INDEX(مخرج_البند,MATCH($A1202,قائمة_المخرجات,0)),""))</f>
        <v/>
      </c>
      <c r="C1202" s="30" t="str">
        <f aca="false">IF($A1202="","",IFERROR(INDEX(مخرج_الوصف,MATCH($A1202,قائمة_المخرجات,0)),""))</f>
        <v/>
      </c>
      <c r="D1202" s="20"/>
      <c r="E1202" s="31"/>
      <c r="F1202" s="22"/>
      <c r="G1202" s="36" t="str">
        <f aca="false">IF(OR($A1202="",$D1202&lt;&gt;"تسليم",NOT(ISNUMBER($E1202))),"",COUNTIFS($A$5:$A$1504,$A1202,$D$5:$D$1504,"تسليم",$E$5:$E$1504,"&lt;"&amp;$E1202)+1)</f>
        <v/>
      </c>
      <c r="H1202" s="33" t="str">
        <f aca="false">IF($G1202="","",_xlfn.MINIFS($E$5:$E$1504,$A$5:$A$1504,$A1202,$D$5:$D$1504,"&lt;&gt;تسليم",$E$5:$E$1504,"&gt;="&amp;$E1202))</f>
        <v/>
      </c>
      <c r="I1202" s="33" t="str">
        <f aca="false">IF($G1202="","",_xlfn.MINIFS($E$5:$E$1504,$A$5:$A$1504,$A1202,$D$5:$D$1504,"تسليم",$E$5:$E$1504,"&gt;"&amp;$E1202))</f>
        <v/>
      </c>
      <c r="J1202" s="33" t="str">
        <f aca="false">IF($G1202="","",IF(H1202&gt;0,IF(I1202&gt;0,MIN(H1202,I1202),H1202),IF(I1202&gt;0,I1202,تاريخ_الاحتساب)))</f>
        <v/>
      </c>
      <c r="K1202" s="34" t="str">
        <f aca="false">IF($G1202="","",IF(AND(H1202=0,I1202=0),"جارية","مغلقة"))</f>
        <v/>
      </c>
      <c r="L1202" s="26" t="str">
        <f aca="false">IF($G1202="","",MAX(0,NETWORKDAYS.INTL($E1202,J1202,رمز_العطلة,أيام_الأجازات)-1))</f>
        <v/>
      </c>
      <c r="M1202" s="26" t="str">
        <f aca="false">IF($G1202="","",MAX(0,L1202-مهلة_المراجعة))</f>
        <v/>
      </c>
      <c r="N1202" s="30" t="str">
        <f aca="false">IF($A1202="",IF(OR($D1202&lt;&gt;"",$E1202&lt;&gt;""),"رقم المخرج ناقص",""),IF(ISNA(MATCH($A1202,قائمة_المخرجات,0)),"رقم مخرج غير موجود",IF($D1202="","نوع الحركة ناقص",IF(NOT(ISNUMBER($E1202)),"التاريخ ناقص",IF($E1202&gt;تاريخ_الاحتساب,"تاريخ بعد تاريخ الاحتساب",IF(AND($D1202&lt;&gt;"تسليم",COUNTIFS($A$5:$A$1504,$A1202,$D$5:$D$1504,"تسليم",$E$5:$E$1504,"&lt;="&amp;$E1202)=0),"لا يوجد تسليم قبل الحركة دي",""))))))</f>
        <v/>
      </c>
    </row>
    <row r="1203" customFormat="false" ht="15" hidden="false" customHeight="false" outlineLevel="0" collapsed="false">
      <c r="A1203" s="20"/>
      <c r="B1203" s="35" t="str">
        <f aca="false">IF($A1203="","",IFERROR(INDEX(مخرج_البند,MATCH($A1203,قائمة_المخرجات,0)),""))</f>
        <v/>
      </c>
      <c r="C1203" s="30" t="str">
        <f aca="false">IF($A1203="","",IFERROR(INDEX(مخرج_الوصف,MATCH($A1203,قائمة_المخرجات,0)),""))</f>
        <v/>
      </c>
      <c r="D1203" s="20"/>
      <c r="E1203" s="31"/>
      <c r="F1203" s="22"/>
      <c r="G1203" s="36" t="str">
        <f aca="false">IF(OR($A1203="",$D1203&lt;&gt;"تسليم",NOT(ISNUMBER($E1203))),"",COUNTIFS($A$5:$A$1504,$A1203,$D$5:$D$1504,"تسليم",$E$5:$E$1504,"&lt;"&amp;$E1203)+1)</f>
        <v/>
      </c>
      <c r="H1203" s="33" t="str">
        <f aca="false">IF($G1203="","",_xlfn.MINIFS($E$5:$E$1504,$A$5:$A$1504,$A1203,$D$5:$D$1504,"&lt;&gt;تسليم",$E$5:$E$1504,"&gt;="&amp;$E1203))</f>
        <v/>
      </c>
      <c r="I1203" s="33" t="str">
        <f aca="false">IF($G1203="","",_xlfn.MINIFS($E$5:$E$1504,$A$5:$A$1504,$A1203,$D$5:$D$1504,"تسليم",$E$5:$E$1504,"&gt;"&amp;$E1203))</f>
        <v/>
      </c>
      <c r="J1203" s="33" t="str">
        <f aca="false">IF($G1203="","",IF(H1203&gt;0,IF(I1203&gt;0,MIN(H1203,I1203),H1203),IF(I1203&gt;0,I1203,تاريخ_الاحتساب)))</f>
        <v/>
      </c>
      <c r="K1203" s="34" t="str">
        <f aca="false">IF($G1203="","",IF(AND(H1203=0,I1203=0),"جارية","مغلقة"))</f>
        <v/>
      </c>
      <c r="L1203" s="26" t="str">
        <f aca="false">IF($G1203="","",MAX(0,NETWORKDAYS.INTL($E1203,J1203,رمز_العطلة,أيام_الأجازات)-1))</f>
        <v/>
      </c>
      <c r="M1203" s="26" t="str">
        <f aca="false">IF($G1203="","",MAX(0,L1203-مهلة_المراجعة))</f>
        <v/>
      </c>
      <c r="N1203" s="30" t="str">
        <f aca="false">IF($A1203="",IF(OR($D1203&lt;&gt;"",$E1203&lt;&gt;""),"رقم المخرج ناقص",""),IF(ISNA(MATCH($A1203,قائمة_المخرجات,0)),"رقم مخرج غير موجود",IF($D1203="","نوع الحركة ناقص",IF(NOT(ISNUMBER($E1203)),"التاريخ ناقص",IF($E1203&gt;تاريخ_الاحتساب,"تاريخ بعد تاريخ الاحتساب",IF(AND($D1203&lt;&gt;"تسليم",COUNTIFS($A$5:$A$1504,$A1203,$D$5:$D$1504,"تسليم",$E$5:$E$1504,"&lt;="&amp;$E1203)=0),"لا يوجد تسليم قبل الحركة دي",""))))))</f>
        <v/>
      </c>
    </row>
    <row r="1204" customFormat="false" ht="15" hidden="false" customHeight="false" outlineLevel="0" collapsed="false">
      <c r="A1204" s="20"/>
      <c r="B1204" s="35" t="str">
        <f aca="false">IF($A1204="","",IFERROR(INDEX(مخرج_البند,MATCH($A1204,قائمة_المخرجات,0)),""))</f>
        <v/>
      </c>
      <c r="C1204" s="30" t="str">
        <f aca="false">IF($A1204="","",IFERROR(INDEX(مخرج_الوصف,MATCH($A1204,قائمة_المخرجات,0)),""))</f>
        <v/>
      </c>
      <c r="D1204" s="20"/>
      <c r="E1204" s="31"/>
      <c r="F1204" s="22"/>
      <c r="G1204" s="36" t="str">
        <f aca="false">IF(OR($A1204="",$D1204&lt;&gt;"تسليم",NOT(ISNUMBER($E1204))),"",COUNTIFS($A$5:$A$1504,$A1204,$D$5:$D$1504,"تسليم",$E$5:$E$1504,"&lt;"&amp;$E1204)+1)</f>
        <v/>
      </c>
      <c r="H1204" s="33" t="str">
        <f aca="false">IF($G1204="","",_xlfn.MINIFS($E$5:$E$1504,$A$5:$A$1504,$A1204,$D$5:$D$1504,"&lt;&gt;تسليم",$E$5:$E$1504,"&gt;="&amp;$E1204))</f>
        <v/>
      </c>
      <c r="I1204" s="33" t="str">
        <f aca="false">IF($G1204="","",_xlfn.MINIFS($E$5:$E$1504,$A$5:$A$1504,$A1204,$D$5:$D$1504,"تسليم",$E$5:$E$1504,"&gt;"&amp;$E1204))</f>
        <v/>
      </c>
      <c r="J1204" s="33" t="str">
        <f aca="false">IF($G1204="","",IF(H1204&gt;0,IF(I1204&gt;0,MIN(H1204,I1204),H1204),IF(I1204&gt;0,I1204,تاريخ_الاحتساب)))</f>
        <v/>
      </c>
      <c r="K1204" s="34" t="str">
        <f aca="false">IF($G1204="","",IF(AND(H1204=0,I1204=0),"جارية","مغلقة"))</f>
        <v/>
      </c>
      <c r="L1204" s="26" t="str">
        <f aca="false">IF($G1204="","",MAX(0,NETWORKDAYS.INTL($E1204,J1204,رمز_العطلة,أيام_الأجازات)-1))</f>
        <v/>
      </c>
      <c r="M1204" s="26" t="str">
        <f aca="false">IF($G1204="","",MAX(0,L1204-مهلة_المراجعة))</f>
        <v/>
      </c>
      <c r="N1204" s="30" t="str">
        <f aca="false">IF($A1204="",IF(OR($D1204&lt;&gt;"",$E1204&lt;&gt;""),"رقم المخرج ناقص",""),IF(ISNA(MATCH($A1204,قائمة_المخرجات,0)),"رقم مخرج غير موجود",IF($D1204="","نوع الحركة ناقص",IF(NOT(ISNUMBER($E1204)),"التاريخ ناقص",IF($E1204&gt;تاريخ_الاحتساب,"تاريخ بعد تاريخ الاحتساب",IF(AND($D1204&lt;&gt;"تسليم",COUNTIFS($A$5:$A$1504,$A1204,$D$5:$D$1504,"تسليم",$E$5:$E$1504,"&lt;="&amp;$E1204)=0),"لا يوجد تسليم قبل الحركة دي",""))))))</f>
        <v/>
      </c>
    </row>
    <row r="1205" customFormat="false" ht="15" hidden="false" customHeight="false" outlineLevel="0" collapsed="false">
      <c r="A1205" s="20"/>
      <c r="B1205" s="35" t="str">
        <f aca="false">IF($A1205="","",IFERROR(INDEX(مخرج_البند,MATCH($A1205,قائمة_المخرجات,0)),""))</f>
        <v/>
      </c>
      <c r="C1205" s="30" t="str">
        <f aca="false">IF($A1205="","",IFERROR(INDEX(مخرج_الوصف,MATCH($A1205,قائمة_المخرجات,0)),""))</f>
        <v/>
      </c>
      <c r="D1205" s="20"/>
      <c r="E1205" s="31"/>
      <c r="F1205" s="22"/>
      <c r="G1205" s="36" t="str">
        <f aca="false">IF(OR($A1205="",$D1205&lt;&gt;"تسليم",NOT(ISNUMBER($E1205))),"",COUNTIFS($A$5:$A$1504,$A1205,$D$5:$D$1504,"تسليم",$E$5:$E$1504,"&lt;"&amp;$E1205)+1)</f>
        <v/>
      </c>
      <c r="H1205" s="33" t="str">
        <f aca="false">IF($G1205="","",_xlfn.MINIFS($E$5:$E$1504,$A$5:$A$1504,$A1205,$D$5:$D$1504,"&lt;&gt;تسليم",$E$5:$E$1504,"&gt;="&amp;$E1205))</f>
        <v/>
      </c>
      <c r="I1205" s="33" t="str">
        <f aca="false">IF($G1205="","",_xlfn.MINIFS($E$5:$E$1504,$A$5:$A$1504,$A1205,$D$5:$D$1504,"تسليم",$E$5:$E$1504,"&gt;"&amp;$E1205))</f>
        <v/>
      </c>
      <c r="J1205" s="33" t="str">
        <f aca="false">IF($G1205="","",IF(H1205&gt;0,IF(I1205&gt;0,MIN(H1205,I1205),H1205),IF(I1205&gt;0,I1205,تاريخ_الاحتساب)))</f>
        <v/>
      </c>
      <c r="K1205" s="34" t="str">
        <f aca="false">IF($G1205="","",IF(AND(H1205=0,I1205=0),"جارية","مغلقة"))</f>
        <v/>
      </c>
      <c r="L1205" s="26" t="str">
        <f aca="false">IF($G1205="","",MAX(0,NETWORKDAYS.INTL($E1205,J1205,رمز_العطلة,أيام_الأجازات)-1))</f>
        <v/>
      </c>
      <c r="M1205" s="26" t="str">
        <f aca="false">IF($G1205="","",MAX(0,L1205-مهلة_المراجعة))</f>
        <v/>
      </c>
      <c r="N1205" s="30" t="str">
        <f aca="false">IF($A1205="",IF(OR($D1205&lt;&gt;"",$E1205&lt;&gt;""),"رقم المخرج ناقص",""),IF(ISNA(MATCH($A1205,قائمة_المخرجات,0)),"رقم مخرج غير موجود",IF($D1205="","نوع الحركة ناقص",IF(NOT(ISNUMBER($E1205)),"التاريخ ناقص",IF($E1205&gt;تاريخ_الاحتساب,"تاريخ بعد تاريخ الاحتساب",IF(AND($D1205&lt;&gt;"تسليم",COUNTIFS($A$5:$A$1504,$A1205,$D$5:$D$1504,"تسليم",$E$5:$E$1504,"&lt;="&amp;$E1205)=0),"لا يوجد تسليم قبل الحركة دي",""))))))</f>
        <v/>
      </c>
    </row>
    <row r="1206" customFormat="false" ht="15" hidden="false" customHeight="false" outlineLevel="0" collapsed="false">
      <c r="A1206" s="20"/>
      <c r="B1206" s="35" t="str">
        <f aca="false">IF($A1206="","",IFERROR(INDEX(مخرج_البند,MATCH($A1206,قائمة_المخرجات,0)),""))</f>
        <v/>
      </c>
      <c r="C1206" s="30" t="str">
        <f aca="false">IF($A1206="","",IFERROR(INDEX(مخرج_الوصف,MATCH($A1206,قائمة_المخرجات,0)),""))</f>
        <v/>
      </c>
      <c r="D1206" s="20"/>
      <c r="E1206" s="31"/>
      <c r="F1206" s="22"/>
      <c r="G1206" s="36" t="str">
        <f aca="false">IF(OR($A1206="",$D1206&lt;&gt;"تسليم",NOT(ISNUMBER($E1206))),"",COUNTIFS($A$5:$A$1504,$A1206,$D$5:$D$1504,"تسليم",$E$5:$E$1504,"&lt;"&amp;$E1206)+1)</f>
        <v/>
      </c>
      <c r="H1206" s="33" t="str">
        <f aca="false">IF($G1206="","",_xlfn.MINIFS($E$5:$E$1504,$A$5:$A$1504,$A1206,$D$5:$D$1504,"&lt;&gt;تسليم",$E$5:$E$1504,"&gt;="&amp;$E1206))</f>
        <v/>
      </c>
      <c r="I1206" s="33" t="str">
        <f aca="false">IF($G1206="","",_xlfn.MINIFS($E$5:$E$1504,$A$5:$A$1504,$A1206,$D$5:$D$1504,"تسليم",$E$5:$E$1504,"&gt;"&amp;$E1206))</f>
        <v/>
      </c>
      <c r="J1206" s="33" t="str">
        <f aca="false">IF($G1206="","",IF(H1206&gt;0,IF(I1206&gt;0,MIN(H1206,I1206),H1206),IF(I1206&gt;0,I1206,تاريخ_الاحتساب)))</f>
        <v/>
      </c>
      <c r="K1206" s="34" t="str">
        <f aca="false">IF($G1206="","",IF(AND(H1206=0,I1206=0),"جارية","مغلقة"))</f>
        <v/>
      </c>
      <c r="L1206" s="26" t="str">
        <f aca="false">IF($G1206="","",MAX(0,NETWORKDAYS.INTL($E1206,J1206,رمز_العطلة,أيام_الأجازات)-1))</f>
        <v/>
      </c>
      <c r="M1206" s="26" t="str">
        <f aca="false">IF($G1206="","",MAX(0,L1206-مهلة_المراجعة))</f>
        <v/>
      </c>
      <c r="N1206" s="30" t="str">
        <f aca="false">IF($A1206="",IF(OR($D1206&lt;&gt;"",$E1206&lt;&gt;""),"رقم المخرج ناقص",""),IF(ISNA(MATCH($A1206,قائمة_المخرجات,0)),"رقم مخرج غير موجود",IF($D1206="","نوع الحركة ناقص",IF(NOT(ISNUMBER($E1206)),"التاريخ ناقص",IF($E1206&gt;تاريخ_الاحتساب,"تاريخ بعد تاريخ الاحتساب",IF(AND($D1206&lt;&gt;"تسليم",COUNTIFS($A$5:$A$1504,$A1206,$D$5:$D$1504,"تسليم",$E$5:$E$1504,"&lt;="&amp;$E1206)=0),"لا يوجد تسليم قبل الحركة دي",""))))))</f>
        <v/>
      </c>
    </row>
    <row r="1207" customFormat="false" ht="15" hidden="false" customHeight="false" outlineLevel="0" collapsed="false">
      <c r="A1207" s="20"/>
      <c r="B1207" s="35" t="str">
        <f aca="false">IF($A1207="","",IFERROR(INDEX(مخرج_البند,MATCH($A1207,قائمة_المخرجات,0)),""))</f>
        <v/>
      </c>
      <c r="C1207" s="30" t="str">
        <f aca="false">IF($A1207="","",IFERROR(INDEX(مخرج_الوصف,MATCH($A1207,قائمة_المخرجات,0)),""))</f>
        <v/>
      </c>
      <c r="D1207" s="20"/>
      <c r="E1207" s="31"/>
      <c r="F1207" s="22"/>
      <c r="G1207" s="36" t="str">
        <f aca="false">IF(OR($A1207="",$D1207&lt;&gt;"تسليم",NOT(ISNUMBER($E1207))),"",COUNTIFS($A$5:$A$1504,$A1207,$D$5:$D$1504,"تسليم",$E$5:$E$1504,"&lt;"&amp;$E1207)+1)</f>
        <v/>
      </c>
      <c r="H1207" s="33" t="str">
        <f aca="false">IF($G1207="","",_xlfn.MINIFS($E$5:$E$1504,$A$5:$A$1504,$A1207,$D$5:$D$1504,"&lt;&gt;تسليم",$E$5:$E$1504,"&gt;="&amp;$E1207))</f>
        <v/>
      </c>
      <c r="I1207" s="33" t="str">
        <f aca="false">IF($G1207="","",_xlfn.MINIFS($E$5:$E$1504,$A$5:$A$1504,$A1207,$D$5:$D$1504,"تسليم",$E$5:$E$1504,"&gt;"&amp;$E1207))</f>
        <v/>
      </c>
      <c r="J1207" s="33" t="str">
        <f aca="false">IF($G1207="","",IF(H1207&gt;0,IF(I1207&gt;0,MIN(H1207,I1207),H1207),IF(I1207&gt;0,I1207,تاريخ_الاحتساب)))</f>
        <v/>
      </c>
      <c r="K1207" s="34" t="str">
        <f aca="false">IF($G1207="","",IF(AND(H1207=0,I1207=0),"جارية","مغلقة"))</f>
        <v/>
      </c>
      <c r="L1207" s="26" t="str">
        <f aca="false">IF($G1207="","",MAX(0,NETWORKDAYS.INTL($E1207,J1207,رمز_العطلة,أيام_الأجازات)-1))</f>
        <v/>
      </c>
      <c r="M1207" s="26" t="str">
        <f aca="false">IF($G1207="","",MAX(0,L1207-مهلة_المراجعة))</f>
        <v/>
      </c>
      <c r="N1207" s="30" t="str">
        <f aca="false">IF($A1207="",IF(OR($D1207&lt;&gt;"",$E1207&lt;&gt;""),"رقم المخرج ناقص",""),IF(ISNA(MATCH($A1207,قائمة_المخرجات,0)),"رقم مخرج غير موجود",IF($D1207="","نوع الحركة ناقص",IF(NOT(ISNUMBER($E1207)),"التاريخ ناقص",IF($E1207&gt;تاريخ_الاحتساب,"تاريخ بعد تاريخ الاحتساب",IF(AND($D1207&lt;&gt;"تسليم",COUNTIFS($A$5:$A$1504,$A1207,$D$5:$D$1504,"تسليم",$E$5:$E$1504,"&lt;="&amp;$E1207)=0),"لا يوجد تسليم قبل الحركة دي",""))))))</f>
        <v/>
      </c>
    </row>
    <row r="1208" customFormat="false" ht="15" hidden="false" customHeight="false" outlineLevel="0" collapsed="false">
      <c r="A1208" s="20"/>
      <c r="B1208" s="35" t="str">
        <f aca="false">IF($A1208="","",IFERROR(INDEX(مخرج_البند,MATCH($A1208,قائمة_المخرجات,0)),""))</f>
        <v/>
      </c>
      <c r="C1208" s="30" t="str">
        <f aca="false">IF($A1208="","",IFERROR(INDEX(مخرج_الوصف,MATCH($A1208,قائمة_المخرجات,0)),""))</f>
        <v/>
      </c>
      <c r="D1208" s="20"/>
      <c r="E1208" s="31"/>
      <c r="F1208" s="22"/>
      <c r="G1208" s="36" t="str">
        <f aca="false">IF(OR($A1208="",$D1208&lt;&gt;"تسليم",NOT(ISNUMBER($E1208))),"",COUNTIFS($A$5:$A$1504,$A1208,$D$5:$D$1504,"تسليم",$E$5:$E$1504,"&lt;"&amp;$E1208)+1)</f>
        <v/>
      </c>
      <c r="H1208" s="33" t="str">
        <f aca="false">IF($G1208="","",_xlfn.MINIFS($E$5:$E$1504,$A$5:$A$1504,$A1208,$D$5:$D$1504,"&lt;&gt;تسليم",$E$5:$E$1504,"&gt;="&amp;$E1208))</f>
        <v/>
      </c>
      <c r="I1208" s="33" t="str">
        <f aca="false">IF($G1208="","",_xlfn.MINIFS($E$5:$E$1504,$A$5:$A$1504,$A1208,$D$5:$D$1504,"تسليم",$E$5:$E$1504,"&gt;"&amp;$E1208))</f>
        <v/>
      </c>
      <c r="J1208" s="33" t="str">
        <f aca="false">IF($G1208="","",IF(H1208&gt;0,IF(I1208&gt;0,MIN(H1208,I1208),H1208),IF(I1208&gt;0,I1208,تاريخ_الاحتساب)))</f>
        <v/>
      </c>
      <c r="K1208" s="34" t="str">
        <f aca="false">IF($G1208="","",IF(AND(H1208=0,I1208=0),"جارية","مغلقة"))</f>
        <v/>
      </c>
      <c r="L1208" s="26" t="str">
        <f aca="false">IF($G1208="","",MAX(0,NETWORKDAYS.INTL($E1208,J1208,رمز_العطلة,أيام_الأجازات)-1))</f>
        <v/>
      </c>
      <c r="M1208" s="26" t="str">
        <f aca="false">IF($G1208="","",MAX(0,L1208-مهلة_المراجعة))</f>
        <v/>
      </c>
      <c r="N1208" s="30" t="str">
        <f aca="false">IF($A1208="",IF(OR($D1208&lt;&gt;"",$E1208&lt;&gt;""),"رقم المخرج ناقص",""),IF(ISNA(MATCH($A1208,قائمة_المخرجات,0)),"رقم مخرج غير موجود",IF($D1208="","نوع الحركة ناقص",IF(NOT(ISNUMBER($E1208)),"التاريخ ناقص",IF($E1208&gt;تاريخ_الاحتساب,"تاريخ بعد تاريخ الاحتساب",IF(AND($D1208&lt;&gt;"تسليم",COUNTIFS($A$5:$A$1504,$A1208,$D$5:$D$1504,"تسليم",$E$5:$E$1504,"&lt;="&amp;$E1208)=0),"لا يوجد تسليم قبل الحركة دي",""))))))</f>
        <v/>
      </c>
    </row>
    <row r="1209" customFormat="false" ht="15" hidden="false" customHeight="false" outlineLevel="0" collapsed="false">
      <c r="A1209" s="20"/>
      <c r="B1209" s="35" t="str">
        <f aca="false">IF($A1209="","",IFERROR(INDEX(مخرج_البند,MATCH($A1209,قائمة_المخرجات,0)),""))</f>
        <v/>
      </c>
      <c r="C1209" s="30" t="str">
        <f aca="false">IF($A1209="","",IFERROR(INDEX(مخرج_الوصف,MATCH($A1209,قائمة_المخرجات,0)),""))</f>
        <v/>
      </c>
      <c r="D1209" s="20"/>
      <c r="E1209" s="31"/>
      <c r="F1209" s="22"/>
      <c r="G1209" s="36" t="str">
        <f aca="false">IF(OR($A1209="",$D1209&lt;&gt;"تسليم",NOT(ISNUMBER($E1209))),"",COUNTIFS($A$5:$A$1504,$A1209,$D$5:$D$1504,"تسليم",$E$5:$E$1504,"&lt;"&amp;$E1209)+1)</f>
        <v/>
      </c>
      <c r="H1209" s="33" t="str">
        <f aca="false">IF($G1209="","",_xlfn.MINIFS($E$5:$E$1504,$A$5:$A$1504,$A1209,$D$5:$D$1504,"&lt;&gt;تسليم",$E$5:$E$1504,"&gt;="&amp;$E1209))</f>
        <v/>
      </c>
      <c r="I1209" s="33" t="str">
        <f aca="false">IF($G1209="","",_xlfn.MINIFS($E$5:$E$1504,$A$5:$A$1504,$A1209,$D$5:$D$1504,"تسليم",$E$5:$E$1504,"&gt;"&amp;$E1209))</f>
        <v/>
      </c>
      <c r="J1209" s="33" t="str">
        <f aca="false">IF($G1209="","",IF(H1209&gt;0,IF(I1209&gt;0,MIN(H1209,I1209),H1209),IF(I1209&gt;0,I1209,تاريخ_الاحتساب)))</f>
        <v/>
      </c>
      <c r="K1209" s="34" t="str">
        <f aca="false">IF($G1209="","",IF(AND(H1209=0,I1209=0),"جارية","مغلقة"))</f>
        <v/>
      </c>
      <c r="L1209" s="26" t="str">
        <f aca="false">IF($G1209="","",MAX(0,NETWORKDAYS.INTL($E1209,J1209,رمز_العطلة,أيام_الأجازات)-1))</f>
        <v/>
      </c>
      <c r="M1209" s="26" t="str">
        <f aca="false">IF($G1209="","",MAX(0,L1209-مهلة_المراجعة))</f>
        <v/>
      </c>
      <c r="N1209" s="30" t="str">
        <f aca="false">IF($A1209="",IF(OR($D1209&lt;&gt;"",$E1209&lt;&gt;""),"رقم المخرج ناقص",""),IF(ISNA(MATCH($A1209,قائمة_المخرجات,0)),"رقم مخرج غير موجود",IF($D1209="","نوع الحركة ناقص",IF(NOT(ISNUMBER($E1209)),"التاريخ ناقص",IF($E1209&gt;تاريخ_الاحتساب,"تاريخ بعد تاريخ الاحتساب",IF(AND($D1209&lt;&gt;"تسليم",COUNTIFS($A$5:$A$1504,$A1209,$D$5:$D$1504,"تسليم",$E$5:$E$1504,"&lt;="&amp;$E1209)=0),"لا يوجد تسليم قبل الحركة دي",""))))))</f>
        <v/>
      </c>
    </row>
    <row r="1210" customFormat="false" ht="15" hidden="false" customHeight="false" outlineLevel="0" collapsed="false">
      <c r="A1210" s="20"/>
      <c r="B1210" s="35" t="str">
        <f aca="false">IF($A1210="","",IFERROR(INDEX(مخرج_البند,MATCH($A1210,قائمة_المخرجات,0)),""))</f>
        <v/>
      </c>
      <c r="C1210" s="30" t="str">
        <f aca="false">IF($A1210="","",IFERROR(INDEX(مخرج_الوصف,MATCH($A1210,قائمة_المخرجات,0)),""))</f>
        <v/>
      </c>
      <c r="D1210" s="20"/>
      <c r="E1210" s="31"/>
      <c r="F1210" s="22"/>
      <c r="G1210" s="36" t="str">
        <f aca="false">IF(OR($A1210="",$D1210&lt;&gt;"تسليم",NOT(ISNUMBER($E1210))),"",COUNTIFS($A$5:$A$1504,$A1210,$D$5:$D$1504,"تسليم",$E$5:$E$1504,"&lt;"&amp;$E1210)+1)</f>
        <v/>
      </c>
      <c r="H1210" s="33" t="str">
        <f aca="false">IF($G1210="","",_xlfn.MINIFS($E$5:$E$1504,$A$5:$A$1504,$A1210,$D$5:$D$1504,"&lt;&gt;تسليم",$E$5:$E$1504,"&gt;="&amp;$E1210))</f>
        <v/>
      </c>
      <c r="I1210" s="33" t="str">
        <f aca="false">IF($G1210="","",_xlfn.MINIFS($E$5:$E$1504,$A$5:$A$1504,$A1210,$D$5:$D$1504,"تسليم",$E$5:$E$1504,"&gt;"&amp;$E1210))</f>
        <v/>
      </c>
      <c r="J1210" s="33" t="str">
        <f aca="false">IF($G1210="","",IF(H1210&gt;0,IF(I1210&gt;0,MIN(H1210,I1210),H1210),IF(I1210&gt;0,I1210,تاريخ_الاحتساب)))</f>
        <v/>
      </c>
      <c r="K1210" s="34" t="str">
        <f aca="false">IF($G1210="","",IF(AND(H1210=0,I1210=0),"جارية","مغلقة"))</f>
        <v/>
      </c>
      <c r="L1210" s="26" t="str">
        <f aca="false">IF($G1210="","",MAX(0,NETWORKDAYS.INTL($E1210,J1210,رمز_العطلة,أيام_الأجازات)-1))</f>
        <v/>
      </c>
      <c r="M1210" s="26" t="str">
        <f aca="false">IF($G1210="","",MAX(0,L1210-مهلة_المراجعة))</f>
        <v/>
      </c>
      <c r="N1210" s="30" t="str">
        <f aca="false">IF($A1210="",IF(OR($D1210&lt;&gt;"",$E1210&lt;&gt;""),"رقم المخرج ناقص",""),IF(ISNA(MATCH($A1210,قائمة_المخرجات,0)),"رقم مخرج غير موجود",IF($D1210="","نوع الحركة ناقص",IF(NOT(ISNUMBER($E1210)),"التاريخ ناقص",IF($E1210&gt;تاريخ_الاحتساب,"تاريخ بعد تاريخ الاحتساب",IF(AND($D1210&lt;&gt;"تسليم",COUNTIFS($A$5:$A$1504,$A1210,$D$5:$D$1504,"تسليم",$E$5:$E$1504,"&lt;="&amp;$E1210)=0),"لا يوجد تسليم قبل الحركة دي",""))))))</f>
        <v/>
      </c>
    </row>
    <row r="1211" customFormat="false" ht="15" hidden="false" customHeight="false" outlineLevel="0" collapsed="false">
      <c r="A1211" s="20"/>
      <c r="B1211" s="35" t="str">
        <f aca="false">IF($A1211="","",IFERROR(INDEX(مخرج_البند,MATCH($A1211,قائمة_المخرجات,0)),""))</f>
        <v/>
      </c>
      <c r="C1211" s="30" t="str">
        <f aca="false">IF($A1211="","",IFERROR(INDEX(مخرج_الوصف,MATCH($A1211,قائمة_المخرجات,0)),""))</f>
        <v/>
      </c>
      <c r="D1211" s="20"/>
      <c r="E1211" s="31"/>
      <c r="F1211" s="22"/>
      <c r="G1211" s="36" t="str">
        <f aca="false">IF(OR($A1211="",$D1211&lt;&gt;"تسليم",NOT(ISNUMBER($E1211))),"",COUNTIFS($A$5:$A$1504,$A1211,$D$5:$D$1504,"تسليم",$E$5:$E$1504,"&lt;"&amp;$E1211)+1)</f>
        <v/>
      </c>
      <c r="H1211" s="33" t="str">
        <f aca="false">IF($G1211="","",_xlfn.MINIFS($E$5:$E$1504,$A$5:$A$1504,$A1211,$D$5:$D$1504,"&lt;&gt;تسليم",$E$5:$E$1504,"&gt;="&amp;$E1211))</f>
        <v/>
      </c>
      <c r="I1211" s="33" t="str">
        <f aca="false">IF($G1211="","",_xlfn.MINIFS($E$5:$E$1504,$A$5:$A$1504,$A1211,$D$5:$D$1504,"تسليم",$E$5:$E$1504,"&gt;"&amp;$E1211))</f>
        <v/>
      </c>
      <c r="J1211" s="33" t="str">
        <f aca="false">IF($G1211="","",IF(H1211&gt;0,IF(I1211&gt;0,MIN(H1211,I1211),H1211),IF(I1211&gt;0,I1211,تاريخ_الاحتساب)))</f>
        <v/>
      </c>
      <c r="K1211" s="34" t="str">
        <f aca="false">IF($G1211="","",IF(AND(H1211=0,I1211=0),"جارية","مغلقة"))</f>
        <v/>
      </c>
      <c r="L1211" s="26" t="str">
        <f aca="false">IF($G1211="","",MAX(0,NETWORKDAYS.INTL($E1211,J1211,رمز_العطلة,أيام_الأجازات)-1))</f>
        <v/>
      </c>
      <c r="M1211" s="26" t="str">
        <f aca="false">IF($G1211="","",MAX(0,L1211-مهلة_المراجعة))</f>
        <v/>
      </c>
      <c r="N1211" s="30" t="str">
        <f aca="false">IF($A1211="",IF(OR($D1211&lt;&gt;"",$E1211&lt;&gt;""),"رقم المخرج ناقص",""),IF(ISNA(MATCH($A1211,قائمة_المخرجات,0)),"رقم مخرج غير موجود",IF($D1211="","نوع الحركة ناقص",IF(NOT(ISNUMBER($E1211)),"التاريخ ناقص",IF($E1211&gt;تاريخ_الاحتساب,"تاريخ بعد تاريخ الاحتساب",IF(AND($D1211&lt;&gt;"تسليم",COUNTIFS($A$5:$A$1504,$A1211,$D$5:$D$1504,"تسليم",$E$5:$E$1504,"&lt;="&amp;$E1211)=0),"لا يوجد تسليم قبل الحركة دي",""))))))</f>
        <v/>
      </c>
    </row>
    <row r="1212" customFormat="false" ht="15" hidden="false" customHeight="false" outlineLevel="0" collapsed="false">
      <c r="A1212" s="20"/>
      <c r="B1212" s="35" t="str">
        <f aca="false">IF($A1212="","",IFERROR(INDEX(مخرج_البند,MATCH($A1212,قائمة_المخرجات,0)),""))</f>
        <v/>
      </c>
      <c r="C1212" s="30" t="str">
        <f aca="false">IF($A1212="","",IFERROR(INDEX(مخرج_الوصف,MATCH($A1212,قائمة_المخرجات,0)),""))</f>
        <v/>
      </c>
      <c r="D1212" s="20"/>
      <c r="E1212" s="31"/>
      <c r="F1212" s="22"/>
      <c r="G1212" s="36" t="str">
        <f aca="false">IF(OR($A1212="",$D1212&lt;&gt;"تسليم",NOT(ISNUMBER($E1212))),"",COUNTIFS($A$5:$A$1504,$A1212,$D$5:$D$1504,"تسليم",$E$5:$E$1504,"&lt;"&amp;$E1212)+1)</f>
        <v/>
      </c>
      <c r="H1212" s="33" t="str">
        <f aca="false">IF($G1212="","",_xlfn.MINIFS($E$5:$E$1504,$A$5:$A$1504,$A1212,$D$5:$D$1504,"&lt;&gt;تسليم",$E$5:$E$1504,"&gt;="&amp;$E1212))</f>
        <v/>
      </c>
      <c r="I1212" s="33" t="str">
        <f aca="false">IF($G1212="","",_xlfn.MINIFS($E$5:$E$1504,$A$5:$A$1504,$A1212,$D$5:$D$1504,"تسليم",$E$5:$E$1504,"&gt;"&amp;$E1212))</f>
        <v/>
      </c>
      <c r="J1212" s="33" t="str">
        <f aca="false">IF($G1212="","",IF(H1212&gt;0,IF(I1212&gt;0,MIN(H1212,I1212),H1212),IF(I1212&gt;0,I1212,تاريخ_الاحتساب)))</f>
        <v/>
      </c>
      <c r="K1212" s="34" t="str">
        <f aca="false">IF($G1212="","",IF(AND(H1212=0,I1212=0),"جارية","مغلقة"))</f>
        <v/>
      </c>
      <c r="L1212" s="26" t="str">
        <f aca="false">IF($G1212="","",MAX(0,NETWORKDAYS.INTL($E1212,J1212,رمز_العطلة,أيام_الأجازات)-1))</f>
        <v/>
      </c>
      <c r="M1212" s="26" t="str">
        <f aca="false">IF($G1212="","",MAX(0,L1212-مهلة_المراجعة))</f>
        <v/>
      </c>
      <c r="N1212" s="30" t="str">
        <f aca="false">IF($A1212="",IF(OR($D1212&lt;&gt;"",$E1212&lt;&gt;""),"رقم المخرج ناقص",""),IF(ISNA(MATCH($A1212,قائمة_المخرجات,0)),"رقم مخرج غير موجود",IF($D1212="","نوع الحركة ناقص",IF(NOT(ISNUMBER($E1212)),"التاريخ ناقص",IF($E1212&gt;تاريخ_الاحتساب,"تاريخ بعد تاريخ الاحتساب",IF(AND($D1212&lt;&gt;"تسليم",COUNTIFS($A$5:$A$1504,$A1212,$D$5:$D$1504,"تسليم",$E$5:$E$1504,"&lt;="&amp;$E1212)=0),"لا يوجد تسليم قبل الحركة دي",""))))))</f>
        <v/>
      </c>
    </row>
    <row r="1213" customFormat="false" ht="15" hidden="false" customHeight="false" outlineLevel="0" collapsed="false">
      <c r="A1213" s="20"/>
      <c r="B1213" s="35" t="str">
        <f aca="false">IF($A1213="","",IFERROR(INDEX(مخرج_البند,MATCH($A1213,قائمة_المخرجات,0)),""))</f>
        <v/>
      </c>
      <c r="C1213" s="30" t="str">
        <f aca="false">IF($A1213="","",IFERROR(INDEX(مخرج_الوصف,MATCH($A1213,قائمة_المخرجات,0)),""))</f>
        <v/>
      </c>
      <c r="D1213" s="20"/>
      <c r="E1213" s="31"/>
      <c r="F1213" s="22"/>
      <c r="G1213" s="36" t="str">
        <f aca="false">IF(OR($A1213="",$D1213&lt;&gt;"تسليم",NOT(ISNUMBER($E1213))),"",COUNTIFS($A$5:$A$1504,$A1213,$D$5:$D$1504,"تسليم",$E$5:$E$1504,"&lt;"&amp;$E1213)+1)</f>
        <v/>
      </c>
      <c r="H1213" s="33" t="str">
        <f aca="false">IF($G1213="","",_xlfn.MINIFS($E$5:$E$1504,$A$5:$A$1504,$A1213,$D$5:$D$1504,"&lt;&gt;تسليم",$E$5:$E$1504,"&gt;="&amp;$E1213))</f>
        <v/>
      </c>
      <c r="I1213" s="33" t="str">
        <f aca="false">IF($G1213="","",_xlfn.MINIFS($E$5:$E$1504,$A$5:$A$1504,$A1213,$D$5:$D$1504,"تسليم",$E$5:$E$1504,"&gt;"&amp;$E1213))</f>
        <v/>
      </c>
      <c r="J1213" s="33" t="str">
        <f aca="false">IF($G1213="","",IF(H1213&gt;0,IF(I1213&gt;0,MIN(H1213,I1213),H1213),IF(I1213&gt;0,I1213,تاريخ_الاحتساب)))</f>
        <v/>
      </c>
      <c r="K1213" s="34" t="str">
        <f aca="false">IF($G1213="","",IF(AND(H1213=0,I1213=0),"جارية","مغلقة"))</f>
        <v/>
      </c>
      <c r="L1213" s="26" t="str">
        <f aca="false">IF($G1213="","",MAX(0,NETWORKDAYS.INTL($E1213,J1213,رمز_العطلة,أيام_الأجازات)-1))</f>
        <v/>
      </c>
      <c r="M1213" s="26" t="str">
        <f aca="false">IF($G1213="","",MAX(0,L1213-مهلة_المراجعة))</f>
        <v/>
      </c>
      <c r="N1213" s="30" t="str">
        <f aca="false">IF($A1213="",IF(OR($D1213&lt;&gt;"",$E1213&lt;&gt;""),"رقم المخرج ناقص",""),IF(ISNA(MATCH($A1213,قائمة_المخرجات,0)),"رقم مخرج غير موجود",IF($D1213="","نوع الحركة ناقص",IF(NOT(ISNUMBER($E1213)),"التاريخ ناقص",IF($E1213&gt;تاريخ_الاحتساب,"تاريخ بعد تاريخ الاحتساب",IF(AND($D1213&lt;&gt;"تسليم",COUNTIFS($A$5:$A$1504,$A1213,$D$5:$D$1504,"تسليم",$E$5:$E$1504,"&lt;="&amp;$E1213)=0),"لا يوجد تسليم قبل الحركة دي",""))))))</f>
        <v/>
      </c>
    </row>
    <row r="1214" customFormat="false" ht="15" hidden="false" customHeight="false" outlineLevel="0" collapsed="false">
      <c r="A1214" s="20"/>
      <c r="B1214" s="35" t="str">
        <f aca="false">IF($A1214="","",IFERROR(INDEX(مخرج_البند,MATCH($A1214,قائمة_المخرجات,0)),""))</f>
        <v/>
      </c>
      <c r="C1214" s="30" t="str">
        <f aca="false">IF($A1214="","",IFERROR(INDEX(مخرج_الوصف,MATCH($A1214,قائمة_المخرجات,0)),""))</f>
        <v/>
      </c>
      <c r="D1214" s="20"/>
      <c r="E1214" s="31"/>
      <c r="F1214" s="22"/>
      <c r="G1214" s="36" t="str">
        <f aca="false">IF(OR($A1214="",$D1214&lt;&gt;"تسليم",NOT(ISNUMBER($E1214))),"",COUNTIFS($A$5:$A$1504,$A1214,$D$5:$D$1504,"تسليم",$E$5:$E$1504,"&lt;"&amp;$E1214)+1)</f>
        <v/>
      </c>
      <c r="H1214" s="33" t="str">
        <f aca="false">IF($G1214="","",_xlfn.MINIFS($E$5:$E$1504,$A$5:$A$1504,$A1214,$D$5:$D$1504,"&lt;&gt;تسليم",$E$5:$E$1504,"&gt;="&amp;$E1214))</f>
        <v/>
      </c>
      <c r="I1214" s="33" t="str">
        <f aca="false">IF($G1214="","",_xlfn.MINIFS($E$5:$E$1504,$A$5:$A$1504,$A1214,$D$5:$D$1504,"تسليم",$E$5:$E$1504,"&gt;"&amp;$E1214))</f>
        <v/>
      </c>
      <c r="J1214" s="33" t="str">
        <f aca="false">IF($G1214="","",IF(H1214&gt;0,IF(I1214&gt;0,MIN(H1214,I1214),H1214),IF(I1214&gt;0,I1214,تاريخ_الاحتساب)))</f>
        <v/>
      </c>
      <c r="K1214" s="34" t="str">
        <f aca="false">IF($G1214="","",IF(AND(H1214=0,I1214=0),"جارية","مغلقة"))</f>
        <v/>
      </c>
      <c r="L1214" s="26" t="str">
        <f aca="false">IF($G1214="","",MAX(0,NETWORKDAYS.INTL($E1214,J1214,رمز_العطلة,أيام_الأجازات)-1))</f>
        <v/>
      </c>
      <c r="M1214" s="26" t="str">
        <f aca="false">IF($G1214="","",MAX(0,L1214-مهلة_المراجعة))</f>
        <v/>
      </c>
      <c r="N1214" s="30" t="str">
        <f aca="false">IF($A1214="",IF(OR($D1214&lt;&gt;"",$E1214&lt;&gt;""),"رقم المخرج ناقص",""),IF(ISNA(MATCH($A1214,قائمة_المخرجات,0)),"رقم مخرج غير موجود",IF($D1214="","نوع الحركة ناقص",IF(NOT(ISNUMBER($E1214)),"التاريخ ناقص",IF($E1214&gt;تاريخ_الاحتساب,"تاريخ بعد تاريخ الاحتساب",IF(AND($D1214&lt;&gt;"تسليم",COUNTIFS($A$5:$A$1504,$A1214,$D$5:$D$1504,"تسليم",$E$5:$E$1504,"&lt;="&amp;$E1214)=0),"لا يوجد تسليم قبل الحركة دي",""))))))</f>
        <v/>
      </c>
    </row>
    <row r="1215" customFormat="false" ht="15" hidden="false" customHeight="false" outlineLevel="0" collapsed="false">
      <c r="A1215" s="20"/>
      <c r="B1215" s="35" t="str">
        <f aca="false">IF($A1215="","",IFERROR(INDEX(مخرج_البند,MATCH($A1215,قائمة_المخرجات,0)),""))</f>
        <v/>
      </c>
      <c r="C1215" s="30" t="str">
        <f aca="false">IF($A1215="","",IFERROR(INDEX(مخرج_الوصف,MATCH($A1215,قائمة_المخرجات,0)),""))</f>
        <v/>
      </c>
      <c r="D1215" s="20"/>
      <c r="E1215" s="31"/>
      <c r="F1215" s="22"/>
      <c r="G1215" s="36" t="str">
        <f aca="false">IF(OR($A1215="",$D1215&lt;&gt;"تسليم",NOT(ISNUMBER($E1215))),"",COUNTIFS($A$5:$A$1504,$A1215,$D$5:$D$1504,"تسليم",$E$5:$E$1504,"&lt;"&amp;$E1215)+1)</f>
        <v/>
      </c>
      <c r="H1215" s="33" t="str">
        <f aca="false">IF($G1215="","",_xlfn.MINIFS($E$5:$E$1504,$A$5:$A$1504,$A1215,$D$5:$D$1504,"&lt;&gt;تسليم",$E$5:$E$1504,"&gt;="&amp;$E1215))</f>
        <v/>
      </c>
      <c r="I1215" s="33" t="str">
        <f aca="false">IF($G1215="","",_xlfn.MINIFS($E$5:$E$1504,$A$5:$A$1504,$A1215,$D$5:$D$1504,"تسليم",$E$5:$E$1504,"&gt;"&amp;$E1215))</f>
        <v/>
      </c>
      <c r="J1215" s="33" t="str">
        <f aca="false">IF($G1215="","",IF(H1215&gt;0,IF(I1215&gt;0,MIN(H1215,I1215),H1215),IF(I1215&gt;0,I1215,تاريخ_الاحتساب)))</f>
        <v/>
      </c>
      <c r="K1215" s="34" t="str">
        <f aca="false">IF($G1215="","",IF(AND(H1215=0,I1215=0),"جارية","مغلقة"))</f>
        <v/>
      </c>
      <c r="L1215" s="26" t="str">
        <f aca="false">IF($G1215="","",MAX(0,NETWORKDAYS.INTL($E1215,J1215,رمز_العطلة,أيام_الأجازات)-1))</f>
        <v/>
      </c>
      <c r="M1215" s="26" t="str">
        <f aca="false">IF($G1215="","",MAX(0,L1215-مهلة_المراجعة))</f>
        <v/>
      </c>
      <c r="N1215" s="30" t="str">
        <f aca="false">IF($A1215="",IF(OR($D1215&lt;&gt;"",$E1215&lt;&gt;""),"رقم المخرج ناقص",""),IF(ISNA(MATCH($A1215,قائمة_المخرجات,0)),"رقم مخرج غير موجود",IF($D1215="","نوع الحركة ناقص",IF(NOT(ISNUMBER($E1215)),"التاريخ ناقص",IF($E1215&gt;تاريخ_الاحتساب,"تاريخ بعد تاريخ الاحتساب",IF(AND($D1215&lt;&gt;"تسليم",COUNTIFS($A$5:$A$1504,$A1215,$D$5:$D$1504,"تسليم",$E$5:$E$1504,"&lt;="&amp;$E1215)=0),"لا يوجد تسليم قبل الحركة دي",""))))))</f>
        <v/>
      </c>
    </row>
    <row r="1216" customFormat="false" ht="15" hidden="false" customHeight="false" outlineLevel="0" collapsed="false">
      <c r="A1216" s="20"/>
      <c r="B1216" s="35" t="str">
        <f aca="false">IF($A1216="","",IFERROR(INDEX(مخرج_البند,MATCH($A1216,قائمة_المخرجات,0)),""))</f>
        <v/>
      </c>
      <c r="C1216" s="30" t="str">
        <f aca="false">IF($A1216="","",IFERROR(INDEX(مخرج_الوصف,MATCH($A1216,قائمة_المخرجات,0)),""))</f>
        <v/>
      </c>
      <c r="D1216" s="20"/>
      <c r="E1216" s="31"/>
      <c r="F1216" s="22"/>
      <c r="G1216" s="36" t="str">
        <f aca="false">IF(OR($A1216="",$D1216&lt;&gt;"تسليم",NOT(ISNUMBER($E1216))),"",COUNTIFS($A$5:$A$1504,$A1216,$D$5:$D$1504,"تسليم",$E$5:$E$1504,"&lt;"&amp;$E1216)+1)</f>
        <v/>
      </c>
      <c r="H1216" s="33" t="str">
        <f aca="false">IF($G1216="","",_xlfn.MINIFS($E$5:$E$1504,$A$5:$A$1504,$A1216,$D$5:$D$1504,"&lt;&gt;تسليم",$E$5:$E$1504,"&gt;="&amp;$E1216))</f>
        <v/>
      </c>
      <c r="I1216" s="33" t="str">
        <f aca="false">IF($G1216="","",_xlfn.MINIFS($E$5:$E$1504,$A$5:$A$1504,$A1216,$D$5:$D$1504,"تسليم",$E$5:$E$1504,"&gt;"&amp;$E1216))</f>
        <v/>
      </c>
      <c r="J1216" s="33" t="str">
        <f aca="false">IF($G1216="","",IF(H1216&gt;0,IF(I1216&gt;0,MIN(H1216,I1216),H1216),IF(I1216&gt;0,I1216,تاريخ_الاحتساب)))</f>
        <v/>
      </c>
      <c r="K1216" s="34" t="str">
        <f aca="false">IF($G1216="","",IF(AND(H1216=0,I1216=0),"جارية","مغلقة"))</f>
        <v/>
      </c>
      <c r="L1216" s="26" t="str">
        <f aca="false">IF($G1216="","",MAX(0,NETWORKDAYS.INTL($E1216,J1216,رمز_العطلة,أيام_الأجازات)-1))</f>
        <v/>
      </c>
      <c r="M1216" s="26" t="str">
        <f aca="false">IF($G1216="","",MAX(0,L1216-مهلة_المراجعة))</f>
        <v/>
      </c>
      <c r="N1216" s="30" t="str">
        <f aca="false">IF($A1216="",IF(OR($D1216&lt;&gt;"",$E1216&lt;&gt;""),"رقم المخرج ناقص",""),IF(ISNA(MATCH($A1216,قائمة_المخرجات,0)),"رقم مخرج غير موجود",IF($D1216="","نوع الحركة ناقص",IF(NOT(ISNUMBER($E1216)),"التاريخ ناقص",IF($E1216&gt;تاريخ_الاحتساب,"تاريخ بعد تاريخ الاحتساب",IF(AND($D1216&lt;&gt;"تسليم",COUNTIFS($A$5:$A$1504,$A1216,$D$5:$D$1504,"تسليم",$E$5:$E$1504,"&lt;="&amp;$E1216)=0),"لا يوجد تسليم قبل الحركة دي",""))))))</f>
        <v/>
      </c>
    </row>
    <row r="1217" customFormat="false" ht="15" hidden="false" customHeight="false" outlineLevel="0" collapsed="false">
      <c r="A1217" s="20"/>
      <c r="B1217" s="35" t="str">
        <f aca="false">IF($A1217="","",IFERROR(INDEX(مخرج_البند,MATCH($A1217,قائمة_المخرجات,0)),""))</f>
        <v/>
      </c>
      <c r="C1217" s="30" t="str">
        <f aca="false">IF($A1217="","",IFERROR(INDEX(مخرج_الوصف,MATCH($A1217,قائمة_المخرجات,0)),""))</f>
        <v/>
      </c>
      <c r="D1217" s="20"/>
      <c r="E1217" s="31"/>
      <c r="F1217" s="22"/>
      <c r="G1217" s="36" t="str">
        <f aca="false">IF(OR($A1217="",$D1217&lt;&gt;"تسليم",NOT(ISNUMBER($E1217))),"",COUNTIFS($A$5:$A$1504,$A1217,$D$5:$D$1504,"تسليم",$E$5:$E$1504,"&lt;"&amp;$E1217)+1)</f>
        <v/>
      </c>
      <c r="H1217" s="33" t="str">
        <f aca="false">IF($G1217="","",_xlfn.MINIFS($E$5:$E$1504,$A$5:$A$1504,$A1217,$D$5:$D$1504,"&lt;&gt;تسليم",$E$5:$E$1504,"&gt;="&amp;$E1217))</f>
        <v/>
      </c>
      <c r="I1217" s="33" t="str">
        <f aca="false">IF($G1217="","",_xlfn.MINIFS($E$5:$E$1504,$A$5:$A$1504,$A1217,$D$5:$D$1504,"تسليم",$E$5:$E$1504,"&gt;"&amp;$E1217))</f>
        <v/>
      </c>
      <c r="J1217" s="33" t="str">
        <f aca="false">IF($G1217="","",IF(H1217&gt;0,IF(I1217&gt;0,MIN(H1217,I1217),H1217),IF(I1217&gt;0,I1217,تاريخ_الاحتساب)))</f>
        <v/>
      </c>
      <c r="K1217" s="34" t="str">
        <f aca="false">IF($G1217="","",IF(AND(H1217=0,I1217=0),"جارية","مغلقة"))</f>
        <v/>
      </c>
      <c r="L1217" s="26" t="str">
        <f aca="false">IF($G1217="","",MAX(0,NETWORKDAYS.INTL($E1217,J1217,رمز_العطلة,أيام_الأجازات)-1))</f>
        <v/>
      </c>
      <c r="M1217" s="26" t="str">
        <f aca="false">IF($G1217="","",MAX(0,L1217-مهلة_المراجعة))</f>
        <v/>
      </c>
      <c r="N1217" s="30" t="str">
        <f aca="false">IF($A1217="",IF(OR($D1217&lt;&gt;"",$E1217&lt;&gt;""),"رقم المخرج ناقص",""),IF(ISNA(MATCH($A1217,قائمة_المخرجات,0)),"رقم مخرج غير موجود",IF($D1217="","نوع الحركة ناقص",IF(NOT(ISNUMBER($E1217)),"التاريخ ناقص",IF($E1217&gt;تاريخ_الاحتساب,"تاريخ بعد تاريخ الاحتساب",IF(AND($D1217&lt;&gt;"تسليم",COUNTIFS($A$5:$A$1504,$A1217,$D$5:$D$1504,"تسليم",$E$5:$E$1504,"&lt;="&amp;$E1217)=0),"لا يوجد تسليم قبل الحركة دي",""))))))</f>
        <v/>
      </c>
    </row>
    <row r="1218" customFormat="false" ht="15" hidden="false" customHeight="false" outlineLevel="0" collapsed="false">
      <c r="A1218" s="20"/>
      <c r="B1218" s="35" t="str">
        <f aca="false">IF($A1218="","",IFERROR(INDEX(مخرج_البند,MATCH($A1218,قائمة_المخرجات,0)),""))</f>
        <v/>
      </c>
      <c r="C1218" s="30" t="str">
        <f aca="false">IF($A1218="","",IFERROR(INDEX(مخرج_الوصف,MATCH($A1218,قائمة_المخرجات,0)),""))</f>
        <v/>
      </c>
      <c r="D1218" s="20"/>
      <c r="E1218" s="31"/>
      <c r="F1218" s="22"/>
      <c r="G1218" s="36" t="str">
        <f aca="false">IF(OR($A1218="",$D1218&lt;&gt;"تسليم",NOT(ISNUMBER($E1218))),"",COUNTIFS($A$5:$A$1504,$A1218,$D$5:$D$1504,"تسليم",$E$5:$E$1504,"&lt;"&amp;$E1218)+1)</f>
        <v/>
      </c>
      <c r="H1218" s="33" t="str">
        <f aca="false">IF($G1218="","",_xlfn.MINIFS($E$5:$E$1504,$A$5:$A$1504,$A1218,$D$5:$D$1504,"&lt;&gt;تسليم",$E$5:$E$1504,"&gt;="&amp;$E1218))</f>
        <v/>
      </c>
      <c r="I1218" s="33" t="str">
        <f aca="false">IF($G1218="","",_xlfn.MINIFS($E$5:$E$1504,$A$5:$A$1504,$A1218,$D$5:$D$1504,"تسليم",$E$5:$E$1504,"&gt;"&amp;$E1218))</f>
        <v/>
      </c>
      <c r="J1218" s="33" t="str">
        <f aca="false">IF($G1218="","",IF(H1218&gt;0,IF(I1218&gt;0,MIN(H1218,I1218),H1218),IF(I1218&gt;0,I1218,تاريخ_الاحتساب)))</f>
        <v/>
      </c>
      <c r="K1218" s="34" t="str">
        <f aca="false">IF($G1218="","",IF(AND(H1218=0,I1218=0),"جارية","مغلقة"))</f>
        <v/>
      </c>
      <c r="L1218" s="26" t="str">
        <f aca="false">IF($G1218="","",MAX(0,NETWORKDAYS.INTL($E1218,J1218,رمز_العطلة,أيام_الأجازات)-1))</f>
        <v/>
      </c>
      <c r="M1218" s="26" t="str">
        <f aca="false">IF($G1218="","",MAX(0,L1218-مهلة_المراجعة))</f>
        <v/>
      </c>
      <c r="N1218" s="30" t="str">
        <f aca="false">IF($A1218="",IF(OR($D1218&lt;&gt;"",$E1218&lt;&gt;""),"رقم المخرج ناقص",""),IF(ISNA(MATCH($A1218,قائمة_المخرجات,0)),"رقم مخرج غير موجود",IF($D1218="","نوع الحركة ناقص",IF(NOT(ISNUMBER($E1218)),"التاريخ ناقص",IF($E1218&gt;تاريخ_الاحتساب,"تاريخ بعد تاريخ الاحتساب",IF(AND($D1218&lt;&gt;"تسليم",COUNTIFS($A$5:$A$1504,$A1218,$D$5:$D$1504,"تسليم",$E$5:$E$1504,"&lt;="&amp;$E1218)=0),"لا يوجد تسليم قبل الحركة دي",""))))))</f>
        <v/>
      </c>
    </row>
    <row r="1219" customFormat="false" ht="15" hidden="false" customHeight="false" outlineLevel="0" collapsed="false">
      <c r="A1219" s="20"/>
      <c r="B1219" s="35" t="str">
        <f aca="false">IF($A1219="","",IFERROR(INDEX(مخرج_البند,MATCH($A1219,قائمة_المخرجات,0)),""))</f>
        <v/>
      </c>
      <c r="C1219" s="30" t="str">
        <f aca="false">IF($A1219="","",IFERROR(INDEX(مخرج_الوصف,MATCH($A1219,قائمة_المخرجات,0)),""))</f>
        <v/>
      </c>
      <c r="D1219" s="20"/>
      <c r="E1219" s="31"/>
      <c r="F1219" s="22"/>
      <c r="G1219" s="36" t="str">
        <f aca="false">IF(OR($A1219="",$D1219&lt;&gt;"تسليم",NOT(ISNUMBER($E1219))),"",COUNTIFS($A$5:$A$1504,$A1219,$D$5:$D$1504,"تسليم",$E$5:$E$1504,"&lt;"&amp;$E1219)+1)</f>
        <v/>
      </c>
      <c r="H1219" s="33" t="str">
        <f aca="false">IF($G1219="","",_xlfn.MINIFS($E$5:$E$1504,$A$5:$A$1504,$A1219,$D$5:$D$1504,"&lt;&gt;تسليم",$E$5:$E$1504,"&gt;="&amp;$E1219))</f>
        <v/>
      </c>
      <c r="I1219" s="33" t="str">
        <f aca="false">IF($G1219="","",_xlfn.MINIFS($E$5:$E$1504,$A$5:$A$1504,$A1219,$D$5:$D$1504,"تسليم",$E$5:$E$1504,"&gt;"&amp;$E1219))</f>
        <v/>
      </c>
      <c r="J1219" s="33" t="str">
        <f aca="false">IF($G1219="","",IF(H1219&gt;0,IF(I1219&gt;0,MIN(H1219,I1219),H1219),IF(I1219&gt;0,I1219,تاريخ_الاحتساب)))</f>
        <v/>
      </c>
      <c r="K1219" s="34" t="str">
        <f aca="false">IF($G1219="","",IF(AND(H1219=0,I1219=0),"جارية","مغلقة"))</f>
        <v/>
      </c>
      <c r="L1219" s="26" t="str">
        <f aca="false">IF($G1219="","",MAX(0,NETWORKDAYS.INTL($E1219,J1219,رمز_العطلة,أيام_الأجازات)-1))</f>
        <v/>
      </c>
      <c r="M1219" s="26" t="str">
        <f aca="false">IF($G1219="","",MAX(0,L1219-مهلة_المراجعة))</f>
        <v/>
      </c>
      <c r="N1219" s="30" t="str">
        <f aca="false">IF($A1219="",IF(OR($D1219&lt;&gt;"",$E1219&lt;&gt;""),"رقم المخرج ناقص",""),IF(ISNA(MATCH($A1219,قائمة_المخرجات,0)),"رقم مخرج غير موجود",IF($D1219="","نوع الحركة ناقص",IF(NOT(ISNUMBER($E1219)),"التاريخ ناقص",IF($E1219&gt;تاريخ_الاحتساب,"تاريخ بعد تاريخ الاحتساب",IF(AND($D1219&lt;&gt;"تسليم",COUNTIFS($A$5:$A$1504,$A1219,$D$5:$D$1504,"تسليم",$E$5:$E$1504,"&lt;="&amp;$E1219)=0),"لا يوجد تسليم قبل الحركة دي",""))))))</f>
        <v/>
      </c>
    </row>
    <row r="1220" customFormat="false" ht="15" hidden="false" customHeight="false" outlineLevel="0" collapsed="false">
      <c r="A1220" s="20"/>
      <c r="B1220" s="35" t="str">
        <f aca="false">IF($A1220="","",IFERROR(INDEX(مخرج_البند,MATCH($A1220,قائمة_المخرجات,0)),""))</f>
        <v/>
      </c>
      <c r="C1220" s="30" t="str">
        <f aca="false">IF($A1220="","",IFERROR(INDEX(مخرج_الوصف,MATCH($A1220,قائمة_المخرجات,0)),""))</f>
        <v/>
      </c>
      <c r="D1220" s="20"/>
      <c r="E1220" s="31"/>
      <c r="F1220" s="22"/>
      <c r="G1220" s="36" t="str">
        <f aca="false">IF(OR($A1220="",$D1220&lt;&gt;"تسليم",NOT(ISNUMBER($E1220))),"",COUNTIFS($A$5:$A$1504,$A1220,$D$5:$D$1504,"تسليم",$E$5:$E$1504,"&lt;"&amp;$E1220)+1)</f>
        <v/>
      </c>
      <c r="H1220" s="33" t="str">
        <f aca="false">IF($G1220="","",_xlfn.MINIFS($E$5:$E$1504,$A$5:$A$1504,$A1220,$D$5:$D$1504,"&lt;&gt;تسليم",$E$5:$E$1504,"&gt;="&amp;$E1220))</f>
        <v/>
      </c>
      <c r="I1220" s="33" t="str">
        <f aca="false">IF($G1220="","",_xlfn.MINIFS($E$5:$E$1504,$A$5:$A$1504,$A1220,$D$5:$D$1504,"تسليم",$E$5:$E$1504,"&gt;"&amp;$E1220))</f>
        <v/>
      </c>
      <c r="J1220" s="33" t="str">
        <f aca="false">IF($G1220="","",IF(H1220&gt;0,IF(I1220&gt;0,MIN(H1220,I1220),H1220),IF(I1220&gt;0,I1220,تاريخ_الاحتساب)))</f>
        <v/>
      </c>
      <c r="K1220" s="34" t="str">
        <f aca="false">IF($G1220="","",IF(AND(H1220=0,I1220=0),"جارية","مغلقة"))</f>
        <v/>
      </c>
      <c r="L1220" s="26" t="str">
        <f aca="false">IF($G1220="","",MAX(0,NETWORKDAYS.INTL($E1220,J1220,رمز_العطلة,أيام_الأجازات)-1))</f>
        <v/>
      </c>
      <c r="M1220" s="26" t="str">
        <f aca="false">IF($G1220="","",MAX(0,L1220-مهلة_المراجعة))</f>
        <v/>
      </c>
      <c r="N1220" s="30" t="str">
        <f aca="false">IF($A1220="",IF(OR($D1220&lt;&gt;"",$E1220&lt;&gt;""),"رقم المخرج ناقص",""),IF(ISNA(MATCH($A1220,قائمة_المخرجات,0)),"رقم مخرج غير موجود",IF($D1220="","نوع الحركة ناقص",IF(NOT(ISNUMBER($E1220)),"التاريخ ناقص",IF($E1220&gt;تاريخ_الاحتساب,"تاريخ بعد تاريخ الاحتساب",IF(AND($D1220&lt;&gt;"تسليم",COUNTIFS($A$5:$A$1504,$A1220,$D$5:$D$1504,"تسليم",$E$5:$E$1504,"&lt;="&amp;$E1220)=0),"لا يوجد تسليم قبل الحركة دي",""))))))</f>
        <v/>
      </c>
    </row>
    <row r="1221" customFormat="false" ht="15" hidden="false" customHeight="false" outlineLevel="0" collapsed="false">
      <c r="A1221" s="20"/>
      <c r="B1221" s="35" t="str">
        <f aca="false">IF($A1221="","",IFERROR(INDEX(مخرج_البند,MATCH($A1221,قائمة_المخرجات,0)),""))</f>
        <v/>
      </c>
      <c r="C1221" s="30" t="str">
        <f aca="false">IF($A1221="","",IFERROR(INDEX(مخرج_الوصف,MATCH($A1221,قائمة_المخرجات,0)),""))</f>
        <v/>
      </c>
      <c r="D1221" s="20"/>
      <c r="E1221" s="31"/>
      <c r="F1221" s="22"/>
      <c r="G1221" s="36" t="str">
        <f aca="false">IF(OR($A1221="",$D1221&lt;&gt;"تسليم",NOT(ISNUMBER($E1221))),"",COUNTIFS($A$5:$A$1504,$A1221,$D$5:$D$1504,"تسليم",$E$5:$E$1504,"&lt;"&amp;$E1221)+1)</f>
        <v/>
      </c>
      <c r="H1221" s="33" t="str">
        <f aca="false">IF($G1221="","",_xlfn.MINIFS($E$5:$E$1504,$A$5:$A$1504,$A1221,$D$5:$D$1504,"&lt;&gt;تسليم",$E$5:$E$1504,"&gt;="&amp;$E1221))</f>
        <v/>
      </c>
      <c r="I1221" s="33" t="str">
        <f aca="false">IF($G1221="","",_xlfn.MINIFS($E$5:$E$1504,$A$5:$A$1504,$A1221,$D$5:$D$1504,"تسليم",$E$5:$E$1504,"&gt;"&amp;$E1221))</f>
        <v/>
      </c>
      <c r="J1221" s="33" t="str">
        <f aca="false">IF($G1221="","",IF(H1221&gt;0,IF(I1221&gt;0,MIN(H1221,I1221),H1221),IF(I1221&gt;0,I1221,تاريخ_الاحتساب)))</f>
        <v/>
      </c>
      <c r="K1221" s="34" t="str">
        <f aca="false">IF($G1221="","",IF(AND(H1221=0,I1221=0),"جارية","مغلقة"))</f>
        <v/>
      </c>
      <c r="L1221" s="26" t="str">
        <f aca="false">IF($G1221="","",MAX(0,NETWORKDAYS.INTL($E1221,J1221,رمز_العطلة,أيام_الأجازات)-1))</f>
        <v/>
      </c>
      <c r="M1221" s="26" t="str">
        <f aca="false">IF($G1221="","",MAX(0,L1221-مهلة_المراجعة))</f>
        <v/>
      </c>
      <c r="N1221" s="30" t="str">
        <f aca="false">IF($A1221="",IF(OR($D1221&lt;&gt;"",$E1221&lt;&gt;""),"رقم المخرج ناقص",""),IF(ISNA(MATCH($A1221,قائمة_المخرجات,0)),"رقم مخرج غير موجود",IF($D1221="","نوع الحركة ناقص",IF(NOT(ISNUMBER($E1221)),"التاريخ ناقص",IF($E1221&gt;تاريخ_الاحتساب,"تاريخ بعد تاريخ الاحتساب",IF(AND($D1221&lt;&gt;"تسليم",COUNTIFS($A$5:$A$1504,$A1221,$D$5:$D$1504,"تسليم",$E$5:$E$1504,"&lt;="&amp;$E1221)=0),"لا يوجد تسليم قبل الحركة دي",""))))))</f>
        <v/>
      </c>
    </row>
    <row r="1222" customFormat="false" ht="15" hidden="false" customHeight="false" outlineLevel="0" collapsed="false">
      <c r="A1222" s="20"/>
      <c r="B1222" s="35" t="str">
        <f aca="false">IF($A1222="","",IFERROR(INDEX(مخرج_البند,MATCH($A1222,قائمة_المخرجات,0)),""))</f>
        <v/>
      </c>
      <c r="C1222" s="30" t="str">
        <f aca="false">IF($A1222="","",IFERROR(INDEX(مخرج_الوصف,MATCH($A1222,قائمة_المخرجات,0)),""))</f>
        <v/>
      </c>
      <c r="D1222" s="20"/>
      <c r="E1222" s="31"/>
      <c r="F1222" s="22"/>
      <c r="G1222" s="36" t="str">
        <f aca="false">IF(OR($A1222="",$D1222&lt;&gt;"تسليم",NOT(ISNUMBER($E1222))),"",COUNTIFS($A$5:$A$1504,$A1222,$D$5:$D$1504,"تسليم",$E$5:$E$1504,"&lt;"&amp;$E1222)+1)</f>
        <v/>
      </c>
      <c r="H1222" s="33" t="str">
        <f aca="false">IF($G1222="","",_xlfn.MINIFS($E$5:$E$1504,$A$5:$A$1504,$A1222,$D$5:$D$1504,"&lt;&gt;تسليم",$E$5:$E$1504,"&gt;="&amp;$E1222))</f>
        <v/>
      </c>
      <c r="I1222" s="33" t="str">
        <f aca="false">IF($G1222="","",_xlfn.MINIFS($E$5:$E$1504,$A$5:$A$1504,$A1222,$D$5:$D$1504,"تسليم",$E$5:$E$1504,"&gt;"&amp;$E1222))</f>
        <v/>
      </c>
      <c r="J1222" s="33" t="str">
        <f aca="false">IF($G1222="","",IF(H1222&gt;0,IF(I1222&gt;0,MIN(H1222,I1222),H1222),IF(I1222&gt;0,I1222,تاريخ_الاحتساب)))</f>
        <v/>
      </c>
      <c r="K1222" s="34" t="str">
        <f aca="false">IF($G1222="","",IF(AND(H1222=0,I1222=0),"جارية","مغلقة"))</f>
        <v/>
      </c>
      <c r="L1222" s="26" t="str">
        <f aca="false">IF($G1222="","",MAX(0,NETWORKDAYS.INTL($E1222,J1222,رمز_العطلة,أيام_الأجازات)-1))</f>
        <v/>
      </c>
      <c r="M1222" s="26" t="str">
        <f aca="false">IF($G1222="","",MAX(0,L1222-مهلة_المراجعة))</f>
        <v/>
      </c>
      <c r="N1222" s="30" t="str">
        <f aca="false">IF($A1222="",IF(OR($D1222&lt;&gt;"",$E1222&lt;&gt;""),"رقم المخرج ناقص",""),IF(ISNA(MATCH($A1222,قائمة_المخرجات,0)),"رقم مخرج غير موجود",IF($D1222="","نوع الحركة ناقص",IF(NOT(ISNUMBER($E1222)),"التاريخ ناقص",IF($E1222&gt;تاريخ_الاحتساب,"تاريخ بعد تاريخ الاحتساب",IF(AND($D1222&lt;&gt;"تسليم",COUNTIFS($A$5:$A$1504,$A1222,$D$5:$D$1504,"تسليم",$E$5:$E$1504,"&lt;="&amp;$E1222)=0),"لا يوجد تسليم قبل الحركة دي",""))))))</f>
        <v/>
      </c>
    </row>
    <row r="1223" customFormat="false" ht="15" hidden="false" customHeight="false" outlineLevel="0" collapsed="false">
      <c r="A1223" s="20"/>
      <c r="B1223" s="35" t="str">
        <f aca="false">IF($A1223="","",IFERROR(INDEX(مخرج_البند,MATCH($A1223,قائمة_المخرجات,0)),""))</f>
        <v/>
      </c>
      <c r="C1223" s="30" t="str">
        <f aca="false">IF($A1223="","",IFERROR(INDEX(مخرج_الوصف,MATCH($A1223,قائمة_المخرجات,0)),""))</f>
        <v/>
      </c>
      <c r="D1223" s="20"/>
      <c r="E1223" s="31"/>
      <c r="F1223" s="22"/>
      <c r="G1223" s="36" t="str">
        <f aca="false">IF(OR($A1223="",$D1223&lt;&gt;"تسليم",NOT(ISNUMBER($E1223))),"",COUNTIFS($A$5:$A$1504,$A1223,$D$5:$D$1504,"تسليم",$E$5:$E$1504,"&lt;"&amp;$E1223)+1)</f>
        <v/>
      </c>
      <c r="H1223" s="33" t="str">
        <f aca="false">IF($G1223="","",_xlfn.MINIFS($E$5:$E$1504,$A$5:$A$1504,$A1223,$D$5:$D$1504,"&lt;&gt;تسليم",$E$5:$E$1504,"&gt;="&amp;$E1223))</f>
        <v/>
      </c>
      <c r="I1223" s="33" t="str">
        <f aca="false">IF($G1223="","",_xlfn.MINIFS($E$5:$E$1504,$A$5:$A$1504,$A1223,$D$5:$D$1504,"تسليم",$E$5:$E$1504,"&gt;"&amp;$E1223))</f>
        <v/>
      </c>
      <c r="J1223" s="33" t="str">
        <f aca="false">IF($G1223="","",IF(H1223&gt;0,IF(I1223&gt;0,MIN(H1223,I1223),H1223),IF(I1223&gt;0,I1223,تاريخ_الاحتساب)))</f>
        <v/>
      </c>
      <c r="K1223" s="34" t="str">
        <f aca="false">IF($G1223="","",IF(AND(H1223=0,I1223=0),"جارية","مغلقة"))</f>
        <v/>
      </c>
      <c r="L1223" s="26" t="str">
        <f aca="false">IF($G1223="","",MAX(0,NETWORKDAYS.INTL($E1223,J1223,رمز_العطلة,أيام_الأجازات)-1))</f>
        <v/>
      </c>
      <c r="M1223" s="26" t="str">
        <f aca="false">IF($G1223="","",MAX(0,L1223-مهلة_المراجعة))</f>
        <v/>
      </c>
      <c r="N1223" s="30" t="str">
        <f aca="false">IF($A1223="",IF(OR($D1223&lt;&gt;"",$E1223&lt;&gt;""),"رقم المخرج ناقص",""),IF(ISNA(MATCH($A1223,قائمة_المخرجات,0)),"رقم مخرج غير موجود",IF($D1223="","نوع الحركة ناقص",IF(NOT(ISNUMBER($E1223)),"التاريخ ناقص",IF($E1223&gt;تاريخ_الاحتساب,"تاريخ بعد تاريخ الاحتساب",IF(AND($D1223&lt;&gt;"تسليم",COUNTIFS($A$5:$A$1504,$A1223,$D$5:$D$1504,"تسليم",$E$5:$E$1504,"&lt;="&amp;$E1223)=0),"لا يوجد تسليم قبل الحركة دي",""))))))</f>
        <v/>
      </c>
    </row>
    <row r="1224" customFormat="false" ht="15" hidden="false" customHeight="false" outlineLevel="0" collapsed="false">
      <c r="A1224" s="20"/>
      <c r="B1224" s="35" t="str">
        <f aca="false">IF($A1224="","",IFERROR(INDEX(مخرج_البند,MATCH($A1224,قائمة_المخرجات,0)),""))</f>
        <v/>
      </c>
      <c r="C1224" s="30" t="str">
        <f aca="false">IF($A1224="","",IFERROR(INDEX(مخرج_الوصف,MATCH($A1224,قائمة_المخرجات,0)),""))</f>
        <v/>
      </c>
      <c r="D1224" s="20"/>
      <c r="E1224" s="31"/>
      <c r="F1224" s="22"/>
      <c r="G1224" s="36" t="str">
        <f aca="false">IF(OR($A1224="",$D1224&lt;&gt;"تسليم",NOT(ISNUMBER($E1224))),"",COUNTIFS($A$5:$A$1504,$A1224,$D$5:$D$1504,"تسليم",$E$5:$E$1504,"&lt;"&amp;$E1224)+1)</f>
        <v/>
      </c>
      <c r="H1224" s="33" t="str">
        <f aca="false">IF($G1224="","",_xlfn.MINIFS($E$5:$E$1504,$A$5:$A$1504,$A1224,$D$5:$D$1504,"&lt;&gt;تسليم",$E$5:$E$1504,"&gt;="&amp;$E1224))</f>
        <v/>
      </c>
      <c r="I1224" s="33" t="str">
        <f aca="false">IF($G1224="","",_xlfn.MINIFS($E$5:$E$1504,$A$5:$A$1504,$A1224,$D$5:$D$1504,"تسليم",$E$5:$E$1504,"&gt;"&amp;$E1224))</f>
        <v/>
      </c>
      <c r="J1224" s="33" t="str">
        <f aca="false">IF($G1224="","",IF(H1224&gt;0,IF(I1224&gt;0,MIN(H1224,I1224),H1224),IF(I1224&gt;0,I1224,تاريخ_الاحتساب)))</f>
        <v/>
      </c>
      <c r="K1224" s="34" t="str">
        <f aca="false">IF($G1224="","",IF(AND(H1224=0,I1224=0),"جارية","مغلقة"))</f>
        <v/>
      </c>
      <c r="L1224" s="26" t="str">
        <f aca="false">IF($G1224="","",MAX(0,NETWORKDAYS.INTL($E1224,J1224,رمز_العطلة,أيام_الأجازات)-1))</f>
        <v/>
      </c>
      <c r="M1224" s="26" t="str">
        <f aca="false">IF($G1224="","",MAX(0,L1224-مهلة_المراجعة))</f>
        <v/>
      </c>
      <c r="N1224" s="30" t="str">
        <f aca="false">IF($A1224="",IF(OR($D1224&lt;&gt;"",$E1224&lt;&gt;""),"رقم المخرج ناقص",""),IF(ISNA(MATCH($A1224,قائمة_المخرجات,0)),"رقم مخرج غير موجود",IF($D1224="","نوع الحركة ناقص",IF(NOT(ISNUMBER($E1224)),"التاريخ ناقص",IF($E1224&gt;تاريخ_الاحتساب,"تاريخ بعد تاريخ الاحتساب",IF(AND($D1224&lt;&gt;"تسليم",COUNTIFS($A$5:$A$1504,$A1224,$D$5:$D$1504,"تسليم",$E$5:$E$1504,"&lt;="&amp;$E1224)=0),"لا يوجد تسليم قبل الحركة دي",""))))))</f>
        <v/>
      </c>
    </row>
    <row r="1225" customFormat="false" ht="15" hidden="false" customHeight="false" outlineLevel="0" collapsed="false">
      <c r="A1225" s="20"/>
      <c r="B1225" s="35" t="str">
        <f aca="false">IF($A1225="","",IFERROR(INDEX(مخرج_البند,MATCH($A1225,قائمة_المخرجات,0)),""))</f>
        <v/>
      </c>
      <c r="C1225" s="30" t="str">
        <f aca="false">IF($A1225="","",IFERROR(INDEX(مخرج_الوصف,MATCH($A1225,قائمة_المخرجات,0)),""))</f>
        <v/>
      </c>
      <c r="D1225" s="20"/>
      <c r="E1225" s="31"/>
      <c r="F1225" s="22"/>
      <c r="G1225" s="36" t="str">
        <f aca="false">IF(OR($A1225="",$D1225&lt;&gt;"تسليم",NOT(ISNUMBER($E1225))),"",COUNTIFS($A$5:$A$1504,$A1225,$D$5:$D$1504,"تسليم",$E$5:$E$1504,"&lt;"&amp;$E1225)+1)</f>
        <v/>
      </c>
      <c r="H1225" s="33" t="str">
        <f aca="false">IF($G1225="","",_xlfn.MINIFS($E$5:$E$1504,$A$5:$A$1504,$A1225,$D$5:$D$1504,"&lt;&gt;تسليم",$E$5:$E$1504,"&gt;="&amp;$E1225))</f>
        <v/>
      </c>
      <c r="I1225" s="33" t="str">
        <f aca="false">IF($G1225="","",_xlfn.MINIFS($E$5:$E$1504,$A$5:$A$1504,$A1225,$D$5:$D$1504,"تسليم",$E$5:$E$1504,"&gt;"&amp;$E1225))</f>
        <v/>
      </c>
      <c r="J1225" s="33" t="str">
        <f aca="false">IF($G1225="","",IF(H1225&gt;0,IF(I1225&gt;0,MIN(H1225,I1225),H1225),IF(I1225&gt;0,I1225,تاريخ_الاحتساب)))</f>
        <v/>
      </c>
      <c r="K1225" s="34" t="str">
        <f aca="false">IF($G1225="","",IF(AND(H1225=0,I1225=0),"جارية","مغلقة"))</f>
        <v/>
      </c>
      <c r="L1225" s="26" t="str">
        <f aca="false">IF($G1225="","",MAX(0,NETWORKDAYS.INTL($E1225,J1225,رمز_العطلة,أيام_الأجازات)-1))</f>
        <v/>
      </c>
      <c r="M1225" s="26" t="str">
        <f aca="false">IF($G1225="","",MAX(0,L1225-مهلة_المراجعة))</f>
        <v/>
      </c>
      <c r="N1225" s="30" t="str">
        <f aca="false">IF($A1225="",IF(OR($D1225&lt;&gt;"",$E1225&lt;&gt;""),"رقم المخرج ناقص",""),IF(ISNA(MATCH($A1225,قائمة_المخرجات,0)),"رقم مخرج غير موجود",IF($D1225="","نوع الحركة ناقص",IF(NOT(ISNUMBER($E1225)),"التاريخ ناقص",IF($E1225&gt;تاريخ_الاحتساب,"تاريخ بعد تاريخ الاحتساب",IF(AND($D1225&lt;&gt;"تسليم",COUNTIFS($A$5:$A$1504,$A1225,$D$5:$D$1504,"تسليم",$E$5:$E$1504,"&lt;="&amp;$E1225)=0),"لا يوجد تسليم قبل الحركة دي",""))))))</f>
        <v/>
      </c>
    </row>
    <row r="1226" customFormat="false" ht="15" hidden="false" customHeight="false" outlineLevel="0" collapsed="false">
      <c r="A1226" s="20"/>
      <c r="B1226" s="35" t="str">
        <f aca="false">IF($A1226="","",IFERROR(INDEX(مخرج_البند,MATCH($A1226,قائمة_المخرجات,0)),""))</f>
        <v/>
      </c>
      <c r="C1226" s="30" t="str">
        <f aca="false">IF($A1226="","",IFERROR(INDEX(مخرج_الوصف,MATCH($A1226,قائمة_المخرجات,0)),""))</f>
        <v/>
      </c>
      <c r="D1226" s="20"/>
      <c r="E1226" s="31"/>
      <c r="F1226" s="22"/>
      <c r="G1226" s="36" t="str">
        <f aca="false">IF(OR($A1226="",$D1226&lt;&gt;"تسليم",NOT(ISNUMBER($E1226))),"",COUNTIFS($A$5:$A$1504,$A1226,$D$5:$D$1504,"تسليم",$E$5:$E$1504,"&lt;"&amp;$E1226)+1)</f>
        <v/>
      </c>
      <c r="H1226" s="33" t="str">
        <f aca="false">IF($G1226="","",_xlfn.MINIFS($E$5:$E$1504,$A$5:$A$1504,$A1226,$D$5:$D$1504,"&lt;&gt;تسليم",$E$5:$E$1504,"&gt;="&amp;$E1226))</f>
        <v/>
      </c>
      <c r="I1226" s="33" t="str">
        <f aca="false">IF($G1226="","",_xlfn.MINIFS($E$5:$E$1504,$A$5:$A$1504,$A1226,$D$5:$D$1504,"تسليم",$E$5:$E$1504,"&gt;"&amp;$E1226))</f>
        <v/>
      </c>
      <c r="J1226" s="33" t="str">
        <f aca="false">IF($G1226="","",IF(H1226&gt;0,IF(I1226&gt;0,MIN(H1226,I1226),H1226),IF(I1226&gt;0,I1226,تاريخ_الاحتساب)))</f>
        <v/>
      </c>
      <c r="K1226" s="34" t="str">
        <f aca="false">IF($G1226="","",IF(AND(H1226=0,I1226=0),"جارية","مغلقة"))</f>
        <v/>
      </c>
      <c r="L1226" s="26" t="str">
        <f aca="false">IF($G1226="","",MAX(0,NETWORKDAYS.INTL($E1226,J1226,رمز_العطلة,أيام_الأجازات)-1))</f>
        <v/>
      </c>
      <c r="M1226" s="26" t="str">
        <f aca="false">IF($G1226="","",MAX(0,L1226-مهلة_المراجعة))</f>
        <v/>
      </c>
      <c r="N1226" s="30" t="str">
        <f aca="false">IF($A1226="",IF(OR($D1226&lt;&gt;"",$E1226&lt;&gt;""),"رقم المخرج ناقص",""),IF(ISNA(MATCH($A1226,قائمة_المخرجات,0)),"رقم مخرج غير موجود",IF($D1226="","نوع الحركة ناقص",IF(NOT(ISNUMBER($E1226)),"التاريخ ناقص",IF($E1226&gt;تاريخ_الاحتساب,"تاريخ بعد تاريخ الاحتساب",IF(AND($D1226&lt;&gt;"تسليم",COUNTIFS($A$5:$A$1504,$A1226,$D$5:$D$1504,"تسليم",$E$5:$E$1504,"&lt;="&amp;$E1226)=0),"لا يوجد تسليم قبل الحركة دي",""))))))</f>
        <v/>
      </c>
    </row>
    <row r="1227" customFormat="false" ht="15" hidden="false" customHeight="false" outlineLevel="0" collapsed="false">
      <c r="A1227" s="20"/>
      <c r="B1227" s="35" t="str">
        <f aca="false">IF($A1227="","",IFERROR(INDEX(مخرج_البند,MATCH($A1227,قائمة_المخرجات,0)),""))</f>
        <v/>
      </c>
      <c r="C1227" s="30" t="str">
        <f aca="false">IF($A1227="","",IFERROR(INDEX(مخرج_الوصف,MATCH($A1227,قائمة_المخرجات,0)),""))</f>
        <v/>
      </c>
      <c r="D1227" s="20"/>
      <c r="E1227" s="31"/>
      <c r="F1227" s="22"/>
      <c r="G1227" s="36" t="str">
        <f aca="false">IF(OR($A1227="",$D1227&lt;&gt;"تسليم",NOT(ISNUMBER($E1227))),"",COUNTIFS($A$5:$A$1504,$A1227,$D$5:$D$1504,"تسليم",$E$5:$E$1504,"&lt;"&amp;$E1227)+1)</f>
        <v/>
      </c>
      <c r="H1227" s="33" t="str">
        <f aca="false">IF($G1227="","",_xlfn.MINIFS($E$5:$E$1504,$A$5:$A$1504,$A1227,$D$5:$D$1504,"&lt;&gt;تسليم",$E$5:$E$1504,"&gt;="&amp;$E1227))</f>
        <v/>
      </c>
      <c r="I1227" s="33" t="str">
        <f aca="false">IF($G1227="","",_xlfn.MINIFS($E$5:$E$1504,$A$5:$A$1504,$A1227,$D$5:$D$1504,"تسليم",$E$5:$E$1504,"&gt;"&amp;$E1227))</f>
        <v/>
      </c>
      <c r="J1227" s="33" t="str">
        <f aca="false">IF($G1227="","",IF(H1227&gt;0,IF(I1227&gt;0,MIN(H1227,I1227),H1227),IF(I1227&gt;0,I1227,تاريخ_الاحتساب)))</f>
        <v/>
      </c>
      <c r="K1227" s="34" t="str">
        <f aca="false">IF($G1227="","",IF(AND(H1227=0,I1227=0),"جارية","مغلقة"))</f>
        <v/>
      </c>
      <c r="L1227" s="26" t="str">
        <f aca="false">IF($G1227="","",MAX(0,NETWORKDAYS.INTL($E1227,J1227,رمز_العطلة,أيام_الأجازات)-1))</f>
        <v/>
      </c>
      <c r="M1227" s="26" t="str">
        <f aca="false">IF($G1227="","",MAX(0,L1227-مهلة_المراجعة))</f>
        <v/>
      </c>
      <c r="N1227" s="30" t="str">
        <f aca="false">IF($A1227="",IF(OR($D1227&lt;&gt;"",$E1227&lt;&gt;""),"رقم المخرج ناقص",""),IF(ISNA(MATCH($A1227,قائمة_المخرجات,0)),"رقم مخرج غير موجود",IF($D1227="","نوع الحركة ناقص",IF(NOT(ISNUMBER($E1227)),"التاريخ ناقص",IF($E1227&gt;تاريخ_الاحتساب,"تاريخ بعد تاريخ الاحتساب",IF(AND($D1227&lt;&gt;"تسليم",COUNTIFS($A$5:$A$1504,$A1227,$D$5:$D$1504,"تسليم",$E$5:$E$1504,"&lt;="&amp;$E1227)=0),"لا يوجد تسليم قبل الحركة دي",""))))))</f>
        <v/>
      </c>
    </row>
    <row r="1228" customFormat="false" ht="15" hidden="false" customHeight="false" outlineLevel="0" collapsed="false">
      <c r="A1228" s="20"/>
      <c r="B1228" s="35" t="str">
        <f aca="false">IF($A1228="","",IFERROR(INDEX(مخرج_البند,MATCH($A1228,قائمة_المخرجات,0)),""))</f>
        <v/>
      </c>
      <c r="C1228" s="30" t="str">
        <f aca="false">IF($A1228="","",IFERROR(INDEX(مخرج_الوصف,MATCH($A1228,قائمة_المخرجات,0)),""))</f>
        <v/>
      </c>
      <c r="D1228" s="20"/>
      <c r="E1228" s="31"/>
      <c r="F1228" s="22"/>
      <c r="G1228" s="36" t="str">
        <f aca="false">IF(OR($A1228="",$D1228&lt;&gt;"تسليم",NOT(ISNUMBER($E1228))),"",COUNTIFS($A$5:$A$1504,$A1228,$D$5:$D$1504,"تسليم",$E$5:$E$1504,"&lt;"&amp;$E1228)+1)</f>
        <v/>
      </c>
      <c r="H1228" s="33" t="str">
        <f aca="false">IF($G1228="","",_xlfn.MINIFS($E$5:$E$1504,$A$5:$A$1504,$A1228,$D$5:$D$1504,"&lt;&gt;تسليم",$E$5:$E$1504,"&gt;="&amp;$E1228))</f>
        <v/>
      </c>
      <c r="I1228" s="33" t="str">
        <f aca="false">IF($G1228="","",_xlfn.MINIFS($E$5:$E$1504,$A$5:$A$1504,$A1228,$D$5:$D$1504,"تسليم",$E$5:$E$1504,"&gt;"&amp;$E1228))</f>
        <v/>
      </c>
      <c r="J1228" s="33" t="str">
        <f aca="false">IF($G1228="","",IF(H1228&gt;0,IF(I1228&gt;0,MIN(H1228,I1228),H1228),IF(I1228&gt;0,I1228,تاريخ_الاحتساب)))</f>
        <v/>
      </c>
      <c r="K1228" s="34" t="str">
        <f aca="false">IF($G1228="","",IF(AND(H1228=0,I1228=0),"جارية","مغلقة"))</f>
        <v/>
      </c>
      <c r="L1228" s="26" t="str">
        <f aca="false">IF($G1228="","",MAX(0,NETWORKDAYS.INTL($E1228,J1228,رمز_العطلة,أيام_الأجازات)-1))</f>
        <v/>
      </c>
      <c r="M1228" s="26" t="str">
        <f aca="false">IF($G1228="","",MAX(0,L1228-مهلة_المراجعة))</f>
        <v/>
      </c>
      <c r="N1228" s="30" t="str">
        <f aca="false">IF($A1228="",IF(OR($D1228&lt;&gt;"",$E1228&lt;&gt;""),"رقم المخرج ناقص",""),IF(ISNA(MATCH($A1228,قائمة_المخرجات,0)),"رقم مخرج غير موجود",IF($D1228="","نوع الحركة ناقص",IF(NOT(ISNUMBER($E1228)),"التاريخ ناقص",IF($E1228&gt;تاريخ_الاحتساب,"تاريخ بعد تاريخ الاحتساب",IF(AND($D1228&lt;&gt;"تسليم",COUNTIFS($A$5:$A$1504,$A1228,$D$5:$D$1504,"تسليم",$E$5:$E$1504,"&lt;="&amp;$E1228)=0),"لا يوجد تسليم قبل الحركة دي",""))))))</f>
        <v/>
      </c>
    </row>
    <row r="1229" customFormat="false" ht="15" hidden="false" customHeight="false" outlineLevel="0" collapsed="false">
      <c r="A1229" s="20"/>
      <c r="B1229" s="35" t="str">
        <f aca="false">IF($A1229="","",IFERROR(INDEX(مخرج_البند,MATCH($A1229,قائمة_المخرجات,0)),""))</f>
        <v/>
      </c>
      <c r="C1229" s="30" t="str">
        <f aca="false">IF($A1229="","",IFERROR(INDEX(مخرج_الوصف,MATCH($A1229,قائمة_المخرجات,0)),""))</f>
        <v/>
      </c>
      <c r="D1229" s="20"/>
      <c r="E1229" s="31"/>
      <c r="F1229" s="22"/>
      <c r="G1229" s="36" t="str">
        <f aca="false">IF(OR($A1229="",$D1229&lt;&gt;"تسليم",NOT(ISNUMBER($E1229))),"",COUNTIFS($A$5:$A$1504,$A1229,$D$5:$D$1504,"تسليم",$E$5:$E$1504,"&lt;"&amp;$E1229)+1)</f>
        <v/>
      </c>
      <c r="H1229" s="33" t="str">
        <f aca="false">IF($G1229="","",_xlfn.MINIFS($E$5:$E$1504,$A$5:$A$1504,$A1229,$D$5:$D$1504,"&lt;&gt;تسليم",$E$5:$E$1504,"&gt;="&amp;$E1229))</f>
        <v/>
      </c>
      <c r="I1229" s="33" t="str">
        <f aca="false">IF($G1229="","",_xlfn.MINIFS($E$5:$E$1504,$A$5:$A$1504,$A1229,$D$5:$D$1504,"تسليم",$E$5:$E$1504,"&gt;"&amp;$E1229))</f>
        <v/>
      </c>
      <c r="J1229" s="33" t="str">
        <f aca="false">IF($G1229="","",IF(H1229&gt;0,IF(I1229&gt;0,MIN(H1229,I1229),H1229),IF(I1229&gt;0,I1229,تاريخ_الاحتساب)))</f>
        <v/>
      </c>
      <c r="K1229" s="34" t="str">
        <f aca="false">IF($G1229="","",IF(AND(H1229=0,I1229=0),"جارية","مغلقة"))</f>
        <v/>
      </c>
      <c r="L1229" s="26" t="str">
        <f aca="false">IF($G1229="","",MAX(0,NETWORKDAYS.INTL($E1229,J1229,رمز_العطلة,أيام_الأجازات)-1))</f>
        <v/>
      </c>
      <c r="M1229" s="26" t="str">
        <f aca="false">IF($G1229="","",MAX(0,L1229-مهلة_المراجعة))</f>
        <v/>
      </c>
      <c r="N1229" s="30" t="str">
        <f aca="false">IF($A1229="",IF(OR($D1229&lt;&gt;"",$E1229&lt;&gt;""),"رقم المخرج ناقص",""),IF(ISNA(MATCH($A1229,قائمة_المخرجات,0)),"رقم مخرج غير موجود",IF($D1229="","نوع الحركة ناقص",IF(NOT(ISNUMBER($E1229)),"التاريخ ناقص",IF($E1229&gt;تاريخ_الاحتساب,"تاريخ بعد تاريخ الاحتساب",IF(AND($D1229&lt;&gt;"تسليم",COUNTIFS($A$5:$A$1504,$A1229,$D$5:$D$1504,"تسليم",$E$5:$E$1504,"&lt;="&amp;$E1229)=0),"لا يوجد تسليم قبل الحركة دي",""))))))</f>
        <v/>
      </c>
    </row>
    <row r="1230" customFormat="false" ht="15" hidden="false" customHeight="false" outlineLevel="0" collapsed="false">
      <c r="A1230" s="20"/>
      <c r="B1230" s="35" t="str">
        <f aca="false">IF($A1230="","",IFERROR(INDEX(مخرج_البند,MATCH($A1230,قائمة_المخرجات,0)),""))</f>
        <v/>
      </c>
      <c r="C1230" s="30" t="str">
        <f aca="false">IF($A1230="","",IFERROR(INDEX(مخرج_الوصف,MATCH($A1230,قائمة_المخرجات,0)),""))</f>
        <v/>
      </c>
      <c r="D1230" s="20"/>
      <c r="E1230" s="31"/>
      <c r="F1230" s="22"/>
      <c r="G1230" s="36" t="str">
        <f aca="false">IF(OR($A1230="",$D1230&lt;&gt;"تسليم",NOT(ISNUMBER($E1230))),"",COUNTIFS($A$5:$A$1504,$A1230,$D$5:$D$1504,"تسليم",$E$5:$E$1504,"&lt;"&amp;$E1230)+1)</f>
        <v/>
      </c>
      <c r="H1230" s="33" t="str">
        <f aca="false">IF($G1230="","",_xlfn.MINIFS($E$5:$E$1504,$A$5:$A$1504,$A1230,$D$5:$D$1504,"&lt;&gt;تسليم",$E$5:$E$1504,"&gt;="&amp;$E1230))</f>
        <v/>
      </c>
      <c r="I1230" s="33" t="str">
        <f aca="false">IF($G1230="","",_xlfn.MINIFS($E$5:$E$1504,$A$5:$A$1504,$A1230,$D$5:$D$1504,"تسليم",$E$5:$E$1504,"&gt;"&amp;$E1230))</f>
        <v/>
      </c>
      <c r="J1230" s="33" t="str">
        <f aca="false">IF($G1230="","",IF(H1230&gt;0,IF(I1230&gt;0,MIN(H1230,I1230),H1230),IF(I1230&gt;0,I1230,تاريخ_الاحتساب)))</f>
        <v/>
      </c>
      <c r="K1230" s="34" t="str">
        <f aca="false">IF($G1230="","",IF(AND(H1230=0,I1230=0),"جارية","مغلقة"))</f>
        <v/>
      </c>
      <c r="L1230" s="26" t="str">
        <f aca="false">IF($G1230="","",MAX(0,NETWORKDAYS.INTL($E1230,J1230,رمز_العطلة,أيام_الأجازات)-1))</f>
        <v/>
      </c>
      <c r="M1230" s="26" t="str">
        <f aca="false">IF($G1230="","",MAX(0,L1230-مهلة_المراجعة))</f>
        <v/>
      </c>
      <c r="N1230" s="30" t="str">
        <f aca="false">IF($A1230="",IF(OR($D1230&lt;&gt;"",$E1230&lt;&gt;""),"رقم المخرج ناقص",""),IF(ISNA(MATCH($A1230,قائمة_المخرجات,0)),"رقم مخرج غير موجود",IF($D1230="","نوع الحركة ناقص",IF(NOT(ISNUMBER($E1230)),"التاريخ ناقص",IF($E1230&gt;تاريخ_الاحتساب,"تاريخ بعد تاريخ الاحتساب",IF(AND($D1230&lt;&gt;"تسليم",COUNTIFS($A$5:$A$1504,$A1230,$D$5:$D$1504,"تسليم",$E$5:$E$1504,"&lt;="&amp;$E1230)=0),"لا يوجد تسليم قبل الحركة دي",""))))))</f>
        <v/>
      </c>
    </row>
    <row r="1231" customFormat="false" ht="15" hidden="false" customHeight="false" outlineLevel="0" collapsed="false">
      <c r="A1231" s="20"/>
      <c r="B1231" s="35" t="str">
        <f aca="false">IF($A1231="","",IFERROR(INDEX(مخرج_البند,MATCH($A1231,قائمة_المخرجات,0)),""))</f>
        <v/>
      </c>
      <c r="C1231" s="30" t="str">
        <f aca="false">IF($A1231="","",IFERROR(INDEX(مخرج_الوصف,MATCH($A1231,قائمة_المخرجات,0)),""))</f>
        <v/>
      </c>
      <c r="D1231" s="20"/>
      <c r="E1231" s="31"/>
      <c r="F1231" s="22"/>
      <c r="G1231" s="36" t="str">
        <f aca="false">IF(OR($A1231="",$D1231&lt;&gt;"تسليم",NOT(ISNUMBER($E1231))),"",COUNTIFS($A$5:$A$1504,$A1231,$D$5:$D$1504,"تسليم",$E$5:$E$1504,"&lt;"&amp;$E1231)+1)</f>
        <v/>
      </c>
      <c r="H1231" s="33" t="str">
        <f aca="false">IF($G1231="","",_xlfn.MINIFS($E$5:$E$1504,$A$5:$A$1504,$A1231,$D$5:$D$1504,"&lt;&gt;تسليم",$E$5:$E$1504,"&gt;="&amp;$E1231))</f>
        <v/>
      </c>
      <c r="I1231" s="33" t="str">
        <f aca="false">IF($G1231="","",_xlfn.MINIFS($E$5:$E$1504,$A$5:$A$1504,$A1231,$D$5:$D$1504,"تسليم",$E$5:$E$1504,"&gt;"&amp;$E1231))</f>
        <v/>
      </c>
      <c r="J1231" s="33" t="str">
        <f aca="false">IF($G1231="","",IF(H1231&gt;0,IF(I1231&gt;0,MIN(H1231,I1231),H1231),IF(I1231&gt;0,I1231,تاريخ_الاحتساب)))</f>
        <v/>
      </c>
      <c r="K1231" s="34" t="str">
        <f aca="false">IF($G1231="","",IF(AND(H1231=0,I1231=0),"جارية","مغلقة"))</f>
        <v/>
      </c>
      <c r="L1231" s="26" t="str">
        <f aca="false">IF($G1231="","",MAX(0,NETWORKDAYS.INTL($E1231,J1231,رمز_العطلة,أيام_الأجازات)-1))</f>
        <v/>
      </c>
      <c r="M1231" s="26" t="str">
        <f aca="false">IF($G1231="","",MAX(0,L1231-مهلة_المراجعة))</f>
        <v/>
      </c>
      <c r="N1231" s="30" t="str">
        <f aca="false">IF($A1231="",IF(OR($D1231&lt;&gt;"",$E1231&lt;&gt;""),"رقم المخرج ناقص",""),IF(ISNA(MATCH($A1231,قائمة_المخرجات,0)),"رقم مخرج غير موجود",IF($D1231="","نوع الحركة ناقص",IF(NOT(ISNUMBER($E1231)),"التاريخ ناقص",IF($E1231&gt;تاريخ_الاحتساب,"تاريخ بعد تاريخ الاحتساب",IF(AND($D1231&lt;&gt;"تسليم",COUNTIFS($A$5:$A$1504,$A1231,$D$5:$D$1504,"تسليم",$E$5:$E$1504,"&lt;="&amp;$E1231)=0),"لا يوجد تسليم قبل الحركة دي",""))))))</f>
        <v/>
      </c>
    </row>
    <row r="1232" customFormat="false" ht="15" hidden="false" customHeight="false" outlineLevel="0" collapsed="false">
      <c r="A1232" s="20"/>
      <c r="B1232" s="35" t="str">
        <f aca="false">IF($A1232="","",IFERROR(INDEX(مخرج_البند,MATCH($A1232,قائمة_المخرجات,0)),""))</f>
        <v/>
      </c>
      <c r="C1232" s="30" t="str">
        <f aca="false">IF($A1232="","",IFERROR(INDEX(مخرج_الوصف,MATCH($A1232,قائمة_المخرجات,0)),""))</f>
        <v/>
      </c>
      <c r="D1232" s="20"/>
      <c r="E1232" s="31"/>
      <c r="F1232" s="22"/>
      <c r="G1232" s="36" t="str">
        <f aca="false">IF(OR($A1232="",$D1232&lt;&gt;"تسليم",NOT(ISNUMBER($E1232))),"",COUNTIFS($A$5:$A$1504,$A1232,$D$5:$D$1504,"تسليم",$E$5:$E$1504,"&lt;"&amp;$E1232)+1)</f>
        <v/>
      </c>
      <c r="H1232" s="33" t="str">
        <f aca="false">IF($G1232="","",_xlfn.MINIFS($E$5:$E$1504,$A$5:$A$1504,$A1232,$D$5:$D$1504,"&lt;&gt;تسليم",$E$5:$E$1504,"&gt;="&amp;$E1232))</f>
        <v/>
      </c>
      <c r="I1232" s="33" t="str">
        <f aca="false">IF($G1232="","",_xlfn.MINIFS($E$5:$E$1504,$A$5:$A$1504,$A1232,$D$5:$D$1504,"تسليم",$E$5:$E$1504,"&gt;"&amp;$E1232))</f>
        <v/>
      </c>
      <c r="J1232" s="33" t="str">
        <f aca="false">IF($G1232="","",IF(H1232&gt;0,IF(I1232&gt;0,MIN(H1232,I1232),H1232),IF(I1232&gt;0,I1232,تاريخ_الاحتساب)))</f>
        <v/>
      </c>
      <c r="K1232" s="34" t="str">
        <f aca="false">IF($G1232="","",IF(AND(H1232=0,I1232=0),"جارية","مغلقة"))</f>
        <v/>
      </c>
      <c r="L1232" s="26" t="str">
        <f aca="false">IF($G1232="","",MAX(0,NETWORKDAYS.INTL($E1232,J1232,رمز_العطلة,أيام_الأجازات)-1))</f>
        <v/>
      </c>
      <c r="M1232" s="26" t="str">
        <f aca="false">IF($G1232="","",MAX(0,L1232-مهلة_المراجعة))</f>
        <v/>
      </c>
      <c r="N1232" s="30" t="str">
        <f aca="false">IF($A1232="",IF(OR($D1232&lt;&gt;"",$E1232&lt;&gt;""),"رقم المخرج ناقص",""),IF(ISNA(MATCH($A1232,قائمة_المخرجات,0)),"رقم مخرج غير موجود",IF($D1232="","نوع الحركة ناقص",IF(NOT(ISNUMBER($E1232)),"التاريخ ناقص",IF($E1232&gt;تاريخ_الاحتساب,"تاريخ بعد تاريخ الاحتساب",IF(AND($D1232&lt;&gt;"تسليم",COUNTIFS($A$5:$A$1504,$A1232,$D$5:$D$1504,"تسليم",$E$5:$E$1504,"&lt;="&amp;$E1232)=0),"لا يوجد تسليم قبل الحركة دي",""))))))</f>
        <v/>
      </c>
    </row>
    <row r="1233" customFormat="false" ht="15" hidden="false" customHeight="false" outlineLevel="0" collapsed="false">
      <c r="A1233" s="20"/>
      <c r="B1233" s="35" t="str">
        <f aca="false">IF($A1233="","",IFERROR(INDEX(مخرج_البند,MATCH($A1233,قائمة_المخرجات,0)),""))</f>
        <v/>
      </c>
      <c r="C1233" s="30" t="str">
        <f aca="false">IF($A1233="","",IFERROR(INDEX(مخرج_الوصف,MATCH($A1233,قائمة_المخرجات,0)),""))</f>
        <v/>
      </c>
      <c r="D1233" s="20"/>
      <c r="E1233" s="31"/>
      <c r="F1233" s="22"/>
      <c r="G1233" s="36" t="str">
        <f aca="false">IF(OR($A1233="",$D1233&lt;&gt;"تسليم",NOT(ISNUMBER($E1233))),"",COUNTIFS($A$5:$A$1504,$A1233,$D$5:$D$1504,"تسليم",$E$5:$E$1504,"&lt;"&amp;$E1233)+1)</f>
        <v/>
      </c>
      <c r="H1233" s="33" t="str">
        <f aca="false">IF($G1233="","",_xlfn.MINIFS($E$5:$E$1504,$A$5:$A$1504,$A1233,$D$5:$D$1504,"&lt;&gt;تسليم",$E$5:$E$1504,"&gt;="&amp;$E1233))</f>
        <v/>
      </c>
      <c r="I1233" s="33" t="str">
        <f aca="false">IF($G1233="","",_xlfn.MINIFS($E$5:$E$1504,$A$5:$A$1504,$A1233,$D$5:$D$1504,"تسليم",$E$5:$E$1504,"&gt;"&amp;$E1233))</f>
        <v/>
      </c>
      <c r="J1233" s="33" t="str">
        <f aca="false">IF($G1233="","",IF(H1233&gt;0,IF(I1233&gt;0,MIN(H1233,I1233),H1233),IF(I1233&gt;0,I1233,تاريخ_الاحتساب)))</f>
        <v/>
      </c>
      <c r="K1233" s="34" t="str">
        <f aca="false">IF($G1233="","",IF(AND(H1233=0,I1233=0),"جارية","مغلقة"))</f>
        <v/>
      </c>
      <c r="L1233" s="26" t="str">
        <f aca="false">IF($G1233="","",MAX(0,NETWORKDAYS.INTL($E1233,J1233,رمز_العطلة,أيام_الأجازات)-1))</f>
        <v/>
      </c>
      <c r="M1233" s="26" t="str">
        <f aca="false">IF($G1233="","",MAX(0,L1233-مهلة_المراجعة))</f>
        <v/>
      </c>
      <c r="N1233" s="30" t="str">
        <f aca="false">IF($A1233="",IF(OR($D1233&lt;&gt;"",$E1233&lt;&gt;""),"رقم المخرج ناقص",""),IF(ISNA(MATCH($A1233,قائمة_المخرجات,0)),"رقم مخرج غير موجود",IF($D1233="","نوع الحركة ناقص",IF(NOT(ISNUMBER($E1233)),"التاريخ ناقص",IF($E1233&gt;تاريخ_الاحتساب,"تاريخ بعد تاريخ الاحتساب",IF(AND($D1233&lt;&gt;"تسليم",COUNTIFS($A$5:$A$1504,$A1233,$D$5:$D$1504,"تسليم",$E$5:$E$1504,"&lt;="&amp;$E1233)=0),"لا يوجد تسليم قبل الحركة دي",""))))))</f>
        <v/>
      </c>
    </row>
    <row r="1234" customFormat="false" ht="15" hidden="false" customHeight="false" outlineLevel="0" collapsed="false">
      <c r="A1234" s="20"/>
      <c r="B1234" s="35" t="str">
        <f aca="false">IF($A1234="","",IFERROR(INDEX(مخرج_البند,MATCH($A1234,قائمة_المخرجات,0)),""))</f>
        <v/>
      </c>
      <c r="C1234" s="30" t="str">
        <f aca="false">IF($A1234="","",IFERROR(INDEX(مخرج_الوصف,MATCH($A1234,قائمة_المخرجات,0)),""))</f>
        <v/>
      </c>
      <c r="D1234" s="20"/>
      <c r="E1234" s="31"/>
      <c r="F1234" s="22"/>
      <c r="G1234" s="36" t="str">
        <f aca="false">IF(OR($A1234="",$D1234&lt;&gt;"تسليم",NOT(ISNUMBER($E1234))),"",COUNTIFS($A$5:$A$1504,$A1234,$D$5:$D$1504,"تسليم",$E$5:$E$1504,"&lt;"&amp;$E1234)+1)</f>
        <v/>
      </c>
      <c r="H1234" s="33" t="str">
        <f aca="false">IF($G1234="","",_xlfn.MINIFS($E$5:$E$1504,$A$5:$A$1504,$A1234,$D$5:$D$1504,"&lt;&gt;تسليم",$E$5:$E$1504,"&gt;="&amp;$E1234))</f>
        <v/>
      </c>
      <c r="I1234" s="33" t="str">
        <f aca="false">IF($G1234="","",_xlfn.MINIFS($E$5:$E$1504,$A$5:$A$1504,$A1234,$D$5:$D$1504,"تسليم",$E$5:$E$1504,"&gt;"&amp;$E1234))</f>
        <v/>
      </c>
      <c r="J1234" s="33" t="str">
        <f aca="false">IF($G1234="","",IF(H1234&gt;0,IF(I1234&gt;0,MIN(H1234,I1234),H1234),IF(I1234&gt;0,I1234,تاريخ_الاحتساب)))</f>
        <v/>
      </c>
      <c r="K1234" s="34" t="str">
        <f aca="false">IF($G1234="","",IF(AND(H1234=0,I1234=0),"جارية","مغلقة"))</f>
        <v/>
      </c>
      <c r="L1234" s="26" t="str">
        <f aca="false">IF($G1234="","",MAX(0,NETWORKDAYS.INTL($E1234,J1234,رمز_العطلة,أيام_الأجازات)-1))</f>
        <v/>
      </c>
      <c r="M1234" s="26" t="str">
        <f aca="false">IF($G1234="","",MAX(0,L1234-مهلة_المراجعة))</f>
        <v/>
      </c>
      <c r="N1234" s="30" t="str">
        <f aca="false">IF($A1234="",IF(OR($D1234&lt;&gt;"",$E1234&lt;&gt;""),"رقم المخرج ناقص",""),IF(ISNA(MATCH($A1234,قائمة_المخرجات,0)),"رقم مخرج غير موجود",IF($D1234="","نوع الحركة ناقص",IF(NOT(ISNUMBER($E1234)),"التاريخ ناقص",IF($E1234&gt;تاريخ_الاحتساب,"تاريخ بعد تاريخ الاحتساب",IF(AND($D1234&lt;&gt;"تسليم",COUNTIFS($A$5:$A$1504,$A1234,$D$5:$D$1504,"تسليم",$E$5:$E$1504,"&lt;="&amp;$E1234)=0),"لا يوجد تسليم قبل الحركة دي",""))))))</f>
        <v/>
      </c>
    </row>
    <row r="1235" customFormat="false" ht="15" hidden="false" customHeight="false" outlineLevel="0" collapsed="false">
      <c r="A1235" s="20"/>
      <c r="B1235" s="35" t="str">
        <f aca="false">IF($A1235="","",IFERROR(INDEX(مخرج_البند,MATCH($A1235,قائمة_المخرجات,0)),""))</f>
        <v/>
      </c>
      <c r="C1235" s="30" t="str">
        <f aca="false">IF($A1235="","",IFERROR(INDEX(مخرج_الوصف,MATCH($A1235,قائمة_المخرجات,0)),""))</f>
        <v/>
      </c>
      <c r="D1235" s="20"/>
      <c r="E1235" s="31"/>
      <c r="F1235" s="22"/>
      <c r="G1235" s="36" t="str">
        <f aca="false">IF(OR($A1235="",$D1235&lt;&gt;"تسليم",NOT(ISNUMBER($E1235))),"",COUNTIFS($A$5:$A$1504,$A1235,$D$5:$D$1504,"تسليم",$E$5:$E$1504,"&lt;"&amp;$E1235)+1)</f>
        <v/>
      </c>
      <c r="H1235" s="33" t="str">
        <f aca="false">IF($G1235="","",_xlfn.MINIFS($E$5:$E$1504,$A$5:$A$1504,$A1235,$D$5:$D$1504,"&lt;&gt;تسليم",$E$5:$E$1504,"&gt;="&amp;$E1235))</f>
        <v/>
      </c>
      <c r="I1235" s="33" t="str">
        <f aca="false">IF($G1235="","",_xlfn.MINIFS($E$5:$E$1504,$A$5:$A$1504,$A1235,$D$5:$D$1504,"تسليم",$E$5:$E$1504,"&gt;"&amp;$E1235))</f>
        <v/>
      </c>
      <c r="J1235" s="33" t="str">
        <f aca="false">IF($G1235="","",IF(H1235&gt;0,IF(I1235&gt;0,MIN(H1235,I1235),H1235),IF(I1235&gt;0,I1235,تاريخ_الاحتساب)))</f>
        <v/>
      </c>
      <c r="K1235" s="34" t="str">
        <f aca="false">IF($G1235="","",IF(AND(H1235=0,I1235=0),"جارية","مغلقة"))</f>
        <v/>
      </c>
      <c r="L1235" s="26" t="str">
        <f aca="false">IF($G1235="","",MAX(0,NETWORKDAYS.INTL($E1235,J1235,رمز_العطلة,أيام_الأجازات)-1))</f>
        <v/>
      </c>
      <c r="M1235" s="26" t="str">
        <f aca="false">IF($G1235="","",MAX(0,L1235-مهلة_المراجعة))</f>
        <v/>
      </c>
      <c r="N1235" s="30" t="str">
        <f aca="false">IF($A1235="",IF(OR($D1235&lt;&gt;"",$E1235&lt;&gt;""),"رقم المخرج ناقص",""),IF(ISNA(MATCH($A1235,قائمة_المخرجات,0)),"رقم مخرج غير موجود",IF($D1235="","نوع الحركة ناقص",IF(NOT(ISNUMBER($E1235)),"التاريخ ناقص",IF($E1235&gt;تاريخ_الاحتساب,"تاريخ بعد تاريخ الاحتساب",IF(AND($D1235&lt;&gt;"تسليم",COUNTIFS($A$5:$A$1504,$A1235,$D$5:$D$1504,"تسليم",$E$5:$E$1504,"&lt;="&amp;$E1235)=0),"لا يوجد تسليم قبل الحركة دي",""))))))</f>
        <v/>
      </c>
    </row>
    <row r="1236" customFormat="false" ht="15" hidden="false" customHeight="false" outlineLevel="0" collapsed="false">
      <c r="A1236" s="20"/>
      <c r="B1236" s="35" t="str">
        <f aca="false">IF($A1236="","",IFERROR(INDEX(مخرج_البند,MATCH($A1236,قائمة_المخرجات,0)),""))</f>
        <v/>
      </c>
      <c r="C1236" s="30" t="str">
        <f aca="false">IF($A1236="","",IFERROR(INDEX(مخرج_الوصف,MATCH($A1236,قائمة_المخرجات,0)),""))</f>
        <v/>
      </c>
      <c r="D1236" s="20"/>
      <c r="E1236" s="31"/>
      <c r="F1236" s="22"/>
      <c r="G1236" s="36" t="str">
        <f aca="false">IF(OR($A1236="",$D1236&lt;&gt;"تسليم",NOT(ISNUMBER($E1236))),"",COUNTIFS($A$5:$A$1504,$A1236,$D$5:$D$1504,"تسليم",$E$5:$E$1504,"&lt;"&amp;$E1236)+1)</f>
        <v/>
      </c>
      <c r="H1236" s="33" t="str">
        <f aca="false">IF($G1236="","",_xlfn.MINIFS($E$5:$E$1504,$A$5:$A$1504,$A1236,$D$5:$D$1504,"&lt;&gt;تسليم",$E$5:$E$1504,"&gt;="&amp;$E1236))</f>
        <v/>
      </c>
      <c r="I1236" s="33" t="str">
        <f aca="false">IF($G1236="","",_xlfn.MINIFS($E$5:$E$1504,$A$5:$A$1504,$A1236,$D$5:$D$1504,"تسليم",$E$5:$E$1504,"&gt;"&amp;$E1236))</f>
        <v/>
      </c>
      <c r="J1236" s="33" t="str">
        <f aca="false">IF($G1236="","",IF(H1236&gt;0,IF(I1236&gt;0,MIN(H1236,I1236),H1236),IF(I1236&gt;0,I1236,تاريخ_الاحتساب)))</f>
        <v/>
      </c>
      <c r="K1236" s="34" t="str">
        <f aca="false">IF($G1236="","",IF(AND(H1236=0,I1236=0),"جارية","مغلقة"))</f>
        <v/>
      </c>
      <c r="L1236" s="26" t="str">
        <f aca="false">IF($G1236="","",MAX(0,NETWORKDAYS.INTL($E1236,J1236,رمز_العطلة,أيام_الأجازات)-1))</f>
        <v/>
      </c>
      <c r="M1236" s="26" t="str">
        <f aca="false">IF($G1236="","",MAX(0,L1236-مهلة_المراجعة))</f>
        <v/>
      </c>
      <c r="N1236" s="30" t="str">
        <f aca="false">IF($A1236="",IF(OR($D1236&lt;&gt;"",$E1236&lt;&gt;""),"رقم المخرج ناقص",""),IF(ISNA(MATCH($A1236,قائمة_المخرجات,0)),"رقم مخرج غير موجود",IF($D1236="","نوع الحركة ناقص",IF(NOT(ISNUMBER($E1236)),"التاريخ ناقص",IF($E1236&gt;تاريخ_الاحتساب,"تاريخ بعد تاريخ الاحتساب",IF(AND($D1236&lt;&gt;"تسليم",COUNTIFS($A$5:$A$1504,$A1236,$D$5:$D$1504,"تسليم",$E$5:$E$1504,"&lt;="&amp;$E1236)=0),"لا يوجد تسليم قبل الحركة دي",""))))))</f>
        <v/>
      </c>
    </row>
    <row r="1237" customFormat="false" ht="15" hidden="false" customHeight="false" outlineLevel="0" collapsed="false">
      <c r="A1237" s="20"/>
      <c r="B1237" s="35" t="str">
        <f aca="false">IF($A1237="","",IFERROR(INDEX(مخرج_البند,MATCH($A1237,قائمة_المخرجات,0)),""))</f>
        <v/>
      </c>
      <c r="C1237" s="30" t="str">
        <f aca="false">IF($A1237="","",IFERROR(INDEX(مخرج_الوصف,MATCH($A1237,قائمة_المخرجات,0)),""))</f>
        <v/>
      </c>
      <c r="D1237" s="20"/>
      <c r="E1237" s="31"/>
      <c r="F1237" s="22"/>
      <c r="G1237" s="36" t="str">
        <f aca="false">IF(OR($A1237="",$D1237&lt;&gt;"تسليم",NOT(ISNUMBER($E1237))),"",COUNTIFS($A$5:$A$1504,$A1237,$D$5:$D$1504,"تسليم",$E$5:$E$1504,"&lt;"&amp;$E1237)+1)</f>
        <v/>
      </c>
      <c r="H1237" s="33" t="str">
        <f aca="false">IF($G1237="","",_xlfn.MINIFS($E$5:$E$1504,$A$5:$A$1504,$A1237,$D$5:$D$1504,"&lt;&gt;تسليم",$E$5:$E$1504,"&gt;="&amp;$E1237))</f>
        <v/>
      </c>
      <c r="I1237" s="33" t="str">
        <f aca="false">IF($G1237="","",_xlfn.MINIFS($E$5:$E$1504,$A$5:$A$1504,$A1237,$D$5:$D$1504,"تسليم",$E$5:$E$1504,"&gt;"&amp;$E1237))</f>
        <v/>
      </c>
      <c r="J1237" s="33" t="str">
        <f aca="false">IF($G1237="","",IF(H1237&gt;0,IF(I1237&gt;0,MIN(H1237,I1237),H1237),IF(I1237&gt;0,I1237,تاريخ_الاحتساب)))</f>
        <v/>
      </c>
      <c r="K1237" s="34" t="str">
        <f aca="false">IF($G1237="","",IF(AND(H1237=0,I1237=0),"جارية","مغلقة"))</f>
        <v/>
      </c>
      <c r="L1237" s="26" t="str">
        <f aca="false">IF($G1237="","",MAX(0,NETWORKDAYS.INTL($E1237,J1237,رمز_العطلة,أيام_الأجازات)-1))</f>
        <v/>
      </c>
      <c r="M1237" s="26" t="str">
        <f aca="false">IF($G1237="","",MAX(0,L1237-مهلة_المراجعة))</f>
        <v/>
      </c>
      <c r="N1237" s="30" t="str">
        <f aca="false">IF($A1237="",IF(OR($D1237&lt;&gt;"",$E1237&lt;&gt;""),"رقم المخرج ناقص",""),IF(ISNA(MATCH($A1237,قائمة_المخرجات,0)),"رقم مخرج غير موجود",IF($D1237="","نوع الحركة ناقص",IF(NOT(ISNUMBER($E1237)),"التاريخ ناقص",IF($E1237&gt;تاريخ_الاحتساب,"تاريخ بعد تاريخ الاحتساب",IF(AND($D1237&lt;&gt;"تسليم",COUNTIFS($A$5:$A$1504,$A1237,$D$5:$D$1504,"تسليم",$E$5:$E$1504,"&lt;="&amp;$E1237)=0),"لا يوجد تسليم قبل الحركة دي",""))))))</f>
        <v/>
      </c>
    </row>
    <row r="1238" customFormat="false" ht="15" hidden="false" customHeight="false" outlineLevel="0" collapsed="false">
      <c r="A1238" s="20"/>
      <c r="B1238" s="35" t="str">
        <f aca="false">IF($A1238="","",IFERROR(INDEX(مخرج_البند,MATCH($A1238,قائمة_المخرجات,0)),""))</f>
        <v/>
      </c>
      <c r="C1238" s="30" t="str">
        <f aca="false">IF($A1238="","",IFERROR(INDEX(مخرج_الوصف,MATCH($A1238,قائمة_المخرجات,0)),""))</f>
        <v/>
      </c>
      <c r="D1238" s="20"/>
      <c r="E1238" s="31"/>
      <c r="F1238" s="22"/>
      <c r="G1238" s="36" t="str">
        <f aca="false">IF(OR($A1238="",$D1238&lt;&gt;"تسليم",NOT(ISNUMBER($E1238))),"",COUNTIFS($A$5:$A$1504,$A1238,$D$5:$D$1504,"تسليم",$E$5:$E$1504,"&lt;"&amp;$E1238)+1)</f>
        <v/>
      </c>
      <c r="H1238" s="33" t="str">
        <f aca="false">IF($G1238="","",_xlfn.MINIFS($E$5:$E$1504,$A$5:$A$1504,$A1238,$D$5:$D$1504,"&lt;&gt;تسليم",$E$5:$E$1504,"&gt;="&amp;$E1238))</f>
        <v/>
      </c>
      <c r="I1238" s="33" t="str">
        <f aca="false">IF($G1238="","",_xlfn.MINIFS($E$5:$E$1504,$A$5:$A$1504,$A1238,$D$5:$D$1504,"تسليم",$E$5:$E$1504,"&gt;"&amp;$E1238))</f>
        <v/>
      </c>
      <c r="J1238" s="33" t="str">
        <f aca="false">IF($G1238="","",IF(H1238&gt;0,IF(I1238&gt;0,MIN(H1238,I1238),H1238),IF(I1238&gt;0,I1238,تاريخ_الاحتساب)))</f>
        <v/>
      </c>
      <c r="K1238" s="34" t="str">
        <f aca="false">IF($G1238="","",IF(AND(H1238=0,I1238=0),"جارية","مغلقة"))</f>
        <v/>
      </c>
      <c r="L1238" s="26" t="str">
        <f aca="false">IF($G1238="","",MAX(0,NETWORKDAYS.INTL($E1238,J1238,رمز_العطلة,أيام_الأجازات)-1))</f>
        <v/>
      </c>
      <c r="M1238" s="26" t="str">
        <f aca="false">IF($G1238="","",MAX(0,L1238-مهلة_المراجعة))</f>
        <v/>
      </c>
      <c r="N1238" s="30" t="str">
        <f aca="false">IF($A1238="",IF(OR($D1238&lt;&gt;"",$E1238&lt;&gt;""),"رقم المخرج ناقص",""),IF(ISNA(MATCH($A1238,قائمة_المخرجات,0)),"رقم مخرج غير موجود",IF($D1238="","نوع الحركة ناقص",IF(NOT(ISNUMBER($E1238)),"التاريخ ناقص",IF($E1238&gt;تاريخ_الاحتساب,"تاريخ بعد تاريخ الاحتساب",IF(AND($D1238&lt;&gt;"تسليم",COUNTIFS($A$5:$A$1504,$A1238,$D$5:$D$1504,"تسليم",$E$5:$E$1504,"&lt;="&amp;$E1238)=0),"لا يوجد تسليم قبل الحركة دي",""))))))</f>
        <v/>
      </c>
    </row>
    <row r="1239" customFormat="false" ht="15" hidden="false" customHeight="false" outlineLevel="0" collapsed="false">
      <c r="A1239" s="20"/>
      <c r="B1239" s="35" t="str">
        <f aca="false">IF($A1239="","",IFERROR(INDEX(مخرج_البند,MATCH($A1239,قائمة_المخرجات,0)),""))</f>
        <v/>
      </c>
      <c r="C1239" s="30" t="str">
        <f aca="false">IF($A1239="","",IFERROR(INDEX(مخرج_الوصف,MATCH($A1239,قائمة_المخرجات,0)),""))</f>
        <v/>
      </c>
      <c r="D1239" s="20"/>
      <c r="E1239" s="31"/>
      <c r="F1239" s="22"/>
      <c r="G1239" s="36" t="str">
        <f aca="false">IF(OR($A1239="",$D1239&lt;&gt;"تسليم",NOT(ISNUMBER($E1239))),"",COUNTIFS($A$5:$A$1504,$A1239,$D$5:$D$1504,"تسليم",$E$5:$E$1504,"&lt;"&amp;$E1239)+1)</f>
        <v/>
      </c>
      <c r="H1239" s="33" t="str">
        <f aca="false">IF($G1239="","",_xlfn.MINIFS($E$5:$E$1504,$A$5:$A$1504,$A1239,$D$5:$D$1504,"&lt;&gt;تسليم",$E$5:$E$1504,"&gt;="&amp;$E1239))</f>
        <v/>
      </c>
      <c r="I1239" s="33" t="str">
        <f aca="false">IF($G1239="","",_xlfn.MINIFS($E$5:$E$1504,$A$5:$A$1504,$A1239,$D$5:$D$1504,"تسليم",$E$5:$E$1504,"&gt;"&amp;$E1239))</f>
        <v/>
      </c>
      <c r="J1239" s="33" t="str">
        <f aca="false">IF($G1239="","",IF(H1239&gt;0,IF(I1239&gt;0,MIN(H1239,I1239),H1239),IF(I1239&gt;0,I1239,تاريخ_الاحتساب)))</f>
        <v/>
      </c>
      <c r="K1239" s="34" t="str">
        <f aca="false">IF($G1239="","",IF(AND(H1239=0,I1239=0),"جارية","مغلقة"))</f>
        <v/>
      </c>
      <c r="L1239" s="26" t="str">
        <f aca="false">IF($G1239="","",MAX(0,NETWORKDAYS.INTL($E1239,J1239,رمز_العطلة,أيام_الأجازات)-1))</f>
        <v/>
      </c>
      <c r="M1239" s="26" t="str">
        <f aca="false">IF($G1239="","",MAX(0,L1239-مهلة_المراجعة))</f>
        <v/>
      </c>
      <c r="N1239" s="30" t="str">
        <f aca="false">IF($A1239="",IF(OR($D1239&lt;&gt;"",$E1239&lt;&gt;""),"رقم المخرج ناقص",""),IF(ISNA(MATCH($A1239,قائمة_المخرجات,0)),"رقم مخرج غير موجود",IF($D1239="","نوع الحركة ناقص",IF(NOT(ISNUMBER($E1239)),"التاريخ ناقص",IF($E1239&gt;تاريخ_الاحتساب,"تاريخ بعد تاريخ الاحتساب",IF(AND($D1239&lt;&gt;"تسليم",COUNTIFS($A$5:$A$1504,$A1239,$D$5:$D$1504,"تسليم",$E$5:$E$1504,"&lt;="&amp;$E1239)=0),"لا يوجد تسليم قبل الحركة دي",""))))))</f>
        <v/>
      </c>
    </row>
    <row r="1240" customFormat="false" ht="15" hidden="false" customHeight="false" outlineLevel="0" collapsed="false">
      <c r="A1240" s="20"/>
      <c r="B1240" s="35" t="str">
        <f aca="false">IF($A1240="","",IFERROR(INDEX(مخرج_البند,MATCH($A1240,قائمة_المخرجات,0)),""))</f>
        <v/>
      </c>
      <c r="C1240" s="30" t="str">
        <f aca="false">IF($A1240="","",IFERROR(INDEX(مخرج_الوصف,MATCH($A1240,قائمة_المخرجات,0)),""))</f>
        <v/>
      </c>
      <c r="D1240" s="20"/>
      <c r="E1240" s="31"/>
      <c r="F1240" s="22"/>
      <c r="G1240" s="36" t="str">
        <f aca="false">IF(OR($A1240="",$D1240&lt;&gt;"تسليم",NOT(ISNUMBER($E1240))),"",COUNTIFS($A$5:$A$1504,$A1240,$D$5:$D$1504,"تسليم",$E$5:$E$1504,"&lt;"&amp;$E1240)+1)</f>
        <v/>
      </c>
      <c r="H1240" s="33" t="str">
        <f aca="false">IF($G1240="","",_xlfn.MINIFS($E$5:$E$1504,$A$5:$A$1504,$A1240,$D$5:$D$1504,"&lt;&gt;تسليم",$E$5:$E$1504,"&gt;="&amp;$E1240))</f>
        <v/>
      </c>
      <c r="I1240" s="33" t="str">
        <f aca="false">IF($G1240="","",_xlfn.MINIFS($E$5:$E$1504,$A$5:$A$1504,$A1240,$D$5:$D$1504,"تسليم",$E$5:$E$1504,"&gt;"&amp;$E1240))</f>
        <v/>
      </c>
      <c r="J1240" s="33" t="str">
        <f aca="false">IF($G1240="","",IF(H1240&gt;0,IF(I1240&gt;0,MIN(H1240,I1240),H1240),IF(I1240&gt;0,I1240,تاريخ_الاحتساب)))</f>
        <v/>
      </c>
      <c r="K1240" s="34" t="str">
        <f aca="false">IF($G1240="","",IF(AND(H1240=0,I1240=0),"جارية","مغلقة"))</f>
        <v/>
      </c>
      <c r="L1240" s="26" t="str">
        <f aca="false">IF($G1240="","",MAX(0,NETWORKDAYS.INTL($E1240,J1240,رمز_العطلة,أيام_الأجازات)-1))</f>
        <v/>
      </c>
      <c r="M1240" s="26" t="str">
        <f aca="false">IF($G1240="","",MAX(0,L1240-مهلة_المراجعة))</f>
        <v/>
      </c>
      <c r="N1240" s="30" t="str">
        <f aca="false">IF($A1240="",IF(OR($D1240&lt;&gt;"",$E1240&lt;&gt;""),"رقم المخرج ناقص",""),IF(ISNA(MATCH($A1240,قائمة_المخرجات,0)),"رقم مخرج غير موجود",IF($D1240="","نوع الحركة ناقص",IF(NOT(ISNUMBER($E1240)),"التاريخ ناقص",IF($E1240&gt;تاريخ_الاحتساب,"تاريخ بعد تاريخ الاحتساب",IF(AND($D1240&lt;&gt;"تسليم",COUNTIFS($A$5:$A$1504,$A1240,$D$5:$D$1504,"تسليم",$E$5:$E$1504,"&lt;="&amp;$E1240)=0),"لا يوجد تسليم قبل الحركة دي",""))))))</f>
        <v/>
      </c>
    </row>
    <row r="1241" customFormat="false" ht="15" hidden="false" customHeight="false" outlineLevel="0" collapsed="false">
      <c r="A1241" s="20"/>
      <c r="B1241" s="35" t="str">
        <f aca="false">IF($A1241="","",IFERROR(INDEX(مخرج_البند,MATCH($A1241,قائمة_المخرجات,0)),""))</f>
        <v/>
      </c>
      <c r="C1241" s="30" t="str">
        <f aca="false">IF($A1241="","",IFERROR(INDEX(مخرج_الوصف,MATCH($A1241,قائمة_المخرجات,0)),""))</f>
        <v/>
      </c>
      <c r="D1241" s="20"/>
      <c r="E1241" s="31"/>
      <c r="F1241" s="22"/>
      <c r="G1241" s="36" t="str">
        <f aca="false">IF(OR($A1241="",$D1241&lt;&gt;"تسليم",NOT(ISNUMBER($E1241))),"",COUNTIFS($A$5:$A$1504,$A1241,$D$5:$D$1504,"تسليم",$E$5:$E$1504,"&lt;"&amp;$E1241)+1)</f>
        <v/>
      </c>
      <c r="H1241" s="33" t="str">
        <f aca="false">IF($G1241="","",_xlfn.MINIFS($E$5:$E$1504,$A$5:$A$1504,$A1241,$D$5:$D$1504,"&lt;&gt;تسليم",$E$5:$E$1504,"&gt;="&amp;$E1241))</f>
        <v/>
      </c>
      <c r="I1241" s="33" t="str">
        <f aca="false">IF($G1241="","",_xlfn.MINIFS($E$5:$E$1504,$A$5:$A$1504,$A1241,$D$5:$D$1504,"تسليم",$E$5:$E$1504,"&gt;"&amp;$E1241))</f>
        <v/>
      </c>
      <c r="J1241" s="33" t="str">
        <f aca="false">IF($G1241="","",IF(H1241&gt;0,IF(I1241&gt;0,MIN(H1241,I1241),H1241),IF(I1241&gt;0,I1241,تاريخ_الاحتساب)))</f>
        <v/>
      </c>
      <c r="K1241" s="34" t="str">
        <f aca="false">IF($G1241="","",IF(AND(H1241=0,I1241=0),"جارية","مغلقة"))</f>
        <v/>
      </c>
      <c r="L1241" s="26" t="str">
        <f aca="false">IF($G1241="","",MAX(0,NETWORKDAYS.INTL($E1241,J1241,رمز_العطلة,أيام_الأجازات)-1))</f>
        <v/>
      </c>
      <c r="M1241" s="26" t="str">
        <f aca="false">IF($G1241="","",MAX(0,L1241-مهلة_المراجعة))</f>
        <v/>
      </c>
      <c r="N1241" s="30" t="str">
        <f aca="false">IF($A1241="",IF(OR($D1241&lt;&gt;"",$E1241&lt;&gt;""),"رقم المخرج ناقص",""),IF(ISNA(MATCH($A1241,قائمة_المخرجات,0)),"رقم مخرج غير موجود",IF($D1241="","نوع الحركة ناقص",IF(NOT(ISNUMBER($E1241)),"التاريخ ناقص",IF($E1241&gt;تاريخ_الاحتساب,"تاريخ بعد تاريخ الاحتساب",IF(AND($D1241&lt;&gt;"تسليم",COUNTIFS($A$5:$A$1504,$A1241,$D$5:$D$1504,"تسليم",$E$5:$E$1504,"&lt;="&amp;$E1241)=0),"لا يوجد تسليم قبل الحركة دي",""))))))</f>
        <v/>
      </c>
    </row>
    <row r="1242" customFormat="false" ht="15" hidden="false" customHeight="false" outlineLevel="0" collapsed="false">
      <c r="A1242" s="20"/>
      <c r="B1242" s="35" t="str">
        <f aca="false">IF($A1242="","",IFERROR(INDEX(مخرج_البند,MATCH($A1242,قائمة_المخرجات,0)),""))</f>
        <v/>
      </c>
      <c r="C1242" s="30" t="str">
        <f aca="false">IF($A1242="","",IFERROR(INDEX(مخرج_الوصف,MATCH($A1242,قائمة_المخرجات,0)),""))</f>
        <v/>
      </c>
      <c r="D1242" s="20"/>
      <c r="E1242" s="31"/>
      <c r="F1242" s="22"/>
      <c r="G1242" s="36" t="str">
        <f aca="false">IF(OR($A1242="",$D1242&lt;&gt;"تسليم",NOT(ISNUMBER($E1242))),"",COUNTIFS($A$5:$A$1504,$A1242,$D$5:$D$1504,"تسليم",$E$5:$E$1504,"&lt;"&amp;$E1242)+1)</f>
        <v/>
      </c>
      <c r="H1242" s="33" t="str">
        <f aca="false">IF($G1242="","",_xlfn.MINIFS($E$5:$E$1504,$A$5:$A$1504,$A1242,$D$5:$D$1504,"&lt;&gt;تسليم",$E$5:$E$1504,"&gt;="&amp;$E1242))</f>
        <v/>
      </c>
      <c r="I1242" s="33" t="str">
        <f aca="false">IF($G1242="","",_xlfn.MINIFS($E$5:$E$1504,$A$5:$A$1504,$A1242,$D$5:$D$1504,"تسليم",$E$5:$E$1504,"&gt;"&amp;$E1242))</f>
        <v/>
      </c>
      <c r="J1242" s="33" t="str">
        <f aca="false">IF($G1242="","",IF(H1242&gt;0,IF(I1242&gt;0,MIN(H1242,I1242),H1242),IF(I1242&gt;0,I1242,تاريخ_الاحتساب)))</f>
        <v/>
      </c>
      <c r="K1242" s="34" t="str">
        <f aca="false">IF($G1242="","",IF(AND(H1242=0,I1242=0),"جارية","مغلقة"))</f>
        <v/>
      </c>
      <c r="L1242" s="26" t="str">
        <f aca="false">IF($G1242="","",MAX(0,NETWORKDAYS.INTL($E1242,J1242,رمز_العطلة,أيام_الأجازات)-1))</f>
        <v/>
      </c>
      <c r="M1242" s="26" t="str">
        <f aca="false">IF($G1242="","",MAX(0,L1242-مهلة_المراجعة))</f>
        <v/>
      </c>
      <c r="N1242" s="30" t="str">
        <f aca="false">IF($A1242="",IF(OR($D1242&lt;&gt;"",$E1242&lt;&gt;""),"رقم المخرج ناقص",""),IF(ISNA(MATCH($A1242,قائمة_المخرجات,0)),"رقم مخرج غير موجود",IF($D1242="","نوع الحركة ناقص",IF(NOT(ISNUMBER($E1242)),"التاريخ ناقص",IF($E1242&gt;تاريخ_الاحتساب,"تاريخ بعد تاريخ الاحتساب",IF(AND($D1242&lt;&gt;"تسليم",COUNTIFS($A$5:$A$1504,$A1242,$D$5:$D$1504,"تسليم",$E$5:$E$1504,"&lt;="&amp;$E1242)=0),"لا يوجد تسليم قبل الحركة دي",""))))))</f>
        <v/>
      </c>
    </row>
    <row r="1243" customFormat="false" ht="15" hidden="false" customHeight="false" outlineLevel="0" collapsed="false">
      <c r="A1243" s="20"/>
      <c r="B1243" s="35" t="str">
        <f aca="false">IF($A1243="","",IFERROR(INDEX(مخرج_البند,MATCH($A1243,قائمة_المخرجات,0)),""))</f>
        <v/>
      </c>
      <c r="C1243" s="30" t="str">
        <f aca="false">IF($A1243="","",IFERROR(INDEX(مخرج_الوصف,MATCH($A1243,قائمة_المخرجات,0)),""))</f>
        <v/>
      </c>
      <c r="D1243" s="20"/>
      <c r="E1243" s="31"/>
      <c r="F1243" s="22"/>
      <c r="G1243" s="36" t="str">
        <f aca="false">IF(OR($A1243="",$D1243&lt;&gt;"تسليم",NOT(ISNUMBER($E1243))),"",COUNTIFS($A$5:$A$1504,$A1243,$D$5:$D$1504,"تسليم",$E$5:$E$1504,"&lt;"&amp;$E1243)+1)</f>
        <v/>
      </c>
      <c r="H1243" s="33" t="str">
        <f aca="false">IF($G1243="","",_xlfn.MINIFS($E$5:$E$1504,$A$5:$A$1504,$A1243,$D$5:$D$1504,"&lt;&gt;تسليم",$E$5:$E$1504,"&gt;="&amp;$E1243))</f>
        <v/>
      </c>
      <c r="I1243" s="33" t="str">
        <f aca="false">IF($G1243="","",_xlfn.MINIFS($E$5:$E$1504,$A$5:$A$1504,$A1243,$D$5:$D$1504,"تسليم",$E$5:$E$1504,"&gt;"&amp;$E1243))</f>
        <v/>
      </c>
      <c r="J1243" s="33" t="str">
        <f aca="false">IF($G1243="","",IF(H1243&gt;0,IF(I1243&gt;0,MIN(H1243,I1243),H1243),IF(I1243&gt;0,I1243,تاريخ_الاحتساب)))</f>
        <v/>
      </c>
      <c r="K1243" s="34" t="str">
        <f aca="false">IF($G1243="","",IF(AND(H1243=0,I1243=0),"جارية","مغلقة"))</f>
        <v/>
      </c>
      <c r="L1243" s="26" t="str">
        <f aca="false">IF($G1243="","",MAX(0,NETWORKDAYS.INTL($E1243,J1243,رمز_العطلة,أيام_الأجازات)-1))</f>
        <v/>
      </c>
      <c r="M1243" s="26" t="str">
        <f aca="false">IF($G1243="","",MAX(0,L1243-مهلة_المراجعة))</f>
        <v/>
      </c>
      <c r="N1243" s="30" t="str">
        <f aca="false">IF($A1243="",IF(OR($D1243&lt;&gt;"",$E1243&lt;&gt;""),"رقم المخرج ناقص",""),IF(ISNA(MATCH($A1243,قائمة_المخرجات,0)),"رقم مخرج غير موجود",IF($D1243="","نوع الحركة ناقص",IF(NOT(ISNUMBER($E1243)),"التاريخ ناقص",IF($E1243&gt;تاريخ_الاحتساب,"تاريخ بعد تاريخ الاحتساب",IF(AND($D1243&lt;&gt;"تسليم",COUNTIFS($A$5:$A$1504,$A1243,$D$5:$D$1504,"تسليم",$E$5:$E$1504,"&lt;="&amp;$E1243)=0),"لا يوجد تسليم قبل الحركة دي",""))))))</f>
        <v/>
      </c>
    </row>
    <row r="1244" customFormat="false" ht="15" hidden="false" customHeight="false" outlineLevel="0" collapsed="false">
      <c r="A1244" s="20"/>
      <c r="B1244" s="35" t="str">
        <f aca="false">IF($A1244="","",IFERROR(INDEX(مخرج_البند,MATCH($A1244,قائمة_المخرجات,0)),""))</f>
        <v/>
      </c>
      <c r="C1244" s="30" t="str">
        <f aca="false">IF($A1244="","",IFERROR(INDEX(مخرج_الوصف,MATCH($A1244,قائمة_المخرجات,0)),""))</f>
        <v/>
      </c>
      <c r="D1244" s="20"/>
      <c r="E1244" s="31"/>
      <c r="F1244" s="22"/>
      <c r="G1244" s="36" t="str">
        <f aca="false">IF(OR($A1244="",$D1244&lt;&gt;"تسليم",NOT(ISNUMBER($E1244))),"",COUNTIFS($A$5:$A$1504,$A1244,$D$5:$D$1504,"تسليم",$E$5:$E$1504,"&lt;"&amp;$E1244)+1)</f>
        <v/>
      </c>
      <c r="H1244" s="33" t="str">
        <f aca="false">IF($G1244="","",_xlfn.MINIFS($E$5:$E$1504,$A$5:$A$1504,$A1244,$D$5:$D$1504,"&lt;&gt;تسليم",$E$5:$E$1504,"&gt;="&amp;$E1244))</f>
        <v/>
      </c>
      <c r="I1244" s="33" t="str">
        <f aca="false">IF($G1244="","",_xlfn.MINIFS($E$5:$E$1504,$A$5:$A$1504,$A1244,$D$5:$D$1504,"تسليم",$E$5:$E$1504,"&gt;"&amp;$E1244))</f>
        <v/>
      </c>
      <c r="J1244" s="33" t="str">
        <f aca="false">IF($G1244="","",IF(H1244&gt;0,IF(I1244&gt;0,MIN(H1244,I1244),H1244),IF(I1244&gt;0,I1244,تاريخ_الاحتساب)))</f>
        <v/>
      </c>
      <c r="K1244" s="34" t="str">
        <f aca="false">IF($G1244="","",IF(AND(H1244=0,I1244=0),"جارية","مغلقة"))</f>
        <v/>
      </c>
      <c r="L1244" s="26" t="str">
        <f aca="false">IF($G1244="","",MAX(0,NETWORKDAYS.INTL($E1244,J1244,رمز_العطلة,أيام_الأجازات)-1))</f>
        <v/>
      </c>
      <c r="M1244" s="26" t="str">
        <f aca="false">IF($G1244="","",MAX(0,L1244-مهلة_المراجعة))</f>
        <v/>
      </c>
      <c r="N1244" s="30" t="str">
        <f aca="false">IF($A1244="",IF(OR($D1244&lt;&gt;"",$E1244&lt;&gt;""),"رقم المخرج ناقص",""),IF(ISNA(MATCH($A1244,قائمة_المخرجات,0)),"رقم مخرج غير موجود",IF($D1244="","نوع الحركة ناقص",IF(NOT(ISNUMBER($E1244)),"التاريخ ناقص",IF($E1244&gt;تاريخ_الاحتساب,"تاريخ بعد تاريخ الاحتساب",IF(AND($D1244&lt;&gt;"تسليم",COUNTIFS($A$5:$A$1504,$A1244,$D$5:$D$1504,"تسليم",$E$5:$E$1504,"&lt;="&amp;$E1244)=0),"لا يوجد تسليم قبل الحركة دي",""))))))</f>
        <v/>
      </c>
    </row>
    <row r="1245" customFormat="false" ht="15" hidden="false" customHeight="false" outlineLevel="0" collapsed="false">
      <c r="A1245" s="20"/>
      <c r="B1245" s="35" t="str">
        <f aca="false">IF($A1245="","",IFERROR(INDEX(مخرج_البند,MATCH($A1245,قائمة_المخرجات,0)),""))</f>
        <v/>
      </c>
      <c r="C1245" s="30" t="str">
        <f aca="false">IF($A1245="","",IFERROR(INDEX(مخرج_الوصف,MATCH($A1245,قائمة_المخرجات,0)),""))</f>
        <v/>
      </c>
      <c r="D1245" s="20"/>
      <c r="E1245" s="31"/>
      <c r="F1245" s="22"/>
      <c r="G1245" s="36" t="str">
        <f aca="false">IF(OR($A1245="",$D1245&lt;&gt;"تسليم",NOT(ISNUMBER($E1245))),"",COUNTIFS($A$5:$A$1504,$A1245,$D$5:$D$1504,"تسليم",$E$5:$E$1504,"&lt;"&amp;$E1245)+1)</f>
        <v/>
      </c>
      <c r="H1245" s="33" t="str">
        <f aca="false">IF($G1245="","",_xlfn.MINIFS($E$5:$E$1504,$A$5:$A$1504,$A1245,$D$5:$D$1504,"&lt;&gt;تسليم",$E$5:$E$1504,"&gt;="&amp;$E1245))</f>
        <v/>
      </c>
      <c r="I1245" s="33" t="str">
        <f aca="false">IF($G1245="","",_xlfn.MINIFS($E$5:$E$1504,$A$5:$A$1504,$A1245,$D$5:$D$1504,"تسليم",$E$5:$E$1504,"&gt;"&amp;$E1245))</f>
        <v/>
      </c>
      <c r="J1245" s="33" t="str">
        <f aca="false">IF($G1245="","",IF(H1245&gt;0,IF(I1245&gt;0,MIN(H1245,I1245),H1245),IF(I1245&gt;0,I1245,تاريخ_الاحتساب)))</f>
        <v/>
      </c>
      <c r="K1245" s="34" t="str">
        <f aca="false">IF($G1245="","",IF(AND(H1245=0,I1245=0),"جارية","مغلقة"))</f>
        <v/>
      </c>
      <c r="L1245" s="26" t="str">
        <f aca="false">IF($G1245="","",MAX(0,NETWORKDAYS.INTL($E1245,J1245,رمز_العطلة,أيام_الأجازات)-1))</f>
        <v/>
      </c>
      <c r="M1245" s="26" t="str">
        <f aca="false">IF($G1245="","",MAX(0,L1245-مهلة_المراجعة))</f>
        <v/>
      </c>
      <c r="N1245" s="30" t="str">
        <f aca="false">IF($A1245="",IF(OR($D1245&lt;&gt;"",$E1245&lt;&gt;""),"رقم المخرج ناقص",""),IF(ISNA(MATCH($A1245,قائمة_المخرجات,0)),"رقم مخرج غير موجود",IF($D1245="","نوع الحركة ناقص",IF(NOT(ISNUMBER($E1245)),"التاريخ ناقص",IF($E1245&gt;تاريخ_الاحتساب,"تاريخ بعد تاريخ الاحتساب",IF(AND($D1245&lt;&gt;"تسليم",COUNTIFS($A$5:$A$1504,$A1245,$D$5:$D$1504,"تسليم",$E$5:$E$1504,"&lt;="&amp;$E1245)=0),"لا يوجد تسليم قبل الحركة دي",""))))))</f>
        <v/>
      </c>
    </row>
    <row r="1246" customFormat="false" ht="15" hidden="false" customHeight="false" outlineLevel="0" collapsed="false">
      <c r="A1246" s="20"/>
      <c r="B1246" s="35" t="str">
        <f aca="false">IF($A1246="","",IFERROR(INDEX(مخرج_البند,MATCH($A1246,قائمة_المخرجات,0)),""))</f>
        <v/>
      </c>
      <c r="C1246" s="30" t="str">
        <f aca="false">IF($A1246="","",IFERROR(INDEX(مخرج_الوصف,MATCH($A1246,قائمة_المخرجات,0)),""))</f>
        <v/>
      </c>
      <c r="D1246" s="20"/>
      <c r="E1246" s="31"/>
      <c r="F1246" s="22"/>
      <c r="G1246" s="36" t="str">
        <f aca="false">IF(OR($A1246="",$D1246&lt;&gt;"تسليم",NOT(ISNUMBER($E1246))),"",COUNTIFS($A$5:$A$1504,$A1246,$D$5:$D$1504,"تسليم",$E$5:$E$1504,"&lt;"&amp;$E1246)+1)</f>
        <v/>
      </c>
      <c r="H1246" s="33" t="str">
        <f aca="false">IF($G1246="","",_xlfn.MINIFS($E$5:$E$1504,$A$5:$A$1504,$A1246,$D$5:$D$1504,"&lt;&gt;تسليم",$E$5:$E$1504,"&gt;="&amp;$E1246))</f>
        <v/>
      </c>
      <c r="I1246" s="33" t="str">
        <f aca="false">IF($G1246="","",_xlfn.MINIFS($E$5:$E$1504,$A$5:$A$1504,$A1246,$D$5:$D$1504,"تسليم",$E$5:$E$1504,"&gt;"&amp;$E1246))</f>
        <v/>
      </c>
      <c r="J1246" s="33" t="str">
        <f aca="false">IF($G1246="","",IF(H1246&gt;0,IF(I1246&gt;0,MIN(H1246,I1246),H1246),IF(I1246&gt;0,I1246,تاريخ_الاحتساب)))</f>
        <v/>
      </c>
      <c r="K1246" s="34" t="str">
        <f aca="false">IF($G1246="","",IF(AND(H1246=0,I1246=0),"جارية","مغلقة"))</f>
        <v/>
      </c>
      <c r="L1246" s="26" t="str">
        <f aca="false">IF($G1246="","",MAX(0,NETWORKDAYS.INTL($E1246,J1246,رمز_العطلة,أيام_الأجازات)-1))</f>
        <v/>
      </c>
      <c r="M1246" s="26" t="str">
        <f aca="false">IF($G1246="","",MAX(0,L1246-مهلة_المراجعة))</f>
        <v/>
      </c>
      <c r="N1246" s="30" t="str">
        <f aca="false">IF($A1246="",IF(OR($D1246&lt;&gt;"",$E1246&lt;&gt;""),"رقم المخرج ناقص",""),IF(ISNA(MATCH($A1246,قائمة_المخرجات,0)),"رقم مخرج غير موجود",IF($D1246="","نوع الحركة ناقص",IF(NOT(ISNUMBER($E1246)),"التاريخ ناقص",IF($E1246&gt;تاريخ_الاحتساب,"تاريخ بعد تاريخ الاحتساب",IF(AND($D1246&lt;&gt;"تسليم",COUNTIFS($A$5:$A$1504,$A1246,$D$5:$D$1504,"تسليم",$E$5:$E$1504,"&lt;="&amp;$E1246)=0),"لا يوجد تسليم قبل الحركة دي",""))))))</f>
        <v/>
      </c>
    </row>
    <row r="1247" customFormat="false" ht="15" hidden="false" customHeight="false" outlineLevel="0" collapsed="false">
      <c r="A1247" s="20"/>
      <c r="B1247" s="35" t="str">
        <f aca="false">IF($A1247="","",IFERROR(INDEX(مخرج_البند,MATCH($A1247,قائمة_المخرجات,0)),""))</f>
        <v/>
      </c>
      <c r="C1247" s="30" t="str">
        <f aca="false">IF($A1247="","",IFERROR(INDEX(مخرج_الوصف,MATCH($A1247,قائمة_المخرجات,0)),""))</f>
        <v/>
      </c>
      <c r="D1247" s="20"/>
      <c r="E1247" s="31"/>
      <c r="F1247" s="22"/>
      <c r="G1247" s="36" t="str">
        <f aca="false">IF(OR($A1247="",$D1247&lt;&gt;"تسليم",NOT(ISNUMBER($E1247))),"",COUNTIFS($A$5:$A$1504,$A1247,$D$5:$D$1504,"تسليم",$E$5:$E$1504,"&lt;"&amp;$E1247)+1)</f>
        <v/>
      </c>
      <c r="H1247" s="33" t="str">
        <f aca="false">IF($G1247="","",_xlfn.MINIFS($E$5:$E$1504,$A$5:$A$1504,$A1247,$D$5:$D$1504,"&lt;&gt;تسليم",$E$5:$E$1504,"&gt;="&amp;$E1247))</f>
        <v/>
      </c>
      <c r="I1247" s="33" t="str">
        <f aca="false">IF($G1247="","",_xlfn.MINIFS($E$5:$E$1504,$A$5:$A$1504,$A1247,$D$5:$D$1504,"تسليم",$E$5:$E$1504,"&gt;"&amp;$E1247))</f>
        <v/>
      </c>
      <c r="J1247" s="33" t="str">
        <f aca="false">IF($G1247="","",IF(H1247&gt;0,IF(I1247&gt;0,MIN(H1247,I1247),H1247),IF(I1247&gt;0,I1247,تاريخ_الاحتساب)))</f>
        <v/>
      </c>
      <c r="K1247" s="34" t="str">
        <f aca="false">IF($G1247="","",IF(AND(H1247=0,I1247=0),"جارية","مغلقة"))</f>
        <v/>
      </c>
      <c r="L1247" s="26" t="str">
        <f aca="false">IF($G1247="","",MAX(0,NETWORKDAYS.INTL($E1247,J1247,رمز_العطلة,أيام_الأجازات)-1))</f>
        <v/>
      </c>
      <c r="M1247" s="26" t="str">
        <f aca="false">IF($G1247="","",MAX(0,L1247-مهلة_المراجعة))</f>
        <v/>
      </c>
      <c r="N1247" s="30" t="str">
        <f aca="false">IF($A1247="",IF(OR($D1247&lt;&gt;"",$E1247&lt;&gt;""),"رقم المخرج ناقص",""),IF(ISNA(MATCH($A1247,قائمة_المخرجات,0)),"رقم مخرج غير موجود",IF($D1247="","نوع الحركة ناقص",IF(NOT(ISNUMBER($E1247)),"التاريخ ناقص",IF($E1247&gt;تاريخ_الاحتساب,"تاريخ بعد تاريخ الاحتساب",IF(AND($D1247&lt;&gt;"تسليم",COUNTIFS($A$5:$A$1504,$A1247,$D$5:$D$1504,"تسليم",$E$5:$E$1504,"&lt;="&amp;$E1247)=0),"لا يوجد تسليم قبل الحركة دي",""))))))</f>
        <v/>
      </c>
    </row>
    <row r="1248" customFormat="false" ht="15" hidden="false" customHeight="false" outlineLevel="0" collapsed="false">
      <c r="A1248" s="20"/>
      <c r="B1248" s="35" t="str">
        <f aca="false">IF($A1248="","",IFERROR(INDEX(مخرج_البند,MATCH($A1248,قائمة_المخرجات,0)),""))</f>
        <v/>
      </c>
      <c r="C1248" s="30" t="str">
        <f aca="false">IF($A1248="","",IFERROR(INDEX(مخرج_الوصف,MATCH($A1248,قائمة_المخرجات,0)),""))</f>
        <v/>
      </c>
      <c r="D1248" s="20"/>
      <c r="E1248" s="31"/>
      <c r="F1248" s="22"/>
      <c r="G1248" s="36" t="str">
        <f aca="false">IF(OR($A1248="",$D1248&lt;&gt;"تسليم",NOT(ISNUMBER($E1248))),"",COUNTIFS($A$5:$A$1504,$A1248,$D$5:$D$1504,"تسليم",$E$5:$E$1504,"&lt;"&amp;$E1248)+1)</f>
        <v/>
      </c>
      <c r="H1248" s="33" t="str">
        <f aca="false">IF($G1248="","",_xlfn.MINIFS($E$5:$E$1504,$A$5:$A$1504,$A1248,$D$5:$D$1504,"&lt;&gt;تسليم",$E$5:$E$1504,"&gt;="&amp;$E1248))</f>
        <v/>
      </c>
      <c r="I1248" s="33" t="str">
        <f aca="false">IF($G1248="","",_xlfn.MINIFS($E$5:$E$1504,$A$5:$A$1504,$A1248,$D$5:$D$1504,"تسليم",$E$5:$E$1504,"&gt;"&amp;$E1248))</f>
        <v/>
      </c>
      <c r="J1248" s="33" t="str">
        <f aca="false">IF($G1248="","",IF(H1248&gt;0,IF(I1248&gt;0,MIN(H1248,I1248),H1248),IF(I1248&gt;0,I1248,تاريخ_الاحتساب)))</f>
        <v/>
      </c>
      <c r="K1248" s="34" t="str">
        <f aca="false">IF($G1248="","",IF(AND(H1248=0,I1248=0),"جارية","مغلقة"))</f>
        <v/>
      </c>
      <c r="L1248" s="26" t="str">
        <f aca="false">IF($G1248="","",MAX(0,NETWORKDAYS.INTL($E1248,J1248,رمز_العطلة,أيام_الأجازات)-1))</f>
        <v/>
      </c>
      <c r="M1248" s="26" t="str">
        <f aca="false">IF($G1248="","",MAX(0,L1248-مهلة_المراجعة))</f>
        <v/>
      </c>
      <c r="N1248" s="30" t="str">
        <f aca="false">IF($A1248="",IF(OR($D1248&lt;&gt;"",$E1248&lt;&gt;""),"رقم المخرج ناقص",""),IF(ISNA(MATCH($A1248,قائمة_المخرجات,0)),"رقم مخرج غير موجود",IF($D1248="","نوع الحركة ناقص",IF(NOT(ISNUMBER($E1248)),"التاريخ ناقص",IF($E1248&gt;تاريخ_الاحتساب,"تاريخ بعد تاريخ الاحتساب",IF(AND($D1248&lt;&gt;"تسليم",COUNTIFS($A$5:$A$1504,$A1248,$D$5:$D$1504,"تسليم",$E$5:$E$1504,"&lt;="&amp;$E1248)=0),"لا يوجد تسليم قبل الحركة دي",""))))))</f>
        <v/>
      </c>
    </row>
    <row r="1249" customFormat="false" ht="15" hidden="false" customHeight="false" outlineLevel="0" collapsed="false">
      <c r="A1249" s="20"/>
      <c r="B1249" s="35" t="str">
        <f aca="false">IF($A1249="","",IFERROR(INDEX(مخرج_البند,MATCH($A1249,قائمة_المخرجات,0)),""))</f>
        <v/>
      </c>
      <c r="C1249" s="30" t="str">
        <f aca="false">IF($A1249="","",IFERROR(INDEX(مخرج_الوصف,MATCH($A1249,قائمة_المخرجات,0)),""))</f>
        <v/>
      </c>
      <c r="D1249" s="20"/>
      <c r="E1249" s="31"/>
      <c r="F1249" s="22"/>
      <c r="G1249" s="36" t="str">
        <f aca="false">IF(OR($A1249="",$D1249&lt;&gt;"تسليم",NOT(ISNUMBER($E1249))),"",COUNTIFS($A$5:$A$1504,$A1249,$D$5:$D$1504,"تسليم",$E$5:$E$1504,"&lt;"&amp;$E1249)+1)</f>
        <v/>
      </c>
      <c r="H1249" s="33" t="str">
        <f aca="false">IF($G1249="","",_xlfn.MINIFS($E$5:$E$1504,$A$5:$A$1504,$A1249,$D$5:$D$1504,"&lt;&gt;تسليم",$E$5:$E$1504,"&gt;="&amp;$E1249))</f>
        <v/>
      </c>
      <c r="I1249" s="33" t="str">
        <f aca="false">IF($G1249="","",_xlfn.MINIFS($E$5:$E$1504,$A$5:$A$1504,$A1249,$D$5:$D$1504,"تسليم",$E$5:$E$1504,"&gt;"&amp;$E1249))</f>
        <v/>
      </c>
      <c r="J1249" s="33" t="str">
        <f aca="false">IF($G1249="","",IF(H1249&gt;0,IF(I1249&gt;0,MIN(H1249,I1249),H1249),IF(I1249&gt;0,I1249,تاريخ_الاحتساب)))</f>
        <v/>
      </c>
      <c r="K1249" s="34" t="str">
        <f aca="false">IF($G1249="","",IF(AND(H1249=0,I1249=0),"جارية","مغلقة"))</f>
        <v/>
      </c>
      <c r="L1249" s="26" t="str">
        <f aca="false">IF($G1249="","",MAX(0,NETWORKDAYS.INTL($E1249,J1249,رمز_العطلة,أيام_الأجازات)-1))</f>
        <v/>
      </c>
      <c r="M1249" s="26" t="str">
        <f aca="false">IF($G1249="","",MAX(0,L1249-مهلة_المراجعة))</f>
        <v/>
      </c>
      <c r="N1249" s="30" t="str">
        <f aca="false">IF($A1249="",IF(OR($D1249&lt;&gt;"",$E1249&lt;&gt;""),"رقم المخرج ناقص",""),IF(ISNA(MATCH($A1249,قائمة_المخرجات,0)),"رقم مخرج غير موجود",IF($D1249="","نوع الحركة ناقص",IF(NOT(ISNUMBER($E1249)),"التاريخ ناقص",IF($E1249&gt;تاريخ_الاحتساب,"تاريخ بعد تاريخ الاحتساب",IF(AND($D1249&lt;&gt;"تسليم",COUNTIFS($A$5:$A$1504,$A1249,$D$5:$D$1504,"تسليم",$E$5:$E$1504,"&lt;="&amp;$E1249)=0),"لا يوجد تسليم قبل الحركة دي",""))))))</f>
        <v/>
      </c>
    </row>
    <row r="1250" customFormat="false" ht="15" hidden="false" customHeight="false" outlineLevel="0" collapsed="false">
      <c r="A1250" s="20"/>
      <c r="B1250" s="35" t="str">
        <f aca="false">IF($A1250="","",IFERROR(INDEX(مخرج_البند,MATCH($A1250,قائمة_المخرجات,0)),""))</f>
        <v/>
      </c>
      <c r="C1250" s="30" t="str">
        <f aca="false">IF($A1250="","",IFERROR(INDEX(مخرج_الوصف,MATCH($A1250,قائمة_المخرجات,0)),""))</f>
        <v/>
      </c>
      <c r="D1250" s="20"/>
      <c r="E1250" s="31"/>
      <c r="F1250" s="22"/>
      <c r="G1250" s="36" t="str">
        <f aca="false">IF(OR($A1250="",$D1250&lt;&gt;"تسليم",NOT(ISNUMBER($E1250))),"",COUNTIFS($A$5:$A$1504,$A1250,$D$5:$D$1504,"تسليم",$E$5:$E$1504,"&lt;"&amp;$E1250)+1)</f>
        <v/>
      </c>
      <c r="H1250" s="33" t="str">
        <f aca="false">IF($G1250="","",_xlfn.MINIFS($E$5:$E$1504,$A$5:$A$1504,$A1250,$D$5:$D$1504,"&lt;&gt;تسليم",$E$5:$E$1504,"&gt;="&amp;$E1250))</f>
        <v/>
      </c>
      <c r="I1250" s="33" t="str">
        <f aca="false">IF($G1250="","",_xlfn.MINIFS($E$5:$E$1504,$A$5:$A$1504,$A1250,$D$5:$D$1504,"تسليم",$E$5:$E$1504,"&gt;"&amp;$E1250))</f>
        <v/>
      </c>
      <c r="J1250" s="33" t="str">
        <f aca="false">IF($G1250="","",IF(H1250&gt;0,IF(I1250&gt;0,MIN(H1250,I1250),H1250),IF(I1250&gt;0,I1250,تاريخ_الاحتساب)))</f>
        <v/>
      </c>
      <c r="K1250" s="34" t="str">
        <f aca="false">IF($G1250="","",IF(AND(H1250=0,I1250=0),"جارية","مغلقة"))</f>
        <v/>
      </c>
      <c r="L1250" s="26" t="str">
        <f aca="false">IF($G1250="","",MAX(0,NETWORKDAYS.INTL($E1250,J1250,رمز_العطلة,أيام_الأجازات)-1))</f>
        <v/>
      </c>
      <c r="M1250" s="26" t="str">
        <f aca="false">IF($G1250="","",MAX(0,L1250-مهلة_المراجعة))</f>
        <v/>
      </c>
      <c r="N1250" s="30" t="str">
        <f aca="false">IF($A1250="",IF(OR($D1250&lt;&gt;"",$E1250&lt;&gt;""),"رقم المخرج ناقص",""),IF(ISNA(MATCH($A1250,قائمة_المخرجات,0)),"رقم مخرج غير موجود",IF($D1250="","نوع الحركة ناقص",IF(NOT(ISNUMBER($E1250)),"التاريخ ناقص",IF($E1250&gt;تاريخ_الاحتساب,"تاريخ بعد تاريخ الاحتساب",IF(AND($D1250&lt;&gt;"تسليم",COUNTIFS($A$5:$A$1504,$A1250,$D$5:$D$1504,"تسليم",$E$5:$E$1504,"&lt;="&amp;$E1250)=0),"لا يوجد تسليم قبل الحركة دي",""))))))</f>
        <v/>
      </c>
    </row>
    <row r="1251" customFormat="false" ht="15" hidden="false" customHeight="false" outlineLevel="0" collapsed="false">
      <c r="A1251" s="20"/>
      <c r="B1251" s="35" t="str">
        <f aca="false">IF($A1251="","",IFERROR(INDEX(مخرج_البند,MATCH($A1251,قائمة_المخرجات,0)),""))</f>
        <v/>
      </c>
      <c r="C1251" s="30" t="str">
        <f aca="false">IF($A1251="","",IFERROR(INDEX(مخرج_الوصف,MATCH($A1251,قائمة_المخرجات,0)),""))</f>
        <v/>
      </c>
      <c r="D1251" s="20"/>
      <c r="E1251" s="31"/>
      <c r="F1251" s="22"/>
      <c r="G1251" s="36" t="str">
        <f aca="false">IF(OR($A1251="",$D1251&lt;&gt;"تسليم",NOT(ISNUMBER($E1251))),"",COUNTIFS($A$5:$A$1504,$A1251,$D$5:$D$1504,"تسليم",$E$5:$E$1504,"&lt;"&amp;$E1251)+1)</f>
        <v/>
      </c>
      <c r="H1251" s="33" t="str">
        <f aca="false">IF($G1251="","",_xlfn.MINIFS($E$5:$E$1504,$A$5:$A$1504,$A1251,$D$5:$D$1504,"&lt;&gt;تسليم",$E$5:$E$1504,"&gt;="&amp;$E1251))</f>
        <v/>
      </c>
      <c r="I1251" s="33" t="str">
        <f aca="false">IF($G1251="","",_xlfn.MINIFS($E$5:$E$1504,$A$5:$A$1504,$A1251,$D$5:$D$1504,"تسليم",$E$5:$E$1504,"&gt;"&amp;$E1251))</f>
        <v/>
      </c>
      <c r="J1251" s="33" t="str">
        <f aca="false">IF($G1251="","",IF(H1251&gt;0,IF(I1251&gt;0,MIN(H1251,I1251),H1251),IF(I1251&gt;0,I1251,تاريخ_الاحتساب)))</f>
        <v/>
      </c>
      <c r="K1251" s="34" t="str">
        <f aca="false">IF($G1251="","",IF(AND(H1251=0,I1251=0),"جارية","مغلقة"))</f>
        <v/>
      </c>
      <c r="L1251" s="26" t="str">
        <f aca="false">IF($G1251="","",MAX(0,NETWORKDAYS.INTL($E1251,J1251,رمز_العطلة,أيام_الأجازات)-1))</f>
        <v/>
      </c>
      <c r="M1251" s="26" t="str">
        <f aca="false">IF($G1251="","",MAX(0,L1251-مهلة_المراجعة))</f>
        <v/>
      </c>
      <c r="N1251" s="30" t="str">
        <f aca="false">IF($A1251="",IF(OR($D1251&lt;&gt;"",$E1251&lt;&gt;""),"رقم المخرج ناقص",""),IF(ISNA(MATCH($A1251,قائمة_المخرجات,0)),"رقم مخرج غير موجود",IF($D1251="","نوع الحركة ناقص",IF(NOT(ISNUMBER($E1251)),"التاريخ ناقص",IF($E1251&gt;تاريخ_الاحتساب,"تاريخ بعد تاريخ الاحتساب",IF(AND($D1251&lt;&gt;"تسليم",COUNTIFS($A$5:$A$1504,$A1251,$D$5:$D$1504,"تسليم",$E$5:$E$1504,"&lt;="&amp;$E1251)=0),"لا يوجد تسليم قبل الحركة دي",""))))))</f>
        <v/>
      </c>
    </row>
    <row r="1252" customFormat="false" ht="15" hidden="false" customHeight="false" outlineLevel="0" collapsed="false">
      <c r="A1252" s="20"/>
      <c r="B1252" s="35" t="str">
        <f aca="false">IF($A1252="","",IFERROR(INDEX(مخرج_البند,MATCH($A1252,قائمة_المخرجات,0)),""))</f>
        <v/>
      </c>
      <c r="C1252" s="30" t="str">
        <f aca="false">IF($A1252="","",IFERROR(INDEX(مخرج_الوصف,MATCH($A1252,قائمة_المخرجات,0)),""))</f>
        <v/>
      </c>
      <c r="D1252" s="20"/>
      <c r="E1252" s="31"/>
      <c r="F1252" s="22"/>
      <c r="G1252" s="36" t="str">
        <f aca="false">IF(OR($A1252="",$D1252&lt;&gt;"تسليم",NOT(ISNUMBER($E1252))),"",COUNTIFS($A$5:$A$1504,$A1252,$D$5:$D$1504,"تسليم",$E$5:$E$1504,"&lt;"&amp;$E1252)+1)</f>
        <v/>
      </c>
      <c r="H1252" s="33" t="str">
        <f aca="false">IF($G1252="","",_xlfn.MINIFS($E$5:$E$1504,$A$5:$A$1504,$A1252,$D$5:$D$1504,"&lt;&gt;تسليم",$E$5:$E$1504,"&gt;="&amp;$E1252))</f>
        <v/>
      </c>
      <c r="I1252" s="33" t="str">
        <f aca="false">IF($G1252="","",_xlfn.MINIFS($E$5:$E$1504,$A$5:$A$1504,$A1252,$D$5:$D$1504,"تسليم",$E$5:$E$1504,"&gt;"&amp;$E1252))</f>
        <v/>
      </c>
      <c r="J1252" s="33" t="str">
        <f aca="false">IF($G1252="","",IF(H1252&gt;0,IF(I1252&gt;0,MIN(H1252,I1252),H1252),IF(I1252&gt;0,I1252,تاريخ_الاحتساب)))</f>
        <v/>
      </c>
      <c r="K1252" s="34" t="str">
        <f aca="false">IF($G1252="","",IF(AND(H1252=0,I1252=0),"جارية","مغلقة"))</f>
        <v/>
      </c>
      <c r="L1252" s="26" t="str">
        <f aca="false">IF($G1252="","",MAX(0,NETWORKDAYS.INTL($E1252,J1252,رمز_العطلة,أيام_الأجازات)-1))</f>
        <v/>
      </c>
      <c r="M1252" s="26" t="str">
        <f aca="false">IF($G1252="","",MAX(0,L1252-مهلة_المراجعة))</f>
        <v/>
      </c>
      <c r="N1252" s="30" t="str">
        <f aca="false">IF($A1252="",IF(OR($D1252&lt;&gt;"",$E1252&lt;&gt;""),"رقم المخرج ناقص",""),IF(ISNA(MATCH($A1252,قائمة_المخرجات,0)),"رقم مخرج غير موجود",IF($D1252="","نوع الحركة ناقص",IF(NOT(ISNUMBER($E1252)),"التاريخ ناقص",IF($E1252&gt;تاريخ_الاحتساب,"تاريخ بعد تاريخ الاحتساب",IF(AND($D1252&lt;&gt;"تسليم",COUNTIFS($A$5:$A$1504,$A1252,$D$5:$D$1504,"تسليم",$E$5:$E$1504,"&lt;="&amp;$E1252)=0),"لا يوجد تسليم قبل الحركة دي",""))))))</f>
        <v/>
      </c>
    </row>
    <row r="1253" customFormat="false" ht="15" hidden="false" customHeight="false" outlineLevel="0" collapsed="false">
      <c r="A1253" s="20"/>
      <c r="B1253" s="35" t="str">
        <f aca="false">IF($A1253="","",IFERROR(INDEX(مخرج_البند,MATCH($A1253,قائمة_المخرجات,0)),""))</f>
        <v/>
      </c>
      <c r="C1253" s="30" t="str">
        <f aca="false">IF($A1253="","",IFERROR(INDEX(مخرج_الوصف,MATCH($A1253,قائمة_المخرجات,0)),""))</f>
        <v/>
      </c>
      <c r="D1253" s="20"/>
      <c r="E1253" s="31"/>
      <c r="F1253" s="22"/>
      <c r="G1253" s="36" t="str">
        <f aca="false">IF(OR($A1253="",$D1253&lt;&gt;"تسليم",NOT(ISNUMBER($E1253))),"",COUNTIFS($A$5:$A$1504,$A1253,$D$5:$D$1504,"تسليم",$E$5:$E$1504,"&lt;"&amp;$E1253)+1)</f>
        <v/>
      </c>
      <c r="H1253" s="33" t="str">
        <f aca="false">IF($G1253="","",_xlfn.MINIFS($E$5:$E$1504,$A$5:$A$1504,$A1253,$D$5:$D$1504,"&lt;&gt;تسليم",$E$5:$E$1504,"&gt;="&amp;$E1253))</f>
        <v/>
      </c>
      <c r="I1253" s="33" t="str">
        <f aca="false">IF($G1253="","",_xlfn.MINIFS($E$5:$E$1504,$A$5:$A$1504,$A1253,$D$5:$D$1504,"تسليم",$E$5:$E$1504,"&gt;"&amp;$E1253))</f>
        <v/>
      </c>
      <c r="J1253" s="33" t="str">
        <f aca="false">IF($G1253="","",IF(H1253&gt;0,IF(I1253&gt;0,MIN(H1253,I1253),H1253),IF(I1253&gt;0,I1253,تاريخ_الاحتساب)))</f>
        <v/>
      </c>
      <c r="K1253" s="34" t="str">
        <f aca="false">IF($G1253="","",IF(AND(H1253=0,I1253=0),"جارية","مغلقة"))</f>
        <v/>
      </c>
      <c r="L1253" s="26" t="str">
        <f aca="false">IF($G1253="","",MAX(0,NETWORKDAYS.INTL($E1253,J1253,رمز_العطلة,أيام_الأجازات)-1))</f>
        <v/>
      </c>
      <c r="M1253" s="26" t="str">
        <f aca="false">IF($G1253="","",MAX(0,L1253-مهلة_المراجعة))</f>
        <v/>
      </c>
      <c r="N1253" s="30" t="str">
        <f aca="false">IF($A1253="",IF(OR($D1253&lt;&gt;"",$E1253&lt;&gt;""),"رقم المخرج ناقص",""),IF(ISNA(MATCH($A1253,قائمة_المخرجات,0)),"رقم مخرج غير موجود",IF($D1253="","نوع الحركة ناقص",IF(NOT(ISNUMBER($E1253)),"التاريخ ناقص",IF($E1253&gt;تاريخ_الاحتساب,"تاريخ بعد تاريخ الاحتساب",IF(AND($D1253&lt;&gt;"تسليم",COUNTIFS($A$5:$A$1504,$A1253,$D$5:$D$1504,"تسليم",$E$5:$E$1504,"&lt;="&amp;$E1253)=0),"لا يوجد تسليم قبل الحركة دي",""))))))</f>
        <v/>
      </c>
    </row>
    <row r="1254" customFormat="false" ht="15" hidden="false" customHeight="false" outlineLevel="0" collapsed="false">
      <c r="A1254" s="20"/>
      <c r="B1254" s="35" t="str">
        <f aca="false">IF($A1254="","",IFERROR(INDEX(مخرج_البند,MATCH($A1254,قائمة_المخرجات,0)),""))</f>
        <v/>
      </c>
      <c r="C1254" s="30" t="str">
        <f aca="false">IF($A1254="","",IFERROR(INDEX(مخرج_الوصف,MATCH($A1254,قائمة_المخرجات,0)),""))</f>
        <v/>
      </c>
      <c r="D1254" s="20"/>
      <c r="E1254" s="31"/>
      <c r="F1254" s="22"/>
      <c r="G1254" s="36" t="str">
        <f aca="false">IF(OR($A1254="",$D1254&lt;&gt;"تسليم",NOT(ISNUMBER($E1254))),"",COUNTIFS($A$5:$A$1504,$A1254,$D$5:$D$1504,"تسليم",$E$5:$E$1504,"&lt;"&amp;$E1254)+1)</f>
        <v/>
      </c>
      <c r="H1254" s="33" t="str">
        <f aca="false">IF($G1254="","",_xlfn.MINIFS($E$5:$E$1504,$A$5:$A$1504,$A1254,$D$5:$D$1504,"&lt;&gt;تسليم",$E$5:$E$1504,"&gt;="&amp;$E1254))</f>
        <v/>
      </c>
      <c r="I1254" s="33" t="str">
        <f aca="false">IF($G1254="","",_xlfn.MINIFS($E$5:$E$1504,$A$5:$A$1504,$A1254,$D$5:$D$1504,"تسليم",$E$5:$E$1504,"&gt;"&amp;$E1254))</f>
        <v/>
      </c>
      <c r="J1254" s="33" t="str">
        <f aca="false">IF($G1254="","",IF(H1254&gt;0,IF(I1254&gt;0,MIN(H1254,I1254),H1254),IF(I1254&gt;0,I1254,تاريخ_الاحتساب)))</f>
        <v/>
      </c>
      <c r="K1254" s="34" t="str">
        <f aca="false">IF($G1254="","",IF(AND(H1254=0,I1254=0),"جارية","مغلقة"))</f>
        <v/>
      </c>
      <c r="L1254" s="26" t="str">
        <f aca="false">IF($G1254="","",MAX(0,NETWORKDAYS.INTL($E1254,J1254,رمز_العطلة,أيام_الأجازات)-1))</f>
        <v/>
      </c>
      <c r="M1254" s="26" t="str">
        <f aca="false">IF($G1254="","",MAX(0,L1254-مهلة_المراجعة))</f>
        <v/>
      </c>
      <c r="N1254" s="30" t="str">
        <f aca="false">IF($A1254="",IF(OR($D1254&lt;&gt;"",$E1254&lt;&gt;""),"رقم المخرج ناقص",""),IF(ISNA(MATCH($A1254,قائمة_المخرجات,0)),"رقم مخرج غير موجود",IF($D1254="","نوع الحركة ناقص",IF(NOT(ISNUMBER($E1254)),"التاريخ ناقص",IF($E1254&gt;تاريخ_الاحتساب,"تاريخ بعد تاريخ الاحتساب",IF(AND($D1254&lt;&gt;"تسليم",COUNTIFS($A$5:$A$1504,$A1254,$D$5:$D$1504,"تسليم",$E$5:$E$1504,"&lt;="&amp;$E1254)=0),"لا يوجد تسليم قبل الحركة دي",""))))))</f>
        <v/>
      </c>
    </row>
    <row r="1255" customFormat="false" ht="15" hidden="false" customHeight="false" outlineLevel="0" collapsed="false">
      <c r="A1255" s="20"/>
      <c r="B1255" s="35" t="str">
        <f aca="false">IF($A1255="","",IFERROR(INDEX(مخرج_البند,MATCH($A1255,قائمة_المخرجات,0)),""))</f>
        <v/>
      </c>
      <c r="C1255" s="30" t="str">
        <f aca="false">IF($A1255="","",IFERROR(INDEX(مخرج_الوصف,MATCH($A1255,قائمة_المخرجات,0)),""))</f>
        <v/>
      </c>
      <c r="D1255" s="20"/>
      <c r="E1255" s="31"/>
      <c r="F1255" s="22"/>
      <c r="G1255" s="36" t="str">
        <f aca="false">IF(OR($A1255="",$D1255&lt;&gt;"تسليم",NOT(ISNUMBER($E1255))),"",COUNTIFS($A$5:$A$1504,$A1255,$D$5:$D$1504,"تسليم",$E$5:$E$1504,"&lt;"&amp;$E1255)+1)</f>
        <v/>
      </c>
      <c r="H1255" s="33" t="str">
        <f aca="false">IF($G1255="","",_xlfn.MINIFS($E$5:$E$1504,$A$5:$A$1504,$A1255,$D$5:$D$1504,"&lt;&gt;تسليم",$E$5:$E$1504,"&gt;="&amp;$E1255))</f>
        <v/>
      </c>
      <c r="I1255" s="33" t="str">
        <f aca="false">IF($G1255="","",_xlfn.MINIFS($E$5:$E$1504,$A$5:$A$1504,$A1255,$D$5:$D$1504,"تسليم",$E$5:$E$1504,"&gt;"&amp;$E1255))</f>
        <v/>
      </c>
      <c r="J1255" s="33" t="str">
        <f aca="false">IF($G1255="","",IF(H1255&gt;0,IF(I1255&gt;0,MIN(H1255,I1255),H1255),IF(I1255&gt;0,I1255,تاريخ_الاحتساب)))</f>
        <v/>
      </c>
      <c r="K1255" s="34" t="str">
        <f aca="false">IF($G1255="","",IF(AND(H1255=0,I1255=0),"جارية","مغلقة"))</f>
        <v/>
      </c>
      <c r="L1255" s="26" t="str">
        <f aca="false">IF($G1255="","",MAX(0,NETWORKDAYS.INTL($E1255,J1255,رمز_العطلة,أيام_الأجازات)-1))</f>
        <v/>
      </c>
      <c r="M1255" s="26" t="str">
        <f aca="false">IF($G1255="","",MAX(0,L1255-مهلة_المراجعة))</f>
        <v/>
      </c>
      <c r="N1255" s="30" t="str">
        <f aca="false">IF($A1255="",IF(OR($D1255&lt;&gt;"",$E1255&lt;&gt;""),"رقم المخرج ناقص",""),IF(ISNA(MATCH($A1255,قائمة_المخرجات,0)),"رقم مخرج غير موجود",IF($D1255="","نوع الحركة ناقص",IF(NOT(ISNUMBER($E1255)),"التاريخ ناقص",IF($E1255&gt;تاريخ_الاحتساب,"تاريخ بعد تاريخ الاحتساب",IF(AND($D1255&lt;&gt;"تسليم",COUNTIFS($A$5:$A$1504,$A1255,$D$5:$D$1504,"تسليم",$E$5:$E$1504,"&lt;="&amp;$E1255)=0),"لا يوجد تسليم قبل الحركة دي",""))))))</f>
        <v/>
      </c>
    </row>
    <row r="1256" customFormat="false" ht="15" hidden="false" customHeight="false" outlineLevel="0" collapsed="false">
      <c r="A1256" s="20"/>
      <c r="B1256" s="35" t="str">
        <f aca="false">IF($A1256="","",IFERROR(INDEX(مخرج_البند,MATCH($A1256,قائمة_المخرجات,0)),""))</f>
        <v/>
      </c>
      <c r="C1256" s="30" t="str">
        <f aca="false">IF($A1256="","",IFERROR(INDEX(مخرج_الوصف,MATCH($A1256,قائمة_المخرجات,0)),""))</f>
        <v/>
      </c>
      <c r="D1256" s="20"/>
      <c r="E1256" s="31"/>
      <c r="F1256" s="22"/>
      <c r="G1256" s="36" t="str">
        <f aca="false">IF(OR($A1256="",$D1256&lt;&gt;"تسليم",NOT(ISNUMBER($E1256))),"",COUNTIFS($A$5:$A$1504,$A1256,$D$5:$D$1504,"تسليم",$E$5:$E$1504,"&lt;"&amp;$E1256)+1)</f>
        <v/>
      </c>
      <c r="H1256" s="33" t="str">
        <f aca="false">IF($G1256="","",_xlfn.MINIFS($E$5:$E$1504,$A$5:$A$1504,$A1256,$D$5:$D$1504,"&lt;&gt;تسليم",$E$5:$E$1504,"&gt;="&amp;$E1256))</f>
        <v/>
      </c>
      <c r="I1256" s="33" t="str">
        <f aca="false">IF($G1256="","",_xlfn.MINIFS($E$5:$E$1504,$A$5:$A$1504,$A1256,$D$5:$D$1504,"تسليم",$E$5:$E$1504,"&gt;"&amp;$E1256))</f>
        <v/>
      </c>
      <c r="J1256" s="33" t="str">
        <f aca="false">IF($G1256="","",IF(H1256&gt;0,IF(I1256&gt;0,MIN(H1256,I1256),H1256),IF(I1256&gt;0,I1256,تاريخ_الاحتساب)))</f>
        <v/>
      </c>
      <c r="K1256" s="34" t="str">
        <f aca="false">IF($G1256="","",IF(AND(H1256=0,I1256=0),"جارية","مغلقة"))</f>
        <v/>
      </c>
      <c r="L1256" s="26" t="str">
        <f aca="false">IF($G1256="","",MAX(0,NETWORKDAYS.INTL($E1256,J1256,رمز_العطلة,أيام_الأجازات)-1))</f>
        <v/>
      </c>
      <c r="M1256" s="26" t="str">
        <f aca="false">IF($G1256="","",MAX(0,L1256-مهلة_المراجعة))</f>
        <v/>
      </c>
      <c r="N1256" s="30" t="str">
        <f aca="false">IF($A1256="",IF(OR($D1256&lt;&gt;"",$E1256&lt;&gt;""),"رقم المخرج ناقص",""),IF(ISNA(MATCH($A1256,قائمة_المخرجات,0)),"رقم مخرج غير موجود",IF($D1256="","نوع الحركة ناقص",IF(NOT(ISNUMBER($E1256)),"التاريخ ناقص",IF($E1256&gt;تاريخ_الاحتساب,"تاريخ بعد تاريخ الاحتساب",IF(AND($D1256&lt;&gt;"تسليم",COUNTIFS($A$5:$A$1504,$A1256,$D$5:$D$1504,"تسليم",$E$5:$E$1504,"&lt;="&amp;$E1256)=0),"لا يوجد تسليم قبل الحركة دي",""))))))</f>
        <v/>
      </c>
    </row>
    <row r="1257" customFormat="false" ht="15" hidden="false" customHeight="false" outlineLevel="0" collapsed="false">
      <c r="A1257" s="20"/>
      <c r="B1257" s="35" t="str">
        <f aca="false">IF($A1257="","",IFERROR(INDEX(مخرج_البند,MATCH($A1257,قائمة_المخرجات,0)),""))</f>
        <v/>
      </c>
      <c r="C1257" s="30" t="str">
        <f aca="false">IF($A1257="","",IFERROR(INDEX(مخرج_الوصف,MATCH($A1257,قائمة_المخرجات,0)),""))</f>
        <v/>
      </c>
      <c r="D1257" s="20"/>
      <c r="E1257" s="31"/>
      <c r="F1257" s="22"/>
      <c r="G1257" s="36" t="str">
        <f aca="false">IF(OR($A1257="",$D1257&lt;&gt;"تسليم",NOT(ISNUMBER($E1257))),"",COUNTIFS($A$5:$A$1504,$A1257,$D$5:$D$1504,"تسليم",$E$5:$E$1504,"&lt;"&amp;$E1257)+1)</f>
        <v/>
      </c>
      <c r="H1257" s="33" t="str">
        <f aca="false">IF($G1257="","",_xlfn.MINIFS($E$5:$E$1504,$A$5:$A$1504,$A1257,$D$5:$D$1504,"&lt;&gt;تسليم",$E$5:$E$1504,"&gt;="&amp;$E1257))</f>
        <v/>
      </c>
      <c r="I1257" s="33" t="str">
        <f aca="false">IF($G1257="","",_xlfn.MINIFS($E$5:$E$1504,$A$5:$A$1504,$A1257,$D$5:$D$1504,"تسليم",$E$5:$E$1504,"&gt;"&amp;$E1257))</f>
        <v/>
      </c>
      <c r="J1257" s="33" t="str">
        <f aca="false">IF($G1257="","",IF(H1257&gt;0,IF(I1257&gt;0,MIN(H1257,I1257),H1257),IF(I1257&gt;0,I1257,تاريخ_الاحتساب)))</f>
        <v/>
      </c>
      <c r="K1257" s="34" t="str">
        <f aca="false">IF($G1257="","",IF(AND(H1257=0,I1257=0),"جارية","مغلقة"))</f>
        <v/>
      </c>
      <c r="L1257" s="26" t="str">
        <f aca="false">IF($G1257="","",MAX(0,NETWORKDAYS.INTL($E1257,J1257,رمز_العطلة,أيام_الأجازات)-1))</f>
        <v/>
      </c>
      <c r="M1257" s="26" t="str">
        <f aca="false">IF($G1257="","",MAX(0,L1257-مهلة_المراجعة))</f>
        <v/>
      </c>
      <c r="N1257" s="30" t="str">
        <f aca="false">IF($A1257="",IF(OR($D1257&lt;&gt;"",$E1257&lt;&gt;""),"رقم المخرج ناقص",""),IF(ISNA(MATCH($A1257,قائمة_المخرجات,0)),"رقم مخرج غير موجود",IF($D1257="","نوع الحركة ناقص",IF(NOT(ISNUMBER($E1257)),"التاريخ ناقص",IF($E1257&gt;تاريخ_الاحتساب,"تاريخ بعد تاريخ الاحتساب",IF(AND($D1257&lt;&gt;"تسليم",COUNTIFS($A$5:$A$1504,$A1257,$D$5:$D$1504,"تسليم",$E$5:$E$1504,"&lt;="&amp;$E1257)=0),"لا يوجد تسليم قبل الحركة دي",""))))))</f>
        <v/>
      </c>
    </row>
    <row r="1258" customFormat="false" ht="15" hidden="false" customHeight="false" outlineLevel="0" collapsed="false">
      <c r="A1258" s="20"/>
      <c r="B1258" s="35" t="str">
        <f aca="false">IF($A1258="","",IFERROR(INDEX(مخرج_البند,MATCH($A1258,قائمة_المخرجات,0)),""))</f>
        <v/>
      </c>
      <c r="C1258" s="30" t="str">
        <f aca="false">IF($A1258="","",IFERROR(INDEX(مخرج_الوصف,MATCH($A1258,قائمة_المخرجات,0)),""))</f>
        <v/>
      </c>
      <c r="D1258" s="20"/>
      <c r="E1258" s="31"/>
      <c r="F1258" s="22"/>
      <c r="G1258" s="36" t="str">
        <f aca="false">IF(OR($A1258="",$D1258&lt;&gt;"تسليم",NOT(ISNUMBER($E1258))),"",COUNTIFS($A$5:$A$1504,$A1258,$D$5:$D$1504,"تسليم",$E$5:$E$1504,"&lt;"&amp;$E1258)+1)</f>
        <v/>
      </c>
      <c r="H1258" s="33" t="str">
        <f aca="false">IF($G1258="","",_xlfn.MINIFS($E$5:$E$1504,$A$5:$A$1504,$A1258,$D$5:$D$1504,"&lt;&gt;تسليم",$E$5:$E$1504,"&gt;="&amp;$E1258))</f>
        <v/>
      </c>
      <c r="I1258" s="33" t="str">
        <f aca="false">IF($G1258="","",_xlfn.MINIFS($E$5:$E$1504,$A$5:$A$1504,$A1258,$D$5:$D$1504,"تسليم",$E$5:$E$1504,"&gt;"&amp;$E1258))</f>
        <v/>
      </c>
      <c r="J1258" s="33" t="str">
        <f aca="false">IF($G1258="","",IF(H1258&gt;0,IF(I1258&gt;0,MIN(H1258,I1258),H1258),IF(I1258&gt;0,I1258,تاريخ_الاحتساب)))</f>
        <v/>
      </c>
      <c r="K1258" s="34" t="str">
        <f aca="false">IF($G1258="","",IF(AND(H1258=0,I1258=0),"جارية","مغلقة"))</f>
        <v/>
      </c>
      <c r="L1258" s="26" t="str">
        <f aca="false">IF($G1258="","",MAX(0,NETWORKDAYS.INTL($E1258,J1258,رمز_العطلة,أيام_الأجازات)-1))</f>
        <v/>
      </c>
      <c r="M1258" s="26" t="str">
        <f aca="false">IF($G1258="","",MAX(0,L1258-مهلة_المراجعة))</f>
        <v/>
      </c>
      <c r="N1258" s="30" t="str">
        <f aca="false">IF($A1258="",IF(OR($D1258&lt;&gt;"",$E1258&lt;&gt;""),"رقم المخرج ناقص",""),IF(ISNA(MATCH($A1258,قائمة_المخرجات,0)),"رقم مخرج غير موجود",IF($D1258="","نوع الحركة ناقص",IF(NOT(ISNUMBER($E1258)),"التاريخ ناقص",IF($E1258&gt;تاريخ_الاحتساب,"تاريخ بعد تاريخ الاحتساب",IF(AND($D1258&lt;&gt;"تسليم",COUNTIFS($A$5:$A$1504,$A1258,$D$5:$D$1504,"تسليم",$E$5:$E$1504,"&lt;="&amp;$E1258)=0),"لا يوجد تسليم قبل الحركة دي",""))))))</f>
        <v/>
      </c>
    </row>
    <row r="1259" customFormat="false" ht="15" hidden="false" customHeight="false" outlineLevel="0" collapsed="false">
      <c r="A1259" s="20"/>
      <c r="B1259" s="35" t="str">
        <f aca="false">IF($A1259="","",IFERROR(INDEX(مخرج_البند,MATCH($A1259,قائمة_المخرجات,0)),""))</f>
        <v/>
      </c>
      <c r="C1259" s="30" t="str">
        <f aca="false">IF($A1259="","",IFERROR(INDEX(مخرج_الوصف,MATCH($A1259,قائمة_المخرجات,0)),""))</f>
        <v/>
      </c>
      <c r="D1259" s="20"/>
      <c r="E1259" s="31"/>
      <c r="F1259" s="22"/>
      <c r="G1259" s="36" t="str">
        <f aca="false">IF(OR($A1259="",$D1259&lt;&gt;"تسليم",NOT(ISNUMBER($E1259))),"",COUNTIFS($A$5:$A$1504,$A1259,$D$5:$D$1504,"تسليم",$E$5:$E$1504,"&lt;"&amp;$E1259)+1)</f>
        <v/>
      </c>
      <c r="H1259" s="33" t="str">
        <f aca="false">IF($G1259="","",_xlfn.MINIFS($E$5:$E$1504,$A$5:$A$1504,$A1259,$D$5:$D$1504,"&lt;&gt;تسليم",$E$5:$E$1504,"&gt;="&amp;$E1259))</f>
        <v/>
      </c>
      <c r="I1259" s="33" t="str">
        <f aca="false">IF($G1259="","",_xlfn.MINIFS($E$5:$E$1504,$A$5:$A$1504,$A1259,$D$5:$D$1504,"تسليم",$E$5:$E$1504,"&gt;"&amp;$E1259))</f>
        <v/>
      </c>
      <c r="J1259" s="33" t="str">
        <f aca="false">IF($G1259="","",IF(H1259&gt;0,IF(I1259&gt;0,MIN(H1259,I1259),H1259),IF(I1259&gt;0,I1259,تاريخ_الاحتساب)))</f>
        <v/>
      </c>
      <c r="K1259" s="34" t="str">
        <f aca="false">IF($G1259="","",IF(AND(H1259=0,I1259=0),"جارية","مغلقة"))</f>
        <v/>
      </c>
      <c r="L1259" s="26" t="str">
        <f aca="false">IF($G1259="","",MAX(0,NETWORKDAYS.INTL($E1259,J1259,رمز_العطلة,أيام_الأجازات)-1))</f>
        <v/>
      </c>
      <c r="M1259" s="26" t="str">
        <f aca="false">IF($G1259="","",MAX(0,L1259-مهلة_المراجعة))</f>
        <v/>
      </c>
      <c r="N1259" s="30" t="str">
        <f aca="false">IF($A1259="",IF(OR($D1259&lt;&gt;"",$E1259&lt;&gt;""),"رقم المخرج ناقص",""),IF(ISNA(MATCH($A1259,قائمة_المخرجات,0)),"رقم مخرج غير موجود",IF($D1259="","نوع الحركة ناقص",IF(NOT(ISNUMBER($E1259)),"التاريخ ناقص",IF($E1259&gt;تاريخ_الاحتساب,"تاريخ بعد تاريخ الاحتساب",IF(AND($D1259&lt;&gt;"تسليم",COUNTIFS($A$5:$A$1504,$A1259,$D$5:$D$1504,"تسليم",$E$5:$E$1504,"&lt;="&amp;$E1259)=0),"لا يوجد تسليم قبل الحركة دي",""))))))</f>
        <v/>
      </c>
    </row>
    <row r="1260" customFormat="false" ht="15" hidden="false" customHeight="false" outlineLevel="0" collapsed="false">
      <c r="A1260" s="20"/>
      <c r="B1260" s="35" t="str">
        <f aca="false">IF($A1260="","",IFERROR(INDEX(مخرج_البند,MATCH($A1260,قائمة_المخرجات,0)),""))</f>
        <v/>
      </c>
      <c r="C1260" s="30" t="str">
        <f aca="false">IF($A1260="","",IFERROR(INDEX(مخرج_الوصف,MATCH($A1260,قائمة_المخرجات,0)),""))</f>
        <v/>
      </c>
      <c r="D1260" s="20"/>
      <c r="E1260" s="31"/>
      <c r="F1260" s="22"/>
      <c r="G1260" s="36" t="str">
        <f aca="false">IF(OR($A1260="",$D1260&lt;&gt;"تسليم",NOT(ISNUMBER($E1260))),"",COUNTIFS($A$5:$A$1504,$A1260,$D$5:$D$1504,"تسليم",$E$5:$E$1504,"&lt;"&amp;$E1260)+1)</f>
        <v/>
      </c>
      <c r="H1260" s="33" t="str">
        <f aca="false">IF($G1260="","",_xlfn.MINIFS($E$5:$E$1504,$A$5:$A$1504,$A1260,$D$5:$D$1504,"&lt;&gt;تسليم",$E$5:$E$1504,"&gt;="&amp;$E1260))</f>
        <v/>
      </c>
      <c r="I1260" s="33" t="str">
        <f aca="false">IF($G1260="","",_xlfn.MINIFS($E$5:$E$1504,$A$5:$A$1504,$A1260,$D$5:$D$1504,"تسليم",$E$5:$E$1504,"&gt;"&amp;$E1260))</f>
        <v/>
      </c>
      <c r="J1260" s="33" t="str">
        <f aca="false">IF($G1260="","",IF(H1260&gt;0,IF(I1260&gt;0,MIN(H1260,I1260),H1260),IF(I1260&gt;0,I1260,تاريخ_الاحتساب)))</f>
        <v/>
      </c>
      <c r="K1260" s="34" t="str">
        <f aca="false">IF($G1260="","",IF(AND(H1260=0,I1260=0),"جارية","مغلقة"))</f>
        <v/>
      </c>
      <c r="L1260" s="26" t="str">
        <f aca="false">IF($G1260="","",MAX(0,NETWORKDAYS.INTL($E1260,J1260,رمز_العطلة,أيام_الأجازات)-1))</f>
        <v/>
      </c>
      <c r="M1260" s="26" t="str">
        <f aca="false">IF($G1260="","",MAX(0,L1260-مهلة_المراجعة))</f>
        <v/>
      </c>
      <c r="N1260" s="30" t="str">
        <f aca="false">IF($A1260="",IF(OR($D1260&lt;&gt;"",$E1260&lt;&gt;""),"رقم المخرج ناقص",""),IF(ISNA(MATCH($A1260,قائمة_المخرجات,0)),"رقم مخرج غير موجود",IF($D1260="","نوع الحركة ناقص",IF(NOT(ISNUMBER($E1260)),"التاريخ ناقص",IF($E1260&gt;تاريخ_الاحتساب,"تاريخ بعد تاريخ الاحتساب",IF(AND($D1260&lt;&gt;"تسليم",COUNTIFS($A$5:$A$1504,$A1260,$D$5:$D$1504,"تسليم",$E$5:$E$1504,"&lt;="&amp;$E1260)=0),"لا يوجد تسليم قبل الحركة دي",""))))))</f>
        <v/>
      </c>
    </row>
    <row r="1261" customFormat="false" ht="15" hidden="false" customHeight="false" outlineLevel="0" collapsed="false">
      <c r="A1261" s="20"/>
      <c r="B1261" s="35" t="str">
        <f aca="false">IF($A1261="","",IFERROR(INDEX(مخرج_البند,MATCH($A1261,قائمة_المخرجات,0)),""))</f>
        <v/>
      </c>
      <c r="C1261" s="30" t="str">
        <f aca="false">IF($A1261="","",IFERROR(INDEX(مخرج_الوصف,MATCH($A1261,قائمة_المخرجات,0)),""))</f>
        <v/>
      </c>
      <c r="D1261" s="20"/>
      <c r="E1261" s="31"/>
      <c r="F1261" s="22"/>
      <c r="G1261" s="36" t="str">
        <f aca="false">IF(OR($A1261="",$D1261&lt;&gt;"تسليم",NOT(ISNUMBER($E1261))),"",COUNTIFS($A$5:$A$1504,$A1261,$D$5:$D$1504,"تسليم",$E$5:$E$1504,"&lt;"&amp;$E1261)+1)</f>
        <v/>
      </c>
      <c r="H1261" s="33" t="str">
        <f aca="false">IF($G1261="","",_xlfn.MINIFS($E$5:$E$1504,$A$5:$A$1504,$A1261,$D$5:$D$1504,"&lt;&gt;تسليم",$E$5:$E$1504,"&gt;="&amp;$E1261))</f>
        <v/>
      </c>
      <c r="I1261" s="33" t="str">
        <f aca="false">IF($G1261="","",_xlfn.MINIFS($E$5:$E$1504,$A$5:$A$1504,$A1261,$D$5:$D$1504,"تسليم",$E$5:$E$1504,"&gt;"&amp;$E1261))</f>
        <v/>
      </c>
      <c r="J1261" s="33" t="str">
        <f aca="false">IF($G1261="","",IF(H1261&gt;0,IF(I1261&gt;0,MIN(H1261,I1261),H1261),IF(I1261&gt;0,I1261,تاريخ_الاحتساب)))</f>
        <v/>
      </c>
      <c r="K1261" s="34" t="str">
        <f aca="false">IF($G1261="","",IF(AND(H1261=0,I1261=0),"جارية","مغلقة"))</f>
        <v/>
      </c>
      <c r="L1261" s="26" t="str">
        <f aca="false">IF($G1261="","",MAX(0,NETWORKDAYS.INTL($E1261,J1261,رمز_العطلة,أيام_الأجازات)-1))</f>
        <v/>
      </c>
      <c r="M1261" s="26" t="str">
        <f aca="false">IF($G1261="","",MAX(0,L1261-مهلة_المراجعة))</f>
        <v/>
      </c>
      <c r="N1261" s="30" t="str">
        <f aca="false">IF($A1261="",IF(OR($D1261&lt;&gt;"",$E1261&lt;&gt;""),"رقم المخرج ناقص",""),IF(ISNA(MATCH($A1261,قائمة_المخرجات,0)),"رقم مخرج غير موجود",IF($D1261="","نوع الحركة ناقص",IF(NOT(ISNUMBER($E1261)),"التاريخ ناقص",IF($E1261&gt;تاريخ_الاحتساب,"تاريخ بعد تاريخ الاحتساب",IF(AND($D1261&lt;&gt;"تسليم",COUNTIFS($A$5:$A$1504,$A1261,$D$5:$D$1504,"تسليم",$E$5:$E$1504,"&lt;="&amp;$E1261)=0),"لا يوجد تسليم قبل الحركة دي",""))))))</f>
        <v/>
      </c>
    </row>
    <row r="1262" customFormat="false" ht="15" hidden="false" customHeight="false" outlineLevel="0" collapsed="false">
      <c r="A1262" s="20"/>
      <c r="B1262" s="35" t="str">
        <f aca="false">IF($A1262="","",IFERROR(INDEX(مخرج_البند,MATCH($A1262,قائمة_المخرجات,0)),""))</f>
        <v/>
      </c>
      <c r="C1262" s="30" t="str">
        <f aca="false">IF($A1262="","",IFERROR(INDEX(مخرج_الوصف,MATCH($A1262,قائمة_المخرجات,0)),""))</f>
        <v/>
      </c>
      <c r="D1262" s="20"/>
      <c r="E1262" s="31"/>
      <c r="F1262" s="22"/>
      <c r="G1262" s="36" t="str">
        <f aca="false">IF(OR($A1262="",$D1262&lt;&gt;"تسليم",NOT(ISNUMBER($E1262))),"",COUNTIFS($A$5:$A$1504,$A1262,$D$5:$D$1504,"تسليم",$E$5:$E$1504,"&lt;"&amp;$E1262)+1)</f>
        <v/>
      </c>
      <c r="H1262" s="33" t="str">
        <f aca="false">IF($G1262="","",_xlfn.MINIFS($E$5:$E$1504,$A$5:$A$1504,$A1262,$D$5:$D$1504,"&lt;&gt;تسليم",$E$5:$E$1504,"&gt;="&amp;$E1262))</f>
        <v/>
      </c>
      <c r="I1262" s="33" t="str">
        <f aca="false">IF($G1262="","",_xlfn.MINIFS($E$5:$E$1504,$A$5:$A$1504,$A1262,$D$5:$D$1504,"تسليم",$E$5:$E$1504,"&gt;"&amp;$E1262))</f>
        <v/>
      </c>
      <c r="J1262" s="33" t="str">
        <f aca="false">IF($G1262="","",IF(H1262&gt;0,IF(I1262&gt;0,MIN(H1262,I1262),H1262),IF(I1262&gt;0,I1262,تاريخ_الاحتساب)))</f>
        <v/>
      </c>
      <c r="K1262" s="34" t="str">
        <f aca="false">IF($G1262="","",IF(AND(H1262=0,I1262=0),"جارية","مغلقة"))</f>
        <v/>
      </c>
      <c r="L1262" s="26" t="str">
        <f aca="false">IF($G1262="","",MAX(0,NETWORKDAYS.INTL($E1262,J1262,رمز_العطلة,أيام_الأجازات)-1))</f>
        <v/>
      </c>
      <c r="M1262" s="26" t="str">
        <f aca="false">IF($G1262="","",MAX(0,L1262-مهلة_المراجعة))</f>
        <v/>
      </c>
      <c r="N1262" s="30" t="str">
        <f aca="false">IF($A1262="",IF(OR($D1262&lt;&gt;"",$E1262&lt;&gt;""),"رقم المخرج ناقص",""),IF(ISNA(MATCH($A1262,قائمة_المخرجات,0)),"رقم مخرج غير موجود",IF($D1262="","نوع الحركة ناقص",IF(NOT(ISNUMBER($E1262)),"التاريخ ناقص",IF($E1262&gt;تاريخ_الاحتساب,"تاريخ بعد تاريخ الاحتساب",IF(AND($D1262&lt;&gt;"تسليم",COUNTIFS($A$5:$A$1504,$A1262,$D$5:$D$1504,"تسليم",$E$5:$E$1504,"&lt;="&amp;$E1262)=0),"لا يوجد تسليم قبل الحركة دي",""))))))</f>
        <v/>
      </c>
    </row>
    <row r="1263" customFormat="false" ht="15" hidden="false" customHeight="false" outlineLevel="0" collapsed="false">
      <c r="A1263" s="20"/>
      <c r="B1263" s="35" t="str">
        <f aca="false">IF($A1263="","",IFERROR(INDEX(مخرج_البند,MATCH($A1263,قائمة_المخرجات,0)),""))</f>
        <v/>
      </c>
      <c r="C1263" s="30" t="str">
        <f aca="false">IF($A1263="","",IFERROR(INDEX(مخرج_الوصف,MATCH($A1263,قائمة_المخرجات,0)),""))</f>
        <v/>
      </c>
      <c r="D1263" s="20"/>
      <c r="E1263" s="31"/>
      <c r="F1263" s="22"/>
      <c r="G1263" s="36" t="str">
        <f aca="false">IF(OR($A1263="",$D1263&lt;&gt;"تسليم",NOT(ISNUMBER($E1263))),"",COUNTIFS($A$5:$A$1504,$A1263,$D$5:$D$1504,"تسليم",$E$5:$E$1504,"&lt;"&amp;$E1263)+1)</f>
        <v/>
      </c>
      <c r="H1263" s="33" t="str">
        <f aca="false">IF($G1263="","",_xlfn.MINIFS($E$5:$E$1504,$A$5:$A$1504,$A1263,$D$5:$D$1504,"&lt;&gt;تسليم",$E$5:$E$1504,"&gt;="&amp;$E1263))</f>
        <v/>
      </c>
      <c r="I1263" s="33" t="str">
        <f aca="false">IF($G1263="","",_xlfn.MINIFS($E$5:$E$1504,$A$5:$A$1504,$A1263,$D$5:$D$1504,"تسليم",$E$5:$E$1504,"&gt;"&amp;$E1263))</f>
        <v/>
      </c>
      <c r="J1263" s="33" t="str">
        <f aca="false">IF($G1263="","",IF(H1263&gt;0,IF(I1263&gt;0,MIN(H1263,I1263),H1263),IF(I1263&gt;0,I1263,تاريخ_الاحتساب)))</f>
        <v/>
      </c>
      <c r="K1263" s="34" t="str">
        <f aca="false">IF($G1263="","",IF(AND(H1263=0,I1263=0),"جارية","مغلقة"))</f>
        <v/>
      </c>
      <c r="L1263" s="26" t="str">
        <f aca="false">IF($G1263="","",MAX(0,NETWORKDAYS.INTL($E1263,J1263,رمز_العطلة,أيام_الأجازات)-1))</f>
        <v/>
      </c>
      <c r="M1263" s="26" t="str">
        <f aca="false">IF($G1263="","",MAX(0,L1263-مهلة_المراجعة))</f>
        <v/>
      </c>
      <c r="N1263" s="30" t="str">
        <f aca="false">IF($A1263="",IF(OR($D1263&lt;&gt;"",$E1263&lt;&gt;""),"رقم المخرج ناقص",""),IF(ISNA(MATCH($A1263,قائمة_المخرجات,0)),"رقم مخرج غير موجود",IF($D1263="","نوع الحركة ناقص",IF(NOT(ISNUMBER($E1263)),"التاريخ ناقص",IF($E1263&gt;تاريخ_الاحتساب,"تاريخ بعد تاريخ الاحتساب",IF(AND($D1263&lt;&gt;"تسليم",COUNTIFS($A$5:$A$1504,$A1263,$D$5:$D$1504,"تسليم",$E$5:$E$1504,"&lt;="&amp;$E1263)=0),"لا يوجد تسليم قبل الحركة دي",""))))))</f>
        <v/>
      </c>
    </row>
    <row r="1264" customFormat="false" ht="15" hidden="false" customHeight="false" outlineLevel="0" collapsed="false">
      <c r="A1264" s="20"/>
      <c r="B1264" s="35" t="str">
        <f aca="false">IF($A1264="","",IFERROR(INDEX(مخرج_البند,MATCH($A1264,قائمة_المخرجات,0)),""))</f>
        <v/>
      </c>
      <c r="C1264" s="30" t="str">
        <f aca="false">IF($A1264="","",IFERROR(INDEX(مخرج_الوصف,MATCH($A1264,قائمة_المخرجات,0)),""))</f>
        <v/>
      </c>
      <c r="D1264" s="20"/>
      <c r="E1264" s="31"/>
      <c r="F1264" s="22"/>
      <c r="G1264" s="36" t="str">
        <f aca="false">IF(OR($A1264="",$D1264&lt;&gt;"تسليم",NOT(ISNUMBER($E1264))),"",COUNTIFS($A$5:$A$1504,$A1264,$D$5:$D$1504,"تسليم",$E$5:$E$1504,"&lt;"&amp;$E1264)+1)</f>
        <v/>
      </c>
      <c r="H1264" s="33" t="str">
        <f aca="false">IF($G1264="","",_xlfn.MINIFS($E$5:$E$1504,$A$5:$A$1504,$A1264,$D$5:$D$1504,"&lt;&gt;تسليم",$E$5:$E$1504,"&gt;="&amp;$E1264))</f>
        <v/>
      </c>
      <c r="I1264" s="33" t="str">
        <f aca="false">IF($G1264="","",_xlfn.MINIFS($E$5:$E$1504,$A$5:$A$1504,$A1264,$D$5:$D$1504,"تسليم",$E$5:$E$1504,"&gt;"&amp;$E1264))</f>
        <v/>
      </c>
      <c r="J1264" s="33" t="str">
        <f aca="false">IF($G1264="","",IF(H1264&gt;0,IF(I1264&gt;0,MIN(H1264,I1264),H1264),IF(I1264&gt;0,I1264,تاريخ_الاحتساب)))</f>
        <v/>
      </c>
      <c r="K1264" s="34" t="str">
        <f aca="false">IF($G1264="","",IF(AND(H1264=0,I1264=0),"جارية","مغلقة"))</f>
        <v/>
      </c>
      <c r="L1264" s="26" t="str">
        <f aca="false">IF($G1264="","",MAX(0,NETWORKDAYS.INTL($E1264,J1264,رمز_العطلة,أيام_الأجازات)-1))</f>
        <v/>
      </c>
      <c r="M1264" s="26" t="str">
        <f aca="false">IF($G1264="","",MAX(0,L1264-مهلة_المراجعة))</f>
        <v/>
      </c>
      <c r="N1264" s="30" t="str">
        <f aca="false">IF($A1264="",IF(OR($D1264&lt;&gt;"",$E1264&lt;&gt;""),"رقم المخرج ناقص",""),IF(ISNA(MATCH($A1264,قائمة_المخرجات,0)),"رقم مخرج غير موجود",IF($D1264="","نوع الحركة ناقص",IF(NOT(ISNUMBER($E1264)),"التاريخ ناقص",IF($E1264&gt;تاريخ_الاحتساب,"تاريخ بعد تاريخ الاحتساب",IF(AND($D1264&lt;&gt;"تسليم",COUNTIFS($A$5:$A$1504,$A1264,$D$5:$D$1504,"تسليم",$E$5:$E$1504,"&lt;="&amp;$E1264)=0),"لا يوجد تسليم قبل الحركة دي",""))))))</f>
        <v/>
      </c>
    </row>
    <row r="1265" customFormat="false" ht="15" hidden="false" customHeight="false" outlineLevel="0" collapsed="false">
      <c r="A1265" s="20"/>
      <c r="B1265" s="35" t="str">
        <f aca="false">IF($A1265="","",IFERROR(INDEX(مخرج_البند,MATCH($A1265,قائمة_المخرجات,0)),""))</f>
        <v/>
      </c>
      <c r="C1265" s="30" t="str">
        <f aca="false">IF($A1265="","",IFERROR(INDEX(مخرج_الوصف,MATCH($A1265,قائمة_المخرجات,0)),""))</f>
        <v/>
      </c>
      <c r="D1265" s="20"/>
      <c r="E1265" s="31"/>
      <c r="F1265" s="22"/>
      <c r="G1265" s="36" t="str">
        <f aca="false">IF(OR($A1265="",$D1265&lt;&gt;"تسليم",NOT(ISNUMBER($E1265))),"",COUNTIFS($A$5:$A$1504,$A1265,$D$5:$D$1504,"تسليم",$E$5:$E$1504,"&lt;"&amp;$E1265)+1)</f>
        <v/>
      </c>
      <c r="H1265" s="33" t="str">
        <f aca="false">IF($G1265="","",_xlfn.MINIFS($E$5:$E$1504,$A$5:$A$1504,$A1265,$D$5:$D$1504,"&lt;&gt;تسليم",$E$5:$E$1504,"&gt;="&amp;$E1265))</f>
        <v/>
      </c>
      <c r="I1265" s="33" t="str">
        <f aca="false">IF($G1265="","",_xlfn.MINIFS($E$5:$E$1504,$A$5:$A$1504,$A1265,$D$5:$D$1504,"تسليم",$E$5:$E$1504,"&gt;"&amp;$E1265))</f>
        <v/>
      </c>
      <c r="J1265" s="33" t="str">
        <f aca="false">IF($G1265="","",IF(H1265&gt;0,IF(I1265&gt;0,MIN(H1265,I1265),H1265),IF(I1265&gt;0,I1265,تاريخ_الاحتساب)))</f>
        <v/>
      </c>
      <c r="K1265" s="34" t="str">
        <f aca="false">IF($G1265="","",IF(AND(H1265=0,I1265=0),"جارية","مغلقة"))</f>
        <v/>
      </c>
      <c r="L1265" s="26" t="str">
        <f aca="false">IF($G1265="","",MAX(0,NETWORKDAYS.INTL($E1265,J1265,رمز_العطلة,أيام_الأجازات)-1))</f>
        <v/>
      </c>
      <c r="M1265" s="26" t="str">
        <f aca="false">IF($G1265="","",MAX(0,L1265-مهلة_المراجعة))</f>
        <v/>
      </c>
      <c r="N1265" s="30" t="str">
        <f aca="false">IF($A1265="",IF(OR($D1265&lt;&gt;"",$E1265&lt;&gt;""),"رقم المخرج ناقص",""),IF(ISNA(MATCH($A1265,قائمة_المخرجات,0)),"رقم مخرج غير موجود",IF($D1265="","نوع الحركة ناقص",IF(NOT(ISNUMBER($E1265)),"التاريخ ناقص",IF($E1265&gt;تاريخ_الاحتساب,"تاريخ بعد تاريخ الاحتساب",IF(AND($D1265&lt;&gt;"تسليم",COUNTIFS($A$5:$A$1504,$A1265,$D$5:$D$1504,"تسليم",$E$5:$E$1504,"&lt;="&amp;$E1265)=0),"لا يوجد تسليم قبل الحركة دي",""))))))</f>
        <v/>
      </c>
    </row>
    <row r="1266" customFormat="false" ht="15" hidden="false" customHeight="false" outlineLevel="0" collapsed="false">
      <c r="A1266" s="20"/>
      <c r="B1266" s="35" t="str">
        <f aca="false">IF($A1266="","",IFERROR(INDEX(مخرج_البند,MATCH($A1266,قائمة_المخرجات,0)),""))</f>
        <v/>
      </c>
      <c r="C1266" s="30" t="str">
        <f aca="false">IF($A1266="","",IFERROR(INDEX(مخرج_الوصف,MATCH($A1266,قائمة_المخرجات,0)),""))</f>
        <v/>
      </c>
      <c r="D1266" s="20"/>
      <c r="E1266" s="31"/>
      <c r="F1266" s="22"/>
      <c r="G1266" s="36" t="str">
        <f aca="false">IF(OR($A1266="",$D1266&lt;&gt;"تسليم",NOT(ISNUMBER($E1266))),"",COUNTIFS($A$5:$A$1504,$A1266,$D$5:$D$1504,"تسليم",$E$5:$E$1504,"&lt;"&amp;$E1266)+1)</f>
        <v/>
      </c>
      <c r="H1266" s="33" t="str">
        <f aca="false">IF($G1266="","",_xlfn.MINIFS($E$5:$E$1504,$A$5:$A$1504,$A1266,$D$5:$D$1504,"&lt;&gt;تسليم",$E$5:$E$1504,"&gt;="&amp;$E1266))</f>
        <v/>
      </c>
      <c r="I1266" s="33" t="str">
        <f aca="false">IF($G1266="","",_xlfn.MINIFS($E$5:$E$1504,$A$5:$A$1504,$A1266,$D$5:$D$1504,"تسليم",$E$5:$E$1504,"&gt;"&amp;$E1266))</f>
        <v/>
      </c>
      <c r="J1266" s="33" t="str">
        <f aca="false">IF($G1266="","",IF(H1266&gt;0,IF(I1266&gt;0,MIN(H1266,I1266),H1266),IF(I1266&gt;0,I1266,تاريخ_الاحتساب)))</f>
        <v/>
      </c>
      <c r="K1266" s="34" t="str">
        <f aca="false">IF($G1266="","",IF(AND(H1266=0,I1266=0),"جارية","مغلقة"))</f>
        <v/>
      </c>
      <c r="L1266" s="26" t="str">
        <f aca="false">IF($G1266="","",MAX(0,NETWORKDAYS.INTL($E1266,J1266,رمز_العطلة,أيام_الأجازات)-1))</f>
        <v/>
      </c>
      <c r="M1266" s="26" t="str">
        <f aca="false">IF($G1266="","",MAX(0,L1266-مهلة_المراجعة))</f>
        <v/>
      </c>
      <c r="N1266" s="30" t="str">
        <f aca="false">IF($A1266="",IF(OR($D1266&lt;&gt;"",$E1266&lt;&gt;""),"رقم المخرج ناقص",""),IF(ISNA(MATCH($A1266,قائمة_المخرجات,0)),"رقم مخرج غير موجود",IF($D1266="","نوع الحركة ناقص",IF(NOT(ISNUMBER($E1266)),"التاريخ ناقص",IF($E1266&gt;تاريخ_الاحتساب,"تاريخ بعد تاريخ الاحتساب",IF(AND($D1266&lt;&gt;"تسليم",COUNTIFS($A$5:$A$1504,$A1266,$D$5:$D$1504,"تسليم",$E$5:$E$1504,"&lt;="&amp;$E1266)=0),"لا يوجد تسليم قبل الحركة دي",""))))))</f>
        <v/>
      </c>
    </row>
    <row r="1267" customFormat="false" ht="15" hidden="false" customHeight="false" outlineLevel="0" collapsed="false">
      <c r="A1267" s="20"/>
      <c r="B1267" s="35" t="str">
        <f aca="false">IF($A1267="","",IFERROR(INDEX(مخرج_البند,MATCH($A1267,قائمة_المخرجات,0)),""))</f>
        <v/>
      </c>
      <c r="C1267" s="30" t="str">
        <f aca="false">IF($A1267="","",IFERROR(INDEX(مخرج_الوصف,MATCH($A1267,قائمة_المخرجات,0)),""))</f>
        <v/>
      </c>
      <c r="D1267" s="20"/>
      <c r="E1267" s="31"/>
      <c r="F1267" s="22"/>
      <c r="G1267" s="36" t="str">
        <f aca="false">IF(OR($A1267="",$D1267&lt;&gt;"تسليم",NOT(ISNUMBER($E1267))),"",COUNTIFS($A$5:$A$1504,$A1267,$D$5:$D$1504,"تسليم",$E$5:$E$1504,"&lt;"&amp;$E1267)+1)</f>
        <v/>
      </c>
      <c r="H1267" s="33" t="str">
        <f aca="false">IF($G1267="","",_xlfn.MINIFS($E$5:$E$1504,$A$5:$A$1504,$A1267,$D$5:$D$1504,"&lt;&gt;تسليم",$E$5:$E$1504,"&gt;="&amp;$E1267))</f>
        <v/>
      </c>
      <c r="I1267" s="33" t="str">
        <f aca="false">IF($G1267="","",_xlfn.MINIFS($E$5:$E$1504,$A$5:$A$1504,$A1267,$D$5:$D$1504,"تسليم",$E$5:$E$1504,"&gt;"&amp;$E1267))</f>
        <v/>
      </c>
      <c r="J1267" s="33" t="str">
        <f aca="false">IF($G1267="","",IF(H1267&gt;0,IF(I1267&gt;0,MIN(H1267,I1267),H1267),IF(I1267&gt;0,I1267,تاريخ_الاحتساب)))</f>
        <v/>
      </c>
      <c r="K1267" s="34" t="str">
        <f aca="false">IF($G1267="","",IF(AND(H1267=0,I1267=0),"جارية","مغلقة"))</f>
        <v/>
      </c>
      <c r="L1267" s="26" t="str">
        <f aca="false">IF($G1267="","",MAX(0,NETWORKDAYS.INTL($E1267,J1267,رمز_العطلة,أيام_الأجازات)-1))</f>
        <v/>
      </c>
      <c r="M1267" s="26" t="str">
        <f aca="false">IF($G1267="","",MAX(0,L1267-مهلة_المراجعة))</f>
        <v/>
      </c>
      <c r="N1267" s="30" t="str">
        <f aca="false">IF($A1267="",IF(OR($D1267&lt;&gt;"",$E1267&lt;&gt;""),"رقم المخرج ناقص",""),IF(ISNA(MATCH($A1267,قائمة_المخرجات,0)),"رقم مخرج غير موجود",IF($D1267="","نوع الحركة ناقص",IF(NOT(ISNUMBER($E1267)),"التاريخ ناقص",IF($E1267&gt;تاريخ_الاحتساب,"تاريخ بعد تاريخ الاحتساب",IF(AND($D1267&lt;&gt;"تسليم",COUNTIFS($A$5:$A$1504,$A1267,$D$5:$D$1504,"تسليم",$E$5:$E$1504,"&lt;="&amp;$E1267)=0),"لا يوجد تسليم قبل الحركة دي",""))))))</f>
        <v/>
      </c>
    </row>
    <row r="1268" customFormat="false" ht="15" hidden="false" customHeight="false" outlineLevel="0" collapsed="false">
      <c r="A1268" s="20"/>
      <c r="B1268" s="35" t="str">
        <f aca="false">IF($A1268="","",IFERROR(INDEX(مخرج_البند,MATCH($A1268,قائمة_المخرجات,0)),""))</f>
        <v/>
      </c>
      <c r="C1268" s="30" t="str">
        <f aca="false">IF($A1268="","",IFERROR(INDEX(مخرج_الوصف,MATCH($A1268,قائمة_المخرجات,0)),""))</f>
        <v/>
      </c>
      <c r="D1268" s="20"/>
      <c r="E1268" s="31"/>
      <c r="F1268" s="22"/>
      <c r="G1268" s="36" t="str">
        <f aca="false">IF(OR($A1268="",$D1268&lt;&gt;"تسليم",NOT(ISNUMBER($E1268))),"",COUNTIFS($A$5:$A$1504,$A1268,$D$5:$D$1504,"تسليم",$E$5:$E$1504,"&lt;"&amp;$E1268)+1)</f>
        <v/>
      </c>
      <c r="H1268" s="33" t="str">
        <f aca="false">IF($G1268="","",_xlfn.MINIFS($E$5:$E$1504,$A$5:$A$1504,$A1268,$D$5:$D$1504,"&lt;&gt;تسليم",$E$5:$E$1504,"&gt;="&amp;$E1268))</f>
        <v/>
      </c>
      <c r="I1268" s="33" t="str">
        <f aca="false">IF($G1268="","",_xlfn.MINIFS($E$5:$E$1504,$A$5:$A$1504,$A1268,$D$5:$D$1504,"تسليم",$E$5:$E$1504,"&gt;"&amp;$E1268))</f>
        <v/>
      </c>
      <c r="J1268" s="33" t="str">
        <f aca="false">IF($G1268="","",IF(H1268&gt;0,IF(I1268&gt;0,MIN(H1268,I1268),H1268),IF(I1268&gt;0,I1268,تاريخ_الاحتساب)))</f>
        <v/>
      </c>
      <c r="K1268" s="34" t="str">
        <f aca="false">IF($G1268="","",IF(AND(H1268=0,I1268=0),"جارية","مغلقة"))</f>
        <v/>
      </c>
      <c r="L1268" s="26" t="str">
        <f aca="false">IF($G1268="","",MAX(0,NETWORKDAYS.INTL($E1268,J1268,رمز_العطلة,أيام_الأجازات)-1))</f>
        <v/>
      </c>
      <c r="M1268" s="26" t="str">
        <f aca="false">IF($G1268="","",MAX(0,L1268-مهلة_المراجعة))</f>
        <v/>
      </c>
      <c r="N1268" s="30" t="str">
        <f aca="false">IF($A1268="",IF(OR($D1268&lt;&gt;"",$E1268&lt;&gt;""),"رقم المخرج ناقص",""),IF(ISNA(MATCH($A1268,قائمة_المخرجات,0)),"رقم مخرج غير موجود",IF($D1268="","نوع الحركة ناقص",IF(NOT(ISNUMBER($E1268)),"التاريخ ناقص",IF($E1268&gt;تاريخ_الاحتساب,"تاريخ بعد تاريخ الاحتساب",IF(AND($D1268&lt;&gt;"تسليم",COUNTIFS($A$5:$A$1504,$A1268,$D$5:$D$1504,"تسليم",$E$5:$E$1504,"&lt;="&amp;$E1268)=0),"لا يوجد تسليم قبل الحركة دي",""))))))</f>
        <v/>
      </c>
    </row>
    <row r="1269" customFormat="false" ht="15" hidden="false" customHeight="false" outlineLevel="0" collapsed="false">
      <c r="A1269" s="20"/>
      <c r="B1269" s="35" t="str">
        <f aca="false">IF($A1269="","",IFERROR(INDEX(مخرج_البند,MATCH($A1269,قائمة_المخرجات,0)),""))</f>
        <v/>
      </c>
      <c r="C1269" s="30" t="str">
        <f aca="false">IF($A1269="","",IFERROR(INDEX(مخرج_الوصف,MATCH($A1269,قائمة_المخرجات,0)),""))</f>
        <v/>
      </c>
      <c r="D1269" s="20"/>
      <c r="E1269" s="31"/>
      <c r="F1269" s="22"/>
      <c r="G1269" s="36" t="str">
        <f aca="false">IF(OR($A1269="",$D1269&lt;&gt;"تسليم",NOT(ISNUMBER($E1269))),"",COUNTIFS($A$5:$A$1504,$A1269,$D$5:$D$1504,"تسليم",$E$5:$E$1504,"&lt;"&amp;$E1269)+1)</f>
        <v/>
      </c>
      <c r="H1269" s="33" t="str">
        <f aca="false">IF($G1269="","",_xlfn.MINIFS($E$5:$E$1504,$A$5:$A$1504,$A1269,$D$5:$D$1504,"&lt;&gt;تسليم",$E$5:$E$1504,"&gt;="&amp;$E1269))</f>
        <v/>
      </c>
      <c r="I1269" s="33" t="str">
        <f aca="false">IF($G1269="","",_xlfn.MINIFS($E$5:$E$1504,$A$5:$A$1504,$A1269,$D$5:$D$1504,"تسليم",$E$5:$E$1504,"&gt;"&amp;$E1269))</f>
        <v/>
      </c>
      <c r="J1269" s="33" t="str">
        <f aca="false">IF($G1269="","",IF(H1269&gt;0,IF(I1269&gt;0,MIN(H1269,I1269),H1269),IF(I1269&gt;0,I1269,تاريخ_الاحتساب)))</f>
        <v/>
      </c>
      <c r="K1269" s="34" t="str">
        <f aca="false">IF($G1269="","",IF(AND(H1269=0,I1269=0),"جارية","مغلقة"))</f>
        <v/>
      </c>
      <c r="L1269" s="26" t="str">
        <f aca="false">IF($G1269="","",MAX(0,NETWORKDAYS.INTL($E1269,J1269,رمز_العطلة,أيام_الأجازات)-1))</f>
        <v/>
      </c>
      <c r="M1269" s="26" t="str">
        <f aca="false">IF($G1269="","",MAX(0,L1269-مهلة_المراجعة))</f>
        <v/>
      </c>
      <c r="N1269" s="30" t="str">
        <f aca="false">IF($A1269="",IF(OR($D1269&lt;&gt;"",$E1269&lt;&gt;""),"رقم المخرج ناقص",""),IF(ISNA(MATCH($A1269,قائمة_المخرجات,0)),"رقم مخرج غير موجود",IF($D1269="","نوع الحركة ناقص",IF(NOT(ISNUMBER($E1269)),"التاريخ ناقص",IF($E1269&gt;تاريخ_الاحتساب,"تاريخ بعد تاريخ الاحتساب",IF(AND($D1269&lt;&gt;"تسليم",COUNTIFS($A$5:$A$1504,$A1269,$D$5:$D$1504,"تسليم",$E$5:$E$1504,"&lt;="&amp;$E1269)=0),"لا يوجد تسليم قبل الحركة دي",""))))))</f>
        <v/>
      </c>
    </row>
    <row r="1270" customFormat="false" ht="15" hidden="false" customHeight="false" outlineLevel="0" collapsed="false">
      <c r="A1270" s="20"/>
      <c r="B1270" s="35" t="str">
        <f aca="false">IF($A1270="","",IFERROR(INDEX(مخرج_البند,MATCH($A1270,قائمة_المخرجات,0)),""))</f>
        <v/>
      </c>
      <c r="C1270" s="30" t="str">
        <f aca="false">IF($A1270="","",IFERROR(INDEX(مخرج_الوصف,MATCH($A1270,قائمة_المخرجات,0)),""))</f>
        <v/>
      </c>
      <c r="D1270" s="20"/>
      <c r="E1270" s="31"/>
      <c r="F1270" s="22"/>
      <c r="G1270" s="36" t="str">
        <f aca="false">IF(OR($A1270="",$D1270&lt;&gt;"تسليم",NOT(ISNUMBER($E1270))),"",COUNTIFS($A$5:$A$1504,$A1270,$D$5:$D$1504,"تسليم",$E$5:$E$1504,"&lt;"&amp;$E1270)+1)</f>
        <v/>
      </c>
      <c r="H1270" s="33" t="str">
        <f aca="false">IF($G1270="","",_xlfn.MINIFS($E$5:$E$1504,$A$5:$A$1504,$A1270,$D$5:$D$1504,"&lt;&gt;تسليم",$E$5:$E$1504,"&gt;="&amp;$E1270))</f>
        <v/>
      </c>
      <c r="I1270" s="33" t="str">
        <f aca="false">IF($G1270="","",_xlfn.MINIFS($E$5:$E$1504,$A$5:$A$1504,$A1270,$D$5:$D$1504,"تسليم",$E$5:$E$1504,"&gt;"&amp;$E1270))</f>
        <v/>
      </c>
      <c r="J1270" s="33" t="str">
        <f aca="false">IF($G1270="","",IF(H1270&gt;0,IF(I1270&gt;0,MIN(H1270,I1270),H1270),IF(I1270&gt;0,I1270,تاريخ_الاحتساب)))</f>
        <v/>
      </c>
      <c r="K1270" s="34" t="str">
        <f aca="false">IF($G1270="","",IF(AND(H1270=0,I1270=0),"جارية","مغلقة"))</f>
        <v/>
      </c>
      <c r="L1270" s="26" t="str">
        <f aca="false">IF($G1270="","",MAX(0,NETWORKDAYS.INTL($E1270,J1270,رمز_العطلة,أيام_الأجازات)-1))</f>
        <v/>
      </c>
      <c r="M1270" s="26" t="str">
        <f aca="false">IF($G1270="","",MAX(0,L1270-مهلة_المراجعة))</f>
        <v/>
      </c>
      <c r="N1270" s="30" t="str">
        <f aca="false">IF($A1270="",IF(OR($D1270&lt;&gt;"",$E1270&lt;&gt;""),"رقم المخرج ناقص",""),IF(ISNA(MATCH($A1270,قائمة_المخرجات,0)),"رقم مخرج غير موجود",IF($D1270="","نوع الحركة ناقص",IF(NOT(ISNUMBER($E1270)),"التاريخ ناقص",IF($E1270&gt;تاريخ_الاحتساب,"تاريخ بعد تاريخ الاحتساب",IF(AND($D1270&lt;&gt;"تسليم",COUNTIFS($A$5:$A$1504,$A1270,$D$5:$D$1504,"تسليم",$E$5:$E$1504,"&lt;="&amp;$E1270)=0),"لا يوجد تسليم قبل الحركة دي",""))))))</f>
        <v/>
      </c>
    </row>
    <row r="1271" customFormat="false" ht="15" hidden="false" customHeight="false" outlineLevel="0" collapsed="false">
      <c r="A1271" s="20"/>
      <c r="B1271" s="35" t="str">
        <f aca="false">IF($A1271="","",IFERROR(INDEX(مخرج_البند,MATCH($A1271,قائمة_المخرجات,0)),""))</f>
        <v/>
      </c>
      <c r="C1271" s="30" t="str">
        <f aca="false">IF($A1271="","",IFERROR(INDEX(مخرج_الوصف,MATCH($A1271,قائمة_المخرجات,0)),""))</f>
        <v/>
      </c>
      <c r="D1271" s="20"/>
      <c r="E1271" s="31"/>
      <c r="F1271" s="22"/>
      <c r="G1271" s="36" t="str">
        <f aca="false">IF(OR($A1271="",$D1271&lt;&gt;"تسليم",NOT(ISNUMBER($E1271))),"",COUNTIFS($A$5:$A$1504,$A1271,$D$5:$D$1504,"تسليم",$E$5:$E$1504,"&lt;"&amp;$E1271)+1)</f>
        <v/>
      </c>
      <c r="H1271" s="33" t="str">
        <f aca="false">IF($G1271="","",_xlfn.MINIFS($E$5:$E$1504,$A$5:$A$1504,$A1271,$D$5:$D$1504,"&lt;&gt;تسليم",$E$5:$E$1504,"&gt;="&amp;$E1271))</f>
        <v/>
      </c>
      <c r="I1271" s="33" t="str">
        <f aca="false">IF($G1271="","",_xlfn.MINIFS($E$5:$E$1504,$A$5:$A$1504,$A1271,$D$5:$D$1504,"تسليم",$E$5:$E$1504,"&gt;"&amp;$E1271))</f>
        <v/>
      </c>
      <c r="J1271" s="33" t="str">
        <f aca="false">IF($G1271="","",IF(H1271&gt;0,IF(I1271&gt;0,MIN(H1271,I1271),H1271),IF(I1271&gt;0,I1271,تاريخ_الاحتساب)))</f>
        <v/>
      </c>
      <c r="K1271" s="34" t="str">
        <f aca="false">IF($G1271="","",IF(AND(H1271=0,I1271=0),"جارية","مغلقة"))</f>
        <v/>
      </c>
      <c r="L1271" s="26" t="str">
        <f aca="false">IF($G1271="","",MAX(0,NETWORKDAYS.INTL($E1271,J1271,رمز_العطلة,أيام_الأجازات)-1))</f>
        <v/>
      </c>
      <c r="M1271" s="26" t="str">
        <f aca="false">IF($G1271="","",MAX(0,L1271-مهلة_المراجعة))</f>
        <v/>
      </c>
      <c r="N1271" s="30" t="str">
        <f aca="false">IF($A1271="",IF(OR($D1271&lt;&gt;"",$E1271&lt;&gt;""),"رقم المخرج ناقص",""),IF(ISNA(MATCH($A1271,قائمة_المخرجات,0)),"رقم مخرج غير موجود",IF($D1271="","نوع الحركة ناقص",IF(NOT(ISNUMBER($E1271)),"التاريخ ناقص",IF($E1271&gt;تاريخ_الاحتساب,"تاريخ بعد تاريخ الاحتساب",IF(AND($D1271&lt;&gt;"تسليم",COUNTIFS($A$5:$A$1504,$A1271,$D$5:$D$1504,"تسليم",$E$5:$E$1504,"&lt;="&amp;$E1271)=0),"لا يوجد تسليم قبل الحركة دي",""))))))</f>
        <v/>
      </c>
    </row>
    <row r="1272" customFormat="false" ht="15" hidden="false" customHeight="false" outlineLevel="0" collapsed="false">
      <c r="A1272" s="20"/>
      <c r="B1272" s="35" t="str">
        <f aca="false">IF($A1272="","",IFERROR(INDEX(مخرج_البند,MATCH($A1272,قائمة_المخرجات,0)),""))</f>
        <v/>
      </c>
      <c r="C1272" s="30" t="str">
        <f aca="false">IF($A1272="","",IFERROR(INDEX(مخرج_الوصف,MATCH($A1272,قائمة_المخرجات,0)),""))</f>
        <v/>
      </c>
      <c r="D1272" s="20"/>
      <c r="E1272" s="31"/>
      <c r="F1272" s="22"/>
      <c r="G1272" s="36" t="str">
        <f aca="false">IF(OR($A1272="",$D1272&lt;&gt;"تسليم",NOT(ISNUMBER($E1272))),"",COUNTIFS($A$5:$A$1504,$A1272,$D$5:$D$1504,"تسليم",$E$5:$E$1504,"&lt;"&amp;$E1272)+1)</f>
        <v/>
      </c>
      <c r="H1272" s="33" t="str">
        <f aca="false">IF($G1272="","",_xlfn.MINIFS($E$5:$E$1504,$A$5:$A$1504,$A1272,$D$5:$D$1504,"&lt;&gt;تسليم",$E$5:$E$1504,"&gt;="&amp;$E1272))</f>
        <v/>
      </c>
      <c r="I1272" s="33" t="str">
        <f aca="false">IF($G1272="","",_xlfn.MINIFS($E$5:$E$1504,$A$5:$A$1504,$A1272,$D$5:$D$1504,"تسليم",$E$5:$E$1504,"&gt;"&amp;$E1272))</f>
        <v/>
      </c>
      <c r="J1272" s="33" t="str">
        <f aca="false">IF($G1272="","",IF(H1272&gt;0,IF(I1272&gt;0,MIN(H1272,I1272),H1272),IF(I1272&gt;0,I1272,تاريخ_الاحتساب)))</f>
        <v/>
      </c>
      <c r="K1272" s="34" t="str">
        <f aca="false">IF($G1272="","",IF(AND(H1272=0,I1272=0),"جارية","مغلقة"))</f>
        <v/>
      </c>
      <c r="L1272" s="26" t="str">
        <f aca="false">IF($G1272="","",MAX(0,NETWORKDAYS.INTL($E1272,J1272,رمز_العطلة,أيام_الأجازات)-1))</f>
        <v/>
      </c>
      <c r="M1272" s="26" t="str">
        <f aca="false">IF($G1272="","",MAX(0,L1272-مهلة_المراجعة))</f>
        <v/>
      </c>
      <c r="N1272" s="30" t="str">
        <f aca="false">IF($A1272="",IF(OR($D1272&lt;&gt;"",$E1272&lt;&gt;""),"رقم المخرج ناقص",""),IF(ISNA(MATCH($A1272,قائمة_المخرجات,0)),"رقم مخرج غير موجود",IF($D1272="","نوع الحركة ناقص",IF(NOT(ISNUMBER($E1272)),"التاريخ ناقص",IF($E1272&gt;تاريخ_الاحتساب,"تاريخ بعد تاريخ الاحتساب",IF(AND($D1272&lt;&gt;"تسليم",COUNTIFS($A$5:$A$1504,$A1272,$D$5:$D$1504,"تسليم",$E$5:$E$1504,"&lt;="&amp;$E1272)=0),"لا يوجد تسليم قبل الحركة دي",""))))))</f>
        <v/>
      </c>
    </row>
    <row r="1273" customFormat="false" ht="15" hidden="false" customHeight="false" outlineLevel="0" collapsed="false">
      <c r="A1273" s="20"/>
      <c r="B1273" s="35" t="str">
        <f aca="false">IF($A1273="","",IFERROR(INDEX(مخرج_البند,MATCH($A1273,قائمة_المخرجات,0)),""))</f>
        <v/>
      </c>
      <c r="C1273" s="30" t="str">
        <f aca="false">IF($A1273="","",IFERROR(INDEX(مخرج_الوصف,MATCH($A1273,قائمة_المخرجات,0)),""))</f>
        <v/>
      </c>
      <c r="D1273" s="20"/>
      <c r="E1273" s="31"/>
      <c r="F1273" s="22"/>
      <c r="G1273" s="36" t="str">
        <f aca="false">IF(OR($A1273="",$D1273&lt;&gt;"تسليم",NOT(ISNUMBER($E1273))),"",COUNTIFS($A$5:$A$1504,$A1273,$D$5:$D$1504,"تسليم",$E$5:$E$1504,"&lt;"&amp;$E1273)+1)</f>
        <v/>
      </c>
      <c r="H1273" s="33" t="str">
        <f aca="false">IF($G1273="","",_xlfn.MINIFS($E$5:$E$1504,$A$5:$A$1504,$A1273,$D$5:$D$1504,"&lt;&gt;تسليم",$E$5:$E$1504,"&gt;="&amp;$E1273))</f>
        <v/>
      </c>
      <c r="I1273" s="33" t="str">
        <f aca="false">IF($G1273="","",_xlfn.MINIFS($E$5:$E$1504,$A$5:$A$1504,$A1273,$D$5:$D$1504,"تسليم",$E$5:$E$1504,"&gt;"&amp;$E1273))</f>
        <v/>
      </c>
      <c r="J1273" s="33" t="str">
        <f aca="false">IF($G1273="","",IF(H1273&gt;0,IF(I1273&gt;0,MIN(H1273,I1273),H1273),IF(I1273&gt;0,I1273,تاريخ_الاحتساب)))</f>
        <v/>
      </c>
      <c r="K1273" s="34" t="str">
        <f aca="false">IF($G1273="","",IF(AND(H1273=0,I1273=0),"جارية","مغلقة"))</f>
        <v/>
      </c>
      <c r="L1273" s="26" t="str">
        <f aca="false">IF($G1273="","",MAX(0,NETWORKDAYS.INTL($E1273,J1273,رمز_العطلة,أيام_الأجازات)-1))</f>
        <v/>
      </c>
      <c r="M1273" s="26" t="str">
        <f aca="false">IF($G1273="","",MAX(0,L1273-مهلة_المراجعة))</f>
        <v/>
      </c>
      <c r="N1273" s="30" t="str">
        <f aca="false">IF($A1273="",IF(OR($D1273&lt;&gt;"",$E1273&lt;&gt;""),"رقم المخرج ناقص",""),IF(ISNA(MATCH($A1273,قائمة_المخرجات,0)),"رقم مخرج غير موجود",IF($D1273="","نوع الحركة ناقص",IF(NOT(ISNUMBER($E1273)),"التاريخ ناقص",IF($E1273&gt;تاريخ_الاحتساب,"تاريخ بعد تاريخ الاحتساب",IF(AND($D1273&lt;&gt;"تسليم",COUNTIFS($A$5:$A$1504,$A1273,$D$5:$D$1504,"تسليم",$E$5:$E$1504,"&lt;="&amp;$E1273)=0),"لا يوجد تسليم قبل الحركة دي",""))))))</f>
        <v/>
      </c>
    </row>
    <row r="1274" customFormat="false" ht="15" hidden="false" customHeight="false" outlineLevel="0" collapsed="false">
      <c r="A1274" s="20"/>
      <c r="B1274" s="35" t="str">
        <f aca="false">IF($A1274="","",IFERROR(INDEX(مخرج_البند,MATCH($A1274,قائمة_المخرجات,0)),""))</f>
        <v/>
      </c>
      <c r="C1274" s="30" t="str">
        <f aca="false">IF($A1274="","",IFERROR(INDEX(مخرج_الوصف,MATCH($A1274,قائمة_المخرجات,0)),""))</f>
        <v/>
      </c>
      <c r="D1274" s="20"/>
      <c r="E1274" s="31"/>
      <c r="F1274" s="22"/>
      <c r="G1274" s="36" t="str">
        <f aca="false">IF(OR($A1274="",$D1274&lt;&gt;"تسليم",NOT(ISNUMBER($E1274))),"",COUNTIFS($A$5:$A$1504,$A1274,$D$5:$D$1504,"تسليم",$E$5:$E$1504,"&lt;"&amp;$E1274)+1)</f>
        <v/>
      </c>
      <c r="H1274" s="33" t="str">
        <f aca="false">IF($G1274="","",_xlfn.MINIFS($E$5:$E$1504,$A$5:$A$1504,$A1274,$D$5:$D$1504,"&lt;&gt;تسليم",$E$5:$E$1504,"&gt;="&amp;$E1274))</f>
        <v/>
      </c>
      <c r="I1274" s="33" t="str">
        <f aca="false">IF($G1274="","",_xlfn.MINIFS($E$5:$E$1504,$A$5:$A$1504,$A1274,$D$5:$D$1504,"تسليم",$E$5:$E$1504,"&gt;"&amp;$E1274))</f>
        <v/>
      </c>
      <c r="J1274" s="33" t="str">
        <f aca="false">IF($G1274="","",IF(H1274&gt;0,IF(I1274&gt;0,MIN(H1274,I1274),H1274),IF(I1274&gt;0,I1274,تاريخ_الاحتساب)))</f>
        <v/>
      </c>
      <c r="K1274" s="34" t="str">
        <f aca="false">IF($G1274="","",IF(AND(H1274=0,I1274=0),"جارية","مغلقة"))</f>
        <v/>
      </c>
      <c r="L1274" s="26" t="str">
        <f aca="false">IF($G1274="","",MAX(0,NETWORKDAYS.INTL($E1274,J1274,رمز_العطلة,أيام_الأجازات)-1))</f>
        <v/>
      </c>
      <c r="M1274" s="26" t="str">
        <f aca="false">IF($G1274="","",MAX(0,L1274-مهلة_المراجعة))</f>
        <v/>
      </c>
      <c r="N1274" s="30" t="str">
        <f aca="false">IF($A1274="",IF(OR($D1274&lt;&gt;"",$E1274&lt;&gt;""),"رقم المخرج ناقص",""),IF(ISNA(MATCH($A1274,قائمة_المخرجات,0)),"رقم مخرج غير موجود",IF($D1274="","نوع الحركة ناقص",IF(NOT(ISNUMBER($E1274)),"التاريخ ناقص",IF($E1274&gt;تاريخ_الاحتساب,"تاريخ بعد تاريخ الاحتساب",IF(AND($D1274&lt;&gt;"تسليم",COUNTIFS($A$5:$A$1504,$A1274,$D$5:$D$1504,"تسليم",$E$5:$E$1504,"&lt;="&amp;$E1274)=0),"لا يوجد تسليم قبل الحركة دي",""))))))</f>
        <v/>
      </c>
    </row>
    <row r="1275" customFormat="false" ht="15" hidden="false" customHeight="false" outlineLevel="0" collapsed="false">
      <c r="A1275" s="20"/>
      <c r="B1275" s="35" t="str">
        <f aca="false">IF($A1275="","",IFERROR(INDEX(مخرج_البند,MATCH($A1275,قائمة_المخرجات,0)),""))</f>
        <v/>
      </c>
      <c r="C1275" s="30" t="str">
        <f aca="false">IF($A1275="","",IFERROR(INDEX(مخرج_الوصف,MATCH($A1275,قائمة_المخرجات,0)),""))</f>
        <v/>
      </c>
      <c r="D1275" s="20"/>
      <c r="E1275" s="31"/>
      <c r="F1275" s="22"/>
      <c r="G1275" s="36" t="str">
        <f aca="false">IF(OR($A1275="",$D1275&lt;&gt;"تسليم",NOT(ISNUMBER($E1275))),"",COUNTIFS($A$5:$A$1504,$A1275,$D$5:$D$1504,"تسليم",$E$5:$E$1504,"&lt;"&amp;$E1275)+1)</f>
        <v/>
      </c>
      <c r="H1275" s="33" t="str">
        <f aca="false">IF($G1275="","",_xlfn.MINIFS($E$5:$E$1504,$A$5:$A$1504,$A1275,$D$5:$D$1504,"&lt;&gt;تسليم",$E$5:$E$1504,"&gt;="&amp;$E1275))</f>
        <v/>
      </c>
      <c r="I1275" s="33" t="str">
        <f aca="false">IF($G1275="","",_xlfn.MINIFS($E$5:$E$1504,$A$5:$A$1504,$A1275,$D$5:$D$1504,"تسليم",$E$5:$E$1504,"&gt;"&amp;$E1275))</f>
        <v/>
      </c>
      <c r="J1275" s="33" t="str">
        <f aca="false">IF($G1275="","",IF(H1275&gt;0,IF(I1275&gt;0,MIN(H1275,I1275),H1275),IF(I1275&gt;0,I1275,تاريخ_الاحتساب)))</f>
        <v/>
      </c>
      <c r="K1275" s="34" t="str">
        <f aca="false">IF($G1275="","",IF(AND(H1275=0,I1275=0),"جارية","مغلقة"))</f>
        <v/>
      </c>
      <c r="L1275" s="26" t="str">
        <f aca="false">IF($G1275="","",MAX(0,NETWORKDAYS.INTL($E1275,J1275,رمز_العطلة,أيام_الأجازات)-1))</f>
        <v/>
      </c>
      <c r="M1275" s="26" t="str">
        <f aca="false">IF($G1275="","",MAX(0,L1275-مهلة_المراجعة))</f>
        <v/>
      </c>
      <c r="N1275" s="30" t="str">
        <f aca="false">IF($A1275="",IF(OR($D1275&lt;&gt;"",$E1275&lt;&gt;""),"رقم المخرج ناقص",""),IF(ISNA(MATCH($A1275,قائمة_المخرجات,0)),"رقم مخرج غير موجود",IF($D1275="","نوع الحركة ناقص",IF(NOT(ISNUMBER($E1275)),"التاريخ ناقص",IF($E1275&gt;تاريخ_الاحتساب,"تاريخ بعد تاريخ الاحتساب",IF(AND($D1275&lt;&gt;"تسليم",COUNTIFS($A$5:$A$1504,$A1275,$D$5:$D$1504,"تسليم",$E$5:$E$1504,"&lt;="&amp;$E1275)=0),"لا يوجد تسليم قبل الحركة دي",""))))))</f>
        <v/>
      </c>
    </row>
    <row r="1276" customFormat="false" ht="15" hidden="false" customHeight="false" outlineLevel="0" collapsed="false">
      <c r="A1276" s="20"/>
      <c r="B1276" s="35" t="str">
        <f aca="false">IF($A1276="","",IFERROR(INDEX(مخرج_البند,MATCH($A1276,قائمة_المخرجات,0)),""))</f>
        <v/>
      </c>
      <c r="C1276" s="30" t="str">
        <f aca="false">IF($A1276="","",IFERROR(INDEX(مخرج_الوصف,MATCH($A1276,قائمة_المخرجات,0)),""))</f>
        <v/>
      </c>
      <c r="D1276" s="20"/>
      <c r="E1276" s="31"/>
      <c r="F1276" s="22"/>
      <c r="G1276" s="36" t="str">
        <f aca="false">IF(OR($A1276="",$D1276&lt;&gt;"تسليم",NOT(ISNUMBER($E1276))),"",COUNTIFS($A$5:$A$1504,$A1276,$D$5:$D$1504,"تسليم",$E$5:$E$1504,"&lt;"&amp;$E1276)+1)</f>
        <v/>
      </c>
      <c r="H1276" s="33" t="str">
        <f aca="false">IF($G1276="","",_xlfn.MINIFS($E$5:$E$1504,$A$5:$A$1504,$A1276,$D$5:$D$1504,"&lt;&gt;تسليم",$E$5:$E$1504,"&gt;="&amp;$E1276))</f>
        <v/>
      </c>
      <c r="I1276" s="33" t="str">
        <f aca="false">IF($G1276="","",_xlfn.MINIFS($E$5:$E$1504,$A$5:$A$1504,$A1276,$D$5:$D$1504,"تسليم",$E$5:$E$1504,"&gt;"&amp;$E1276))</f>
        <v/>
      </c>
      <c r="J1276" s="33" t="str">
        <f aca="false">IF($G1276="","",IF(H1276&gt;0,IF(I1276&gt;0,MIN(H1276,I1276),H1276),IF(I1276&gt;0,I1276,تاريخ_الاحتساب)))</f>
        <v/>
      </c>
      <c r="K1276" s="34" t="str">
        <f aca="false">IF($G1276="","",IF(AND(H1276=0,I1276=0),"جارية","مغلقة"))</f>
        <v/>
      </c>
      <c r="L1276" s="26" t="str">
        <f aca="false">IF($G1276="","",MAX(0,NETWORKDAYS.INTL($E1276,J1276,رمز_العطلة,أيام_الأجازات)-1))</f>
        <v/>
      </c>
      <c r="M1276" s="26" t="str">
        <f aca="false">IF($G1276="","",MAX(0,L1276-مهلة_المراجعة))</f>
        <v/>
      </c>
      <c r="N1276" s="30" t="str">
        <f aca="false">IF($A1276="",IF(OR($D1276&lt;&gt;"",$E1276&lt;&gt;""),"رقم المخرج ناقص",""),IF(ISNA(MATCH($A1276,قائمة_المخرجات,0)),"رقم مخرج غير موجود",IF($D1276="","نوع الحركة ناقص",IF(NOT(ISNUMBER($E1276)),"التاريخ ناقص",IF($E1276&gt;تاريخ_الاحتساب,"تاريخ بعد تاريخ الاحتساب",IF(AND($D1276&lt;&gt;"تسليم",COUNTIFS($A$5:$A$1504,$A1276,$D$5:$D$1504,"تسليم",$E$5:$E$1504,"&lt;="&amp;$E1276)=0),"لا يوجد تسليم قبل الحركة دي",""))))))</f>
        <v/>
      </c>
    </row>
    <row r="1277" customFormat="false" ht="15" hidden="false" customHeight="false" outlineLevel="0" collapsed="false">
      <c r="A1277" s="20"/>
      <c r="B1277" s="35" t="str">
        <f aca="false">IF($A1277="","",IFERROR(INDEX(مخرج_البند,MATCH($A1277,قائمة_المخرجات,0)),""))</f>
        <v/>
      </c>
      <c r="C1277" s="30" t="str">
        <f aca="false">IF($A1277="","",IFERROR(INDEX(مخرج_الوصف,MATCH($A1277,قائمة_المخرجات,0)),""))</f>
        <v/>
      </c>
      <c r="D1277" s="20"/>
      <c r="E1277" s="31"/>
      <c r="F1277" s="22"/>
      <c r="G1277" s="36" t="str">
        <f aca="false">IF(OR($A1277="",$D1277&lt;&gt;"تسليم",NOT(ISNUMBER($E1277))),"",COUNTIFS($A$5:$A$1504,$A1277,$D$5:$D$1504,"تسليم",$E$5:$E$1504,"&lt;"&amp;$E1277)+1)</f>
        <v/>
      </c>
      <c r="H1277" s="33" t="str">
        <f aca="false">IF($G1277="","",_xlfn.MINIFS($E$5:$E$1504,$A$5:$A$1504,$A1277,$D$5:$D$1504,"&lt;&gt;تسليم",$E$5:$E$1504,"&gt;="&amp;$E1277))</f>
        <v/>
      </c>
      <c r="I1277" s="33" t="str">
        <f aca="false">IF($G1277="","",_xlfn.MINIFS($E$5:$E$1504,$A$5:$A$1504,$A1277,$D$5:$D$1504,"تسليم",$E$5:$E$1504,"&gt;"&amp;$E1277))</f>
        <v/>
      </c>
      <c r="J1277" s="33" t="str">
        <f aca="false">IF($G1277="","",IF(H1277&gt;0,IF(I1277&gt;0,MIN(H1277,I1277),H1277),IF(I1277&gt;0,I1277,تاريخ_الاحتساب)))</f>
        <v/>
      </c>
      <c r="K1277" s="34" t="str">
        <f aca="false">IF($G1277="","",IF(AND(H1277=0,I1277=0),"جارية","مغلقة"))</f>
        <v/>
      </c>
      <c r="L1277" s="26" t="str">
        <f aca="false">IF($G1277="","",MAX(0,NETWORKDAYS.INTL($E1277,J1277,رمز_العطلة,أيام_الأجازات)-1))</f>
        <v/>
      </c>
      <c r="M1277" s="26" t="str">
        <f aca="false">IF($G1277="","",MAX(0,L1277-مهلة_المراجعة))</f>
        <v/>
      </c>
      <c r="N1277" s="30" t="str">
        <f aca="false">IF($A1277="",IF(OR($D1277&lt;&gt;"",$E1277&lt;&gt;""),"رقم المخرج ناقص",""),IF(ISNA(MATCH($A1277,قائمة_المخرجات,0)),"رقم مخرج غير موجود",IF($D1277="","نوع الحركة ناقص",IF(NOT(ISNUMBER($E1277)),"التاريخ ناقص",IF($E1277&gt;تاريخ_الاحتساب,"تاريخ بعد تاريخ الاحتساب",IF(AND($D1277&lt;&gt;"تسليم",COUNTIFS($A$5:$A$1504,$A1277,$D$5:$D$1504,"تسليم",$E$5:$E$1504,"&lt;="&amp;$E1277)=0),"لا يوجد تسليم قبل الحركة دي",""))))))</f>
        <v/>
      </c>
    </row>
    <row r="1278" customFormat="false" ht="15" hidden="false" customHeight="false" outlineLevel="0" collapsed="false">
      <c r="A1278" s="20"/>
      <c r="B1278" s="35" t="str">
        <f aca="false">IF($A1278="","",IFERROR(INDEX(مخرج_البند,MATCH($A1278,قائمة_المخرجات,0)),""))</f>
        <v/>
      </c>
      <c r="C1278" s="30" t="str">
        <f aca="false">IF($A1278="","",IFERROR(INDEX(مخرج_الوصف,MATCH($A1278,قائمة_المخرجات,0)),""))</f>
        <v/>
      </c>
      <c r="D1278" s="20"/>
      <c r="E1278" s="31"/>
      <c r="F1278" s="22"/>
      <c r="G1278" s="36" t="str">
        <f aca="false">IF(OR($A1278="",$D1278&lt;&gt;"تسليم",NOT(ISNUMBER($E1278))),"",COUNTIFS($A$5:$A$1504,$A1278,$D$5:$D$1504,"تسليم",$E$5:$E$1504,"&lt;"&amp;$E1278)+1)</f>
        <v/>
      </c>
      <c r="H1278" s="33" t="str">
        <f aca="false">IF($G1278="","",_xlfn.MINIFS($E$5:$E$1504,$A$5:$A$1504,$A1278,$D$5:$D$1504,"&lt;&gt;تسليم",$E$5:$E$1504,"&gt;="&amp;$E1278))</f>
        <v/>
      </c>
      <c r="I1278" s="33" t="str">
        <f aca="false">IF($G1278="","",_xlfn.MINIFS($E$5:$E$1504,$A$5:$A$1504,$A1278,$D$5:$D$1504,"تسليم",$E$5:$E$1504,"&gt;"&amp;$E1278))</f>
        <v/>
      </c>
      <c r="J1278" s="33" t="str">
        <f aca="false">IF($G1278="","",IF(H1278&gt;0,IF(I1278&gt;0,MIN(H1278,I1278),H1278),IF(I1278&gt;0,I1278,تاريخ_الاحتساب)))</f>
        <v/>
      </c>
      <c r="K1278" s="34" t="str">
        <f aca="false">IF($G1278="","",IF(AND(H1278=0,I1278=0),"جارية","مغلقة"))</f>
        <v/>
      </c>
      <c r="L1278" s="26" t="str">
        <f aca="false">IF($G1278="","",MAX(0,NETWORKDAYS.INTL($E1278,J1278,رمز_العطلة,أيام_الأجازات)-1))</f>
        <v/>
      </c>
      <c r="M1278" s="26" t="str">
        <f aca="false">IF($G1278="","",MAX(0,L1278-مهلة_المراجعة))</f>
        <v/>
      </c>
      <c r="N1278" s="30" t="str">
        <f aca="false">IF($A1278="",IF(OR($D1278&lt;&gt;"",$E1278&lt;&gt;""),"رقم المخرج ناقص",""),IF(ISNA(MATCH($A1278,قائمة_المخرجات,0)),"رقم مخرج غير موجود",IF($D1278="","نوع الحركة ناقص",IF(NOT(ISNUMBER($E1278)),"التاريخ ناقص",IF($E1278&gt;تاريخ_الاحتساب,"تاريخ بعد تاريخ الاحتساب",IF(AND($D1278&lt;&gt;"تسليم",COUNTIFS($A$5:$A$1504,$A1278,$D$5:$D$1504,"تسليم",$E$5:$E$1504,"&lt;="&amp;$E1278)=0),"لا يوجد تسليم قبل الحركة دي",""))))))</f>
        <v/>
      </c>
    </row>
    <row r="1279" customFormat="false" ht="15" hidden="false" customHeight="false" outlineLevel="0" collapsed="false">
      <c r="A1279" s="20"/>
      <c r="B1279" s="35" t="str">
        <f aca="false">IF($A1279="","",IFERROR(INDEX(مخرج_البند,MATCH($A1279,قائمة_المخرجات,0)),""))</f>
        <v/>
      </c>
      <c r="C1279" s="30" t="str">
        <f aca="false">IF($A1279="","",IFERROR(INDEX(مخرج_الوصف,MATCH($A1279,قائمة_المخرجات,0)),""))</f>
        <v/>
      </c>
      <c r="D1279" s="20"/>
      <c r="E1279" s="31"/>
      <c r="F1279" s="22"/>
      <c r="G1279" s="36" t="str">
        <f aca="false">IF(OR($A1279="",$D1279&lt;&gt;"تسليم",NOT(ISNUMBER($E1279))),"",COUNTIFS($A$5:$A$1504,$A1279,$D$5:$D$1504,"تسليم",$E$5:$E$1504,"&lt;"&amp;$E1279)+1)</f>
        <v/>
      </c>
      <c r="H1279" s="33" t="str">
        <f aca="false">IF($G1279="","",_xlfn.MINIFS($E$5:$E$1504,$A$5:$A$1504,$A1279,$D$5:$D$1504,"&lt;&gt;تسليم",$E$5:$E$1504,"&gt;="&amp;$E1279))</f>
        <v/>
      </c>
      <c r="I1279" s="33" t="str">
        <f aca="false">IF($G1279="","",_xlfn.MINIFS($E$5:$E$1504,$A$5:$A$1504,$A1279,$D$5:$D$1504,"تسليم",$E$5:$E$1504,"&gt;"&amp;$E1279))</f>
        <v/>
      </c>
      <c r="J1279" s="33" t="str">
        <f aca="false">IF($G1279="","",IF(H1279&gt;0,IF(I1279&gt;0,MIN(H1279,I1279),H1279),IF(I1279&gt;0,I1279,تاريخ_الاحتساب)))</f>
        <v/>
      </c>
      <c r="K1279" s="34" t="str">
        <f aca="false">IF($G1279="","",IF(AND(H1279=0,I1279=0),"جارية","مغلقة"))</f>
        <v/>
      </c>
      <c r="L1279" s="26" t="str">
        <f aca="false">IF($G1279="","",MAX(0,NETWORKDAYS.INTL($E1279,J1279,رمز_العطلة,أيام_الأجازات)-1))</f>
        <v/>
      </c>
      <c r="M1279" s="26" t="str">
        <f aca="false">IF($G1279="","",MAX(0,L1279-مهلة_المراجعة))</f>
        <v/>
      </c>
      <c r="N1279" s="30" t="str">
        <f aca="false">IF($A1279="",IF(OR($D1279&lt;&gt;"",$E1279&lt;&gt;""),"رقم المخرج ناقص",""),IF(ISNA(MATCH($A1279,قائمة_المخرجات,0)),"رقم مخرج غير موجود",IF($D1279="","نوع الحركة ناقص",IF(NOT(ISNUMBER($E1279)),"التاريخ ناقص",IF($E1279&gt;تاريخ_الاحتساب,"تاريخ بعد تاريخ الاحتساب",IF(AND($D1279&lt;&gt;"تسليم",COUNTIFS($A$5:$A$1504,$A1279,$D$5:$D$1504,"تسليم",$E$5:$E$1504,"&lt;="&amp;$E1279)=0),"لا يوجد تسليم قبل الحركة دي",""))))))</f>
        <v/>
      </c>
    </row>
    <row r="1280" customFormat="false" ht="15" hidden="false" customHeight="false" outlineLevel="0" collapsed="false">
      <c r="A1280" s="20"/>
      <c r="B1280" s="35" t="str">
        <f aca="false">IF($A1280="","",IFERROR(INDEX(مخرج_البند,MATCH($A1280,قائمة_المخرجات,0)),""))</f>
        <v/>
      </c>
      <c r="C1280" s="30" t="str">
        <f aca="false">IF($A1280="","",IFERROR(INDEX(مخرج_الوصف,MATCH($A1280,قائمة_المخرجات,0)),""))</f>
        <v/>
      </c>
      <c r="D1280" s="20"/>
      <c r="E1280" s="31"/>
      <c r="F1280" s="22"/>
      <c r="G1280" s="36" t="str">
        <f aca="false">IF(OR($A1280="",$D1280&lt;&gt;"تسليم",NOT(ISNUMBER($E1280))),"",COUNTIFS($A$5:$A$1504,$A1280,$D$5:$D$1504,"تسليم",$E$5:$E$1504,"&lt;"&amp;$E1280)+1)</f>
        <v/>
      </c>
      <c r="H1280" s="33" t="str">
        <f aca="false">IF($G1280="","",_xlfn.MINIFS($E$5:$E$1504,$A$5:$A$1504,$A1280,$D$5:$D$1504,"&lt;&gt;تسليم",$E$5:$E$1504,"&gt;="&amp;$E1280))</f>
        <v/>
      </c>
      <c r="I1280" s="33" t="str">
        <f aca="false">IF($G1280="","",_xlfn.MINIFS($E$5:$E$1504,$A$5:$A$1504,$A1280,$D$5:$D$1504,"تسليم",$E$5:$E$1504,"&gt;"&amp;$E1280))</f>
        <v/>
      </c>
      <c r="J1280" s="33" t="str">
        <f aca="false">IF($G1280="","",IF(H1280&gt;0,IF(I1280&gt;0,MIN(H1280,I1280),H1280),IF(I1280&gt;0,I1280,تاريخ_الاحتساب)))</f>
        <v/>
      </c>
      <c r="K1280" s="34" t="str">
        <f aca="false">IF($G1280="","",IF(AND(H1280=0,I1280=0),"جارية","مغلقة"))</f>
        <v/>
      </c>
      <c r="L1280" s="26" t="str">
        <f aca="false">IF($G1280="","",MAX(0,NETWORKDAYS.INTL($E1280,J1280,رمز_العطلة,أيام_الأجازات)-1))</f>
        <v/>
      </c>
      <c r="M1280" s="26" t="str">
        <f aca="false">IF($G1280="","",MAX(0,L1280-مهلة_المراجعة))</f>
        <v/>
      </c>
      <c r="N1280" s="30" t="str">
        <f aca="false">IF($A1280="",IF(OR($D1280&lt;&gt;"",$E1280&lt;&gt;""),"رقم المخرج ناقص",""),IF(ISNA(MATCH($A1280,قائمة_المخرجات,0)),"رقم مخرج غير موجود",IF($D1280="","نوع الحركة ناقص",IF(NOT(ISNUMBER($E1280)),"التاريخ ناقص",IF($E1280&gt;تاريخ_الاحتساب,"تاريخ بعد تاريخ الاحتساب",IF(AND($D1280&lt;&gt;"تسليم",COUNTIFS($A$5:$A$1504,$A1280,$D$5:$D$1504,"تسليم",$E$5:$E$1504,"&lt;="&amp;$E1280)=0),"لا يوجد تسليم قبل الحركة دي",""))))))</f>
        <v/>
      </c>
    </row>
    <row r="1281" customFormat="false" ht="15" hidden="false" customHeight="false" outlineLevel="0" collapsed="false">
      <c r="A1281" s="20"/>
      <c r="B1281" s="35" t="str">
        <f aca="false">IF($A1281="","",IFERROR(INDEX(مخرج_البند,MATCH($A1281,قائمة_المخرجات,0)),""))</f>
        <v/>
      </c>
      <c r="C1281" s="30" t="str">
        <f aca="false">IF($A1281="","",IFERROR(INDEX(مخرج_الوصف,MATCH($A1281,قائمة_المخرجات,0)),""))</f>
        <v/>
      </c>
      <c r="D1281" s="20"/>
      <c r="E1281" s="31"/>
      <c r="F1281" s="22"/>
      <c r="G1281" s="36" t="str">
        <f aca="false">IF(OR($A1281="",$D1281&lt;&gt;"تسليم",NOT(ISNUMBER($E1281))),"",COUNTIFS($A$5:$A$1504,$A1281,$D$5:$D$1504,"تسليم",$E$5:$E$1504,"&lt;"&amp;$E1281)+1)</f>
        <v/>
      </c>
      <c r="H1281" s="33" t="str">
        <f aca="false">IF($G1281="","",_xlfn.MINIFS($E$5:$E$1504,$A$5:$A$1504,$A1281,$D$5:$D$1504,"&lt;&gt;تسليم",$E$5:$E$1504,"&gt;="&amp;$E1281))</f>
        <v/>
      </c>
      <c r="I1281" s="33" t="str">
        <f aca="false">IF($G1281="","",_xlfn.MINIFS($E$5:$E$1504,$A$5:$A$1504,$A1281,$D$5:$D$1504,"تسليم",$E$5:$E$1504,"&gt;"&amp;$E1281))</f>
        <v/>
      </c>
      <c r="J1281" s="33" t="str">
        <f aca="false">IF($G1281="","",IF(H1281&gt;0,IF(I1281&gt;0,MIN(H1281,I1281),H1281),IF(I1281&gt;0,I1281,تاريخ_الاحتساب)))</f>
        <v/>
      </c>
      <c r="K1281" s="34" t="str">
        <f aca="false">IF($G1281="","",IF(AND(H1281=0,I1281=0),"جارية","مغلقة"))</f>
        <v/>
      </c>
      <c r="L1281" s="26" t="str">
        <f aca="false">IF($G1281="","",MAX(0,NETWORKDAYS.INTL($E1281,J1281,رمز_العطلة,أيام_الأجازات)-1))</f>
        <v/>
      </c>
      <c r="M1281" s="26" t="str">
        <f aca="false">IF($G1281="","",MAX(0,L1281-مهلة_المراجعة))</f>
        <v/>
      </c>
      <c r="N1281" s="30" t="str">
        <f aca="false">IF($A1281="",IF(OR($D1281&lt;&gt;"",$E1281&lt;&gt;""),"رقم المخرج ناقص",""),IF(ISNA(MATCH($A1281,قائمة_المخرجات,0)),"رقم مخرج غير موجود",IF($D1281="","نوع الحركة ناقص",IF(NOT(ISNUMBER($E1281)),"التاريخ ناقص",IF($E1281&gt;تاريخ_الاحتساب,"تاريخ بعد تاريخ الاحتساب",IF(AND($D1281&lt;&gt;"تسليم",COUNTIFS($A$5:$A$1504,$A1281,$D$5:$D$1504,"تسليم",$E$5:$E$1504,"&lt;="&amp;$E1281)=0),"لا يوجد تسليم قبل الحركة دي",""))))))</f>
        <v/>
      </c>
    </row>
    <row r="1282" customFormat="false" ht="15" hidden="false" customHeight="false" outlineLevel="0" collapsed="false">
      <c r="A1282" s="20"/>
      <c r="B1282" s="35" t="str">
        <f aca="false">IF($A1282="","",IFERROR(INDEX(مخرج_البند,MATCH($A1282,قائمة_المخرجات,0)),""))</f>
        <v/>
      </c>
      <c r="C1282" s="30" t="str">
        <f aca="false">IF($A1282="","",IFERROR(INDEX(مخرج_الوصف,MATCH($A1282,قائمة_المخرجات,0)),""))</f>
        <v/>
      </c>
      <c r="D1282" s="20"/>
      <c r="E1282" s="31"/>
      <c r="F1282" s="22"/>
      <c r="G1282" s="36" t="str">
        <f aca="false">IF(OR($A1282="",$D1282&lt;&gt;"تسليم",NOT(ISNUMBER($E1282))),"",COUNTIFS($A$5:$A$1504,$A1282,$D$5:$D$1504,"تسليم",$E$5:$E$1504,"&lt;"&amp;$E1282)+1)</f>
        <v/>
      </c>
      <c r="H1282" s="33" t="str">
        <f aca="false">IF($G1282="","",_xlfn.MINIFS($E$5:$E$1504,$A$5:$A$1504,$A1282,$D$5:$D$1504,"&lt;&gt;تسليم",$E$5:$E$1504,"&gt;="&amp;$E1282))</f>
        <v/>
      </c>
      <c r="I1282" s="33" t="str">
        <f aca="false">IF($G1282="","",_xlfn.MINIFS($E$5:$E$1504,$A$5:$A$1504,$A1282,$D$5:$D$1504,"تسليم",$E$5:$E$1504,"&gt;"&amp;$E1282))</f>
        <v/>
      </c>
      <c r="J1282" s="33" t="str">
        <f aca="false">IF($G1282="","",IF(H1282&gt;0,IF(I1282&gt;0,MIN(H1282,I1282),H1282),IF(I1282&gt;0,I1282,تاريخ_الاحتساب)))</f>
        <v/>
      </c>
      <c r="K1282" s="34" t="str">
        <f aca="false">IF($G1282="","",IF(AND(H1282=0,I1282=0),"جارية","مغلقة"))</f>
        <v/>
      </c>
      <c r="L1282" s="26" t="str">
        <f aca="false">IF($G1282="","",MAX(0,NETWORKDAYS.INTL($E1282,J1282,رمز_العطلة,أيام_الأجازات)-1))</f>
        <v/>
      </c>
      <c r="M1282" s="26" t="str">
        <f aca="false">IF($G1282="","",MAX(0,L1282-مهلة_المراجعة))</f>
        <v/>
      </c>
      <c r="N1282" s="30" t="str">
        <f aca="false">IF($A1282="",IF(OR($D1282&lt;&gt;"",$E1282&lt;&gt;""),"رقم المخرج ناقص",""),IF(ISNA(MATCH($A1282,قائمة_المخرجات,0)),"رقم مخرج غير موجود",IF($D1282="","نوع الحركة ناقص",IF(NOT(ISNUMBER($E1282)),"التاريخ ناقص",IF($E1282&gt;تاريخ_الاحتساب,"تاريخ بعد تاريخ الاحتساب",IF(AND($D1282&lt;&gt;"تسليم",COUNTIFS($A$5:$A$1504,$A1282,$D$5:$D$1504,"تسليم",$E$5:$E$1504,"&lt;="&amp;$E1282)=0),"لا يوجد تسليم قبل الحركة دي",""))))))</f>
        <v/>
      </c>
    </row>
    <row r="1283" customFormat="false" ht="15" hidden="false" customHeight="false" outlineLevel="0" collapsed="false">
      <c r="A1283" s="20"/>
      <c r="B1283" s="35" t="str">
        <f aca="false">IF($A1283="","",IFERROR(INDEX(مخرج_البند,MATCH($A1283,قائمة_المخرجات,0)),""))</f>
        <v/>
      </c>
      <c r="C1283" s="30" t="str">
        <f aca="false">IF($A1283="","",IFERROR(INDEX(مخرج_الوصف,MATCH($A1283,قائمة_المخرجات,0)),""))</f>
        <v/>
      </c>
      <c r="D1283" s="20"/>
      <c r="E1283" s="31"/>
      <c r="F1283" s="22"/>
      <c r="G1283" s="36" t="str">
        <f aca="false">IF(OR($A1283="",$D1283&lt;&gt;"تسليم",NOT(ISNUMBER($E1283))),"",COUNTIFS($A$5:$A$1504,$A1283,$D$5:$D$1504,"تسليم",$E$5:$E$1504,"&lt;"&amp;$E1283)+1)</f>
        <v/>
      </c>
      <c r="H1283" s="33" t="str">
        <f aca="false">IF($G1283="","",_xlfn.MINIFS($E$5:$E$1504,$A$5:$A$1504,$A1283,$D$5:$D$1504,"&lt;&gt;تسليم",$E$5:$E$1504,"&gt;="&amp;$E1283))</f>
        <v/>
      </c>
      <c r="I1283" s="33" t="str">
        <f aca="false">IF($G1283="","",_xlfn.MINIFS($E$5:$E$1504,$A$5:$A$1504,$A1283,$D$5:$D$1504,"تسليم",$E$5:$E$1504,"&gt;"&amp;$E1283))</f>
        <v/>
      </c>
      <c r="J1283" s="33" t="str">
        <f aca="false">IF($G1283="","",IF(H1283&gt;0,IF(I1283&gt;0,MIN(H1283,I1283),H1283),IF(I1283&gt;0,I1283,تاريخ_الاحتساب)))</f>
        <v/>
      </c>
      <c r="K1283" s="34" t="str">
        <f aca="false">IF($G1283="","",IF(AND(H1283=0,I1283=0),"جارية","مغلقة"))</f>
        <v/>
      </c>
      <c r="L1283" s="26" t="str">
        <f aca="false">IF($G1283="","",MAX(0,NETWORKDAYS.INTL($E1283,J1283,رمز_العطلة,أيام_الأجازات)-1))</f>
        <v/>
      </c>
      <c r="M1283" s="26" t="str">
        <f aca="false">IF($G1283="","",MAX(0,L1283-مهلة_المراجعة))</f>
        <v/>
      </c>
      <c r="N1283" s="30" t="str">
        <f aca="false">IF($A1283="",IF(OR($D1283&lt;&gt;"",$E1283&lt;&gt;""),"رقم المخرج ناقص",""),IF(ISNA(MATCH($A1283,قائمة_المخرجات,0)),"رقم مخرج غير موجود",IF($D1283="","نوع الحركة ناقص",IF(NOT(ISNUMBER($E1283)),"التاريخ ناقص",IF($E1283&gt;تاريخ_الاحتساب,"تاريخ بعد تاريخ الاحتساب",IF(AND($D1283&lt;&gt;"تسليم",COUNTIFS($A$5:$A$1504,$A1283,$D$5:$D$1504,"تسليم",$E$5:$E$1504,"&lt;="&amp;$E1283)=0),"لا يوجد تسليم قبل الحركة دي",""))))))</f>
        <v/>
      </c>
    </row>
    <row r="1284" customFormat="false" ht="15" hidden="false" customHeight="false" outlineLevel="0" collapsed="false">
      <c r="A1284" s="20"/>
      <c r="B1284" s="35" t="str">
        <f aca="false">IF($A1284="","",IFERROR(INDEX(مخرج_البند,MATCH($A1284,قائمة_المخرجات,0)),""))</f>
        <v/>
      </c>
      <c r="C1284" s="30" t="str">
        <f aca="false">IF($A1284="","",IFERROR(INDEX(مخرج_الوصف,MATCH($A1284,قائمة_المخرجات,0)),""))</f>
        <v/>
      </c>
      <c r="D1284" s="20"/>
      <c r="E1284" s="31"/>
      <c r="F1284" s="22"/>
      <c r="G1284" s="36" t="str">
        <f aca="false">IF(OR($A1284="",$D1284&lt;&gt;"تسليم",NOT(ISNUMBER($E1284))),"",COUNTIFS($A$5:$A$1504,$A1284,$D$5:$D$1504,"تسليم",$E$5:$E$1504,"&lt;"&amp;$E1284)+1)</f>
        <v/>
      </c>
      <c r="H1284" s="33" t="str">
        <f aca="false">IF($G1284="","",_xlfn.MINIFS($E$5:$E$1504,$A$5:$A$1504,$A1284,$D$5:$D$1504,"&lt;&gt;تسليم",$E$5:$E$1504,"&gt;="&amp;$E1284))</f>
        <v/>
      </c>
      <c r="I1284" s="33" t="str">
        <f aca="false">IF($G1284="","",_xlfn.MINIFS($E$5:$E$1504,$A$5:$A$1504,$A1284,$D$5:$D$1504,"تسليم",$E$5:$E$1504,"&gt;"&amp;$E1284))</f>
        <v/>
      </c>
      <c r="J1284" s="33" t="str">
        <f aca="false">IF($G1284="","",IF(H1284&gt;0,IF(I1284&gt;0,MIN(H1284,I1284),H1284),IF(I1284&gt;0,I1284,تاريخ_الاحتساب)))</f>
        <v/>
      </c>
      <c r="K1284" s="34" t="str">
        <f aca="false">IF($G1284="","",IF(AND(H1284=0,I1284=0),"جارية","مغلقة"))</f>
        <v/>
      </c>
      <c r="L1284" s="26" t="str">
        <f aca="false">IF($G1284="","",MAX(0,NETWORKDAYS.INTL($E1284,J1284,رمز_العطلة,أيام_الأجازات)-1))</f>
        <v/>
      </c>
      <c r="M1284" s="26" t="str">
        <f aca="false">IF($G1284="","",MAX(0,L1284-مهلة_المراجعة))</f>
        <v/>
      </c>
      <c r="N1284" s="30" t="str">
        <f aca="false">IF($A1284="",IF(OR($D1284&lt;&gt;"",$E1284&lt;&gt;""),"رقم المخرج ناقص",""),IF(ISNA(MATCH($A1284,قائمة_المخرجات,0)),"رقم مخرج غير موجود",IF($D1284="","نوع الحركة ناقص",IF(NOT(ISNUMBER($E1284)),"التاريخ ناقص",IF($E1284&gt;تاريخ_الاحتساب,"تاريخ بعد تاريخ الاحتساب",IF(AND($D1284&lt;&gt;"تسليم",COUNTIFS($A$5:$A$1504,$A1284,$D$5:$D$1504,"تسليم",$E$5:$E$1504,"&lt;="&amp;$E1284)=0),"لا يوجد تسليم قبل الحركة دي",""))))))</f>
        <v/>
      </c>
    </row>
    <row r="1285" customFormat="false" ht="15" hidden="false" customHeight="false" outlineLevel="0" collapsed="false">
      <c r="A1285" s="20"/>
      <c r="B1285" s="35" t="str">
        <f aca="false">IF($A1285="","",IFERROR(INDEX(مخرج_البند,MATCH($A1285,قائمة_المخرجات,0)),""))</f>
        <v/>
      </c>
      <c r="C1285" s="30" t="str">
        <f aca="false">IF($A1285="","",IFERROR(INDEX(مخرج_الوصف,MATCH($A1285,قائمة_المخرجات,0)),""))</f>
        <v/>
      </c>
      <c r="D1285" s="20"/>
      <c r="E1285" s="31"/>
      <c r="F1285" s="22"/>
      <c r="G1285" s="36" t="str">
        <f aca="false">IF(OR($A1285="",$D1285&lt;&gt;"تسليم",NOT(ISNUMBER($E1285))),"",COUNTIFS($A$5:$A$1504,$A1285,$D$5:$D$1504,"تسليم",$E$5:$E$1504,"&lt;"&amp;$E1285)+1)</f>
        <v/>
      </c>
      <c r="H1285" s="33" t="str">
        <f aca="false">IF($G1285="","",_xlfn.MINIFS($E$5:$E$1504,$A$5:$A$1504,$A1285,$D$5:$D$1504,"&lt;&gt;تسليم",$E$5:$E$1504,"&gt;="&amp;$E1285))</f>
        <v/>
      </c>
      <c r="I1285" s="33" t="str">
        <f aca="false">IF($G1285="","",_xlfn.MINIFS($E$5:$E$1504,$A$5:$A$1504,$A1285,$D$5:$D$1504,"تسليم",$E$5:$E$1504,"&gt;"&amp;$E1285))</f>
        <v/>
      </c>
      <c r="J1285" s="33" t="str">
        <f aca="false">IF($G1285="","",IF(H1285&gt;0,IF(I1285&gt;0,MIN(H1285,I1285),H1285),IF(I1285&gt;0,I1285,تاريخ_الاحتساب)))</f>
        <v/>
      </c>
      <c r="K1285" s="34" t="str">
        <f aca="false">IF($G1285="","",IF(AND(H1285=0,I1285=0),"جارية","مغلقة"))</f>
        <v/>
      </c>
      <c r="L1285" s="26" t="str">
        <f aca="false">IF($G1285="","",MAX(0,NETWORKDAYS.INTL($E1285,J1285,رمز_العطلة,أيام_الأجازات)-1))</f>
        <v/>
      </c>
      <c r="M1285" s="26" t="str">
        <f aca="false">IF($G1285="","",MAX(0,L1285-مهلة_المراجعة))</f>
        <v/>
      </c>
      <c r="N1285" s="30" t="str">
        <f aca="false">IF($A1285="",IF(OR($D1285&lt;&gt;"",$E1285&lt;&gt;""),"رقم المخرج ناقص",""),IF(ISNA(MATCH($A1285,قائمة_المخرجات,0)),"رقم مخرج غير موجود",IF($D1285="","نوع الحركة ناقص",IF(NOT(ISNUMBER($E1285)),"التاريخ ناقص",IF($E1285&gt;تاريخ_الاحتساب,"تاريخ بعد تاريخ الاحتساب",IF(AND($D1285&lt;&gt;"تسليم",COUNTIFS($A$5:$A$1504,$A1285,$D$5:$D$1504,"تسليم",$E$5:$E$1504,"&lt;="&amp;$E1285)=0),"لا يوجد تسليم قبل الحركة دي",""))))))</f>
        <v/>
      </c>
    </row>
    <row r="1286" customFormat="false" ht="15" hidden="false" customHeight="false" outlineLevel="0" collapsed="false">
      <c r="A1286" s="20"/>
      <c r="B1286" s="35" t="str">
        <f aca="false">IF($A1286="","",IFERROR(INDEX(مخرج_البند,MATCH($A1286,قائمة_المخرجات,0)),""))</f>
        <v/>
      </c>
      <c r="C1286" s="30" t="str">
        <f aca="false">IF($A1286="","",IFERROR(INDEX(مخرج_الوصف,MATCH($A1286,قائمة_المخرجات,0)),""))</f>
        <v/>
      </c>
      <c r="D1286" s="20"/>
      <c r="E1286" s="31"/>
      <c r="F1286" s="22"/>
      <c r="G1286" s="36" t="str">
        <f aca="false">IF(OR($A1286="",$D1286&lt;&gt;"تسليم",NOT(ISNUMBER($E1286))),"",COUNTIFS($A$5:$A$1504,$A1286,$D$5:$D$1504,"تسليم",$E$5:$E$1504,"&lt;"&amp;$E1286)+1)</f>
        <v/>
      </c>
      <c r="H1286" s="33" t="str">
        <f aca="false">IF($G1286="","",_xlfn.MINIFS($E$5:$E$1504,$A$5:$A$1504,$A1286,$D$5:$D$1504,"&lt;&gt;تسليم",$E$5:$E$1504,"&gt;="&amp;$E1286))</f>
        <v/>
      </c>
      <c r="I1286" s="33" t="str">
        <f aca="false">IF($G1286="","",_xlfn.MINIFS($E$5:$E$1504,$A$5:$A$1504,$A1286,$D$5:$D$1504,"تسليم",$E$5:$E$1504,"&gt;"&amp;$E1286))</f>
        <v/>
      </c>
      <c r="J1286" s="33" t="str">
        <f aca="false">IF($G1286="","",IF(H1286&gt;0,IF(I1286&gt;0,MIN(H1286,I1286),H1286),IF(I1286&gt;0,I1286,تاريخ_الاحتساب)))</f>
        <v/>
      </c>
      <c r="K1286" s="34" t="str">
        <f aca="false">IF($G1286="","",IF(AND(H1286=0,I1286=0),"جارية","مغلقة"))</f>
        <v/>
      </c>
      <c r="L1286" s="26" t="str">
        <f aca="false">IF($G1286="","",MAX(0,NETWORKDAYS.INTL($E1286,J1286,رمز_العطلة,أيام_الأجازات)-1))</f>
        <v/>
      </c>
      <c r="M1286" s="26" t="str">
        <f aca="false">IF($G1286="","",MAX(0,L1286-مهلة_المراجعة))</f>
        <v/>
      </c>
      <c r="N1286" s="30" t="str">
        <f aca="false">IF($A1286="",IF(OR($D1286&lt;&gt;"",$E1286&lt;&gt;""),"رقم المخرج ناقص",""),IF(ISNA(MATCH($A1286,قائمة_المخرجات,0)),"رقم مخرج غير موجود",IF($D1286="","نوع الحركة ناقص",IF(NOT(ISNUMBER($E1286)),"التاريخ ناقص",IF($E1286&gt;تاريخ_الاحتساب,"تاريخ بعد تاريخ الاحتساب",IF(AND($D1286&lt;&gt;"تسليم",COUNTIFS($A$5:$A$1504,$A1286,$D$5:$D$1504,"تسليم",$E$5:$E$1504,"&lt;="&amp;$E1286)=0),"لا يوجد تسليم قبل الحركة دي",""))))))</f>
        <v/>
      </c>
    </row>
    <row r="1287" customFormat="false" ht="15" hidden="false" customHeight="false" outlineLevel="0" collapsed="false">
      <c r="A1287" s="20"/>
      <c r="B1287" s="35" t="str">
        <f aca="false">IF($A1287="","",IFERROR(INDEX(مخرج_البند,MATCH($A1287,قائمة_المخرجات,0)),""))</f>
        <v/>
      </c>
      <c r="C1287" s="30" t="str">
        <f aca="false">IF($A1287="","",IFERROR(INDEX(مخرج_الوصف,MATCH($A1287,قائمة_المخرجات,0)),""))</f>
        <v/>
      </c>
      <c r="D1287" s="20"/>
      <c r="E1287" s="31"/>
      <c r="F1287" s="22"/>
      <c r="G1287" s="36" t="str">
        <f aca="false">IF(OR($A1287="",$D1287&lt;&gt;"تسليم",NOT(ISNUMBER($E1287))),"",COUNTIFS($A$5:$A$1504,$A1287,$D$5:$D$1504,"تسليم",$E$5:$E$1504,"&lt;"&amp;$E1287)+1)</f>
        <v/>
      </c>
      <c r="H1287" s="33" t="str">
        <f aca="false">IF($G1287="","",_xlfn.MINIFS($E$5:$E$1504,$A$5:$A$1504,$A1287,$D$5:$D$1504,"&lt;&gt;تسليم",$E$5:$E$1504,"&gt;="&amp;$E1287))</f>
        <v/>
      </c>
      <c r="I1287" s="33" t="str">
        <f aca="false">IF($G1287="","",_xlfn.MINIFS($E$5:$E$1504,$A$5:$A$1504,$A1287,$D$5:$D$1504,"تسليم",$E$5:$E$1504,"&gt;"&amp;$E1287))</f>
        <v/>
      </c>
      <c r="J1287" s="33" t="str">
        <f aca="false">IF($G1287="","",IF(H1287&gt;0,IF(I1287&gt;0,MIN(H1287,I1287),H1287),IF(I1287&gt;0,I1287,تاريخ_الاحتساب)))</f>
        <v/>
      </c>
      <c r="K1287" s="34" t="str">
        <f aca="false">IF($G1287="","",IF(AND(H1287=0,I1287=0),"جارية","مغلقة"))</f>
        <v/>
      </c>
      <c r="L1287" s="26" t="str">
        <f aca="false">IF($G1287="","",MAX(0,NETWORKDAYS.INTL($E1287,J1287,رمز_العطلة,أيام_الأجازات)-1))</f>
        <v/>
      </c>
      <c r="M1287" s="26" t="str">
        <f aca="false">IF($G1287="","",MAX(0,L1287-مهلة_المراجعة))</f>
        <v/>
      </c>
      <c r="N1287" s="30" t="str">
        <f aca="false">IF($A1287="",IF(OR($D1287&lt;&gt;"",$E1287&lt;&gt;""),"رقم المخرج ناقص",""),IF(ISNA(MATCH($A1287,قائمة_المخرجات,0)),"رقم مخرج غير موجود",IF($D1287="","نوع الحركة ناقص",IF(NOT(ISNUMBER($E1287)),"التاريخ ناقص",IF($E1287&gt;تاريخ_الاحتساب,"تاريخ بعد تاريخ الاحتساب",IF(AND($D1287&lt;&gt;"تسليم",COUNTIFS($A$5:$A$1504,$A1287,$D$5:$D$1504,"تسليم",$E$5:$E$1504,"&lt;="&amp;$E1287)=0),"لا يوجد تسليم قبل الحركة دي",""))))))</f>
        <v/>
      </c>
    </row>
    <row r="1288" customFormat="false" ht="15" hidden="false" customHeight="false" outlineLevel="0" collapsed="false">
      <c r="A1288" s="20"/>
      <c r="B1288" s="35" t="str">
        <f aca="false">IF($A1288="","",IFERROR(INDEX(مخرج_البند,MATCH($A1288,قائمة_المخرجات,0)),""))</f>
        <v/>
      </c>
      <c r="C1288" s="30" t="str">
        <f aca="false">IF($A1288="","",IFERROR(INDEX(مخرج_الوصف,MATCH($A1288,قائمة_المخرجات,0)),""))</f>
        <v/>
      </c>
      <c r="D1288" s="20"/>
      <c r="E1288" s="31"/>
      <c r="F1288" s="22"/>
      <c r="G1288" s="36" t="str">
        <f aca="false">IF(OR($A1288="",$D1288&lt;&gt;"تسليم",NOT(ISNUMBER($E1288))),"",COUNTIFS($A$5:$A$1504,$A1288,$D$5:$D$1504,"تسليم",$E$5:$E$1504,"&lt;"&amp;$E1288)+1)</f>
        <v/>
      </c>
      <c r="H1288" s="33" t="str">
        <f aca="false">IF($G1288="","",_xlfn.MINIFS($E$5:$E$1504,$A$5:$A$1504,$A1288,$D$5:$D$1504,"&lt;&gt;تسليم",$E$5:$E$1504,"&gt;="&amp;$E1288))</f>
        <v/>
      </c>
      <c r="I1288" s="33" t="str">
        <f aca="false">IF($G1288="","",_xlfn.MINIFS($E$5:$E$1504,$A$5:$A$1504,$A1288,$D$5:$D$1504,"تسليم",$E$5:$E$1504,"&gt;"&amp;$E1288))</f>
        <v/>
      </c>
      <c r="J1288" s="33" t="str">
        <f aca="false">IF($G1288="","",IF(H1288&gt;0,IF(I1288&gt;0,MIN(H1288,I1288),H1288),IF(I1288&gt;0,I1288,تاريخ_الاحتساب)))</f>
        <v/>
      </c>
      <c r="K1288" s="34" t="str">
        <f aca="false">IF($G1288="","",IF(AND(H1288=0,I1288=0),"جارية","مغلقة"))</f>
        <v/>
      </c>
      <c r="L1288" s="26" t="str">
        <f aca="false">IF($G1288="","",MAX(0,NETWORKDAYS.INTL($E1288,J1288,رمز_العطلة,أيام_الأجازات)-1))</f>
        <v/>
      </c>
      <c r="M1288" s="26" t="str">
        <f aca="false">IF($G1288="","",MAX(0,L1288-مهلة_المراجعة))</f>
        <v/>
      </c>
      <c r="N1288" s="30" t="str">
        <f aca="false">IF($A1288="",IF(OR($D1288&lt;&gt;"",$E1288&lt;&gt;""),"رقم المخرج ناقص",""),IF(ISNA(MATCH($A1288,قائمة_المخرجات,0)),"رقم مخرج غير موجود",IF($D1288="","نوع الحركة ناقص",IF(NOT(ISNUMBER($E1288)),"التاريخ ناقص",IF($E1288&gt;تاريخ_الاحتساب,"تاريخ بعد تاريخ الاحتساب",IF(AND($D1288&lt;&gt;"تسليم",COUNTIFS($A$5:$A$1504,$A1288,$D$5:$D$1504,"تسليم",$E$5:$E$1504,"&lt;="&amp;$E1288)=0),"لا يوجد تسليم قبل الحركة دي",""))))))</f>
        <v/>
      </c>
    </row>
    <row r="1289" customFormat="false" ht="15" hidden="false" customHeight="false" outlineLevel="0" collapsed="false">
      <c r="A1289" s="20"/>
      <c r="B1289" s="35" t="str">
        <f aca="false">IF($A1289="","",IFERROR(INDEX(مخرج_البند,MATCH($A1289,قائمة_المخرجات,0)),""))</f>
        <v/>
      </c>
      <c r="C1289" s="30" t="str">
        <f aca="false">IF($A1289="","",IFERROR(INDEX(مخرج_الوصف,MATCH($A1289,قائمة_المخرجات,0)),""))</f>
        <v/>
      </c>
      <c r="D1289" s="20"/>
      <c r="E1289" s="31"/>
      <c r="F1289" s="22"/>
      <c r="G1289" s="36" t="str">
        <f aca="false">IF(OR($A1289="",$D1289&lt;&gt;"تسليم",NOT(ISNUMBER($E1289))),"",COUNTIFS($A$5:$A$1504,$A1289,$D$5:$D$1504,"تسليم",$E$5:$E$1504,"&lt;"&amp;$E1289)+1)</f>
        <v/>
      </c>
      <c r="H1289" s="33" t="str">
        <f aca="false">IF($G1289="","",_xlfn.MINIFS($E$5:$E$1504,$A$5:$A$1504,$A1289,$D$5:$D$1504,"&lt;&gt;تسليم",$E$5:$E$1504,"&gt;="&amp;$E1289))</f>
        <v/>
      </c>
      <c r="I1289" s="33" t="str">
        <f aca="false">IF($G1289="","",_xlfn.MINIFS($E$5:$E$1504,$A$5:$A$1504,$A1289,$D$5:$D$1504,"تسليم",$E$5:$E$1504,"&gt;"&amp;$E1289))</f>
        <v/>
      </c>
      <c r="J1289" s="33" t="str">
        <f aca="false">IF($G1289="","",IF(H1289&gt;0,IF(I1289&gt;0,MIN(H1289,I1289),H1289),IF(I1289&gt;0,I1289,تاريخ_الاحتساب)))</f>
        <v/>
      </c>
      <c r="K1289" s="34" t="str">
        <f aca="false">IF($G1289="","",IF(AND(H1289=0,I1289=0),"جارية","مغلقة"))</f>
        <v/>
      </c>
      <c r="L1289" s="26" t="str">
        <f aca="false">IF($G1289="","",MAX(0,NETWORKDAYS.INTL($E1289,J1289,رمز_العطلة,أيام_الأجازات)-1))</f>
        <v/>
      </c>
      <c r="M1289" s="26" t="str">
        <f aca="false">IF($G1289="","",MAX(0,L1289-مهلة_المراجعة))</f>
        <v/>
      </c>
      <c r="N1289" s="30" t="str">
        <f aca="false">IF($A1289="",IF(OR($D1289&lt;&gt;"",$E1289&lt;&gt;""),"رقم المخرج ناقص",""),IF(ISNA(MATCH($A1289,قائمة_المخرجات,0)),"رقم مخرج غير موجود",IF($D1289="","نوع الحركة ناقص",IF(NOT(ISNUMBER($E1289)),"التاريخ ناقص",IF($E1289&gt;تاريخ_الاحتساب,"تاريخ بعد تاريخ الاحتساب",IF(AND($D1289&lt;&gt;"تسليم",COUNTIFS($A$5:$A$1504,$A1289,$D$5:$D$1504,"تسليم",$E$5:$E$1504,"&lt;="&amp;$E1289)=0),"لا يوجد تسليم قبل الحركة دي",""))))))</f>
        <v/>
      </c>
    </row>
    <row r="1290" customFormat="false" ht="15" hidden="false" customHeight="false" outlineLevel="0" collapsed="false">
      <c r="A1290" s="20"/>
      <c r="B1290" s="35" t="str">
        <f aca="false">IF($A1290="","",IFERROR(INDEX(مخرج_البند,MATCH($A1290,قائمة_المخرجات,0)),""))</f>
        <v/>
      </c>
      <c r="C1290" s="30" t="str">
        <f aca="false">IF($A1290="","",IFERROR(INDEX(مخرج_الوصف,MATCH($A1290,قائمة_المخرجات,0)),""))</f>
        <v/>
      </c>
      <c r="D1290" s="20"/>
      <c r="E1290" s="31"/>
      <c r="F1290" s="22"/>
      <c r="G1290" s="36" t="str">
        <f aca="false">IF(OR($A1290="",$D1290&lt;&gt;"تسليم",NOT(ISNUMBER($E1290))),"",COUNTIFS($A$5:$A$1504,$A1290,$D$5:$D$1504,"تسليم",$E$5:$E$1504,"&lt;"&amp;$E1290)+1)</f>
        <v/>
      </c>
      <c r="H1290" s="33" t="str">
        <f aca="false">IF($G1290="","",_xlfn.MINIFS($E$5:$E$1504,$A$5:$A$1504,$A1290,$D$5:$D$1504,"&lt;&gt;تسليم",$E$5:$E$1504,"&gt;="&amp;$E1290))</f>
        <v/>
      </c>
      <c r="I1290" s="33" t="str">
        <f aca="false">IF($G1290="","",_xlfn.MINIFS($E$5:$E$1504,$A$5:$A$1504,$A1290,$D$5:$D$1504,"تسليم",$E$5:$E$1504,"&gt;"&amp;$E1290))</f>
        <v/>
      </c>
      <c r="J1290" s="33" t="str">
        <f aca="false">IF($G1290="","",IF(H1290&gt;0,IF(I1290&gt;0,MIN(H1290,I1290),H1290),IF(I1290&gt;0,I1290,تاريخ_الاحتساب)))</f>
        <v/>
      </c>
      <c r="K1290" s="34" t="str">
        <f aca="false">IF($G1290="","",IF(AND(H1290=0,I1290=0),"جارية","مغلقة"))</f>
        <v/>
      </c>
      <c r="L1290" s="26" t="str">
        <f aca="false">IF($G1290="","",MAX(0,NETWORKDAYS.INTL($E1290,J1290,رمز_العطلة,أيام_الأجازات)-1))</f>
        <v/>
      </c>
      <c r="M1290" s="26" t="str">
        <f aca="false">IF($G1290="","",MAX(0,L1290-مهلة_المراجعة))</f>
        <v/>
      </c>
      <c r="N1290" s="30" t="str">
        <f aca="false">IF($A1290="",IF(OR($D1290&lt;&gt;"",$E1290&lt;&gt;""),"رقم المخرج ناقص",""),IF(ISNA(MATCH($A1290,قائمة_المخرجات,0)),"رقم مخرج غير موجود",IF($D1290="","نوع الحركة ناقص",IF(NOT(ISNUMBER($E1290)),"التاريخ ناقص",IF($E1290&gt;تاريخ_الاحتساب,"تاريخ بعد تاريخ الاحتساب",IF(AND($D1290&lt;&gt;"تسليم",COUNTIFS($A$5:$A$1504,$A1290,$D$5:$D$1504,"تسليم",$E$5:$E$1504,"&lt;="&amp;$E1290)=0),"لا يوجد تسليم قبل الحركة دي",""))))))</f>
        <v/>
      </c>
    </row>
    <row r="1291" customFormat="false" ht="15" hidden="false" customHeight="false" outlineLevel="0" collapsed="false">
      <c r="A1291" s="20"/>
      <c r="B1291" s="35" t="str">
        <f aca="false">IF($A1291="","",IFERROR(INDEX(مخرج_البند,MATCH($A1291,قائمة_المخرجات,0)),""))</f>
        <v/>
      </c>
      <c r="C1291" s="30" t="str">
        <f aca="false">IF($A1291="","",IFERROR(INDEX(مخرج_الوصف,MATCH($A1291,قائمة_المخرجات,0)),""))</f>
        <v/>
      </c>
      <c r="D1291" s="20"/>
      <c r="E1291" s="31"/>
      <c r="F1291" s="22"/>
      <c r="G1291" s="36" t="str">
        <f aca="false">IF(OR($A1291="",$D1291&lt;&gt;"تسليم",NOT(ISNUMBER($E1291))),"",COUNTIFS($A$5:$A$1504,$A1291,$D$5:$D$1504,"تسليم",$E$5:$E$1504,"&lt;"&amp;$E1291)+1)</f>
        <v/>
      </c>
      <c r="H1291" s="33" t="str">
        <f aca="false">IF($G1291="","",_xlfn.MINIFS($E$5:$E$1504,$A$5:$A$1504,$A1291,$D$5:$D$1504,"&lt;&gt;تسليم",$E$5:$E$1504,"&gt;="&amp;$E1291))</f>
        <v/>
      </c>
      <c r="I1291" s="33" t="str">
        <f aca="false">IF($G1291="","",_xlfn.MINIFS($E$5:$E$1504,$A$5:$A$1504,$A1291,$D$5:$D$1504,"تسليم",$E$5:$E$1504,"&gt;"&amp;$E1291))</f>
        <v/>
      </c>
      <c r="J1291" s="33" t="str">
        <f aca="false">IF($G1291="","",IF(H1291&gt;0,IF(I1291&gt;0,MIN(H1291,I1291),H1291),IF(I1291&gt;0,I1291,تاريخ_الاحتساب)))</f>
        <v/>
      </c>
      <c r="K1291" s="34" t="str">
        <f aca="false">IF($G1291="","",IF(AND(H1291=0,I1291=0),"جارية","مغلقة"))</f>
        <v/>
      </c>
      <c r="L1291" s="26" t="str">
        <f aca="false">IF($G1291="","",MAX(0,NETWORKDAYS.INTL($E1291,J1291,رمز_العطلة,أيام_الأجازات)-1))</f>
        <v/>
      </c>
      <c r="M1291" s="26" t="str">
        <f aca="false">IF($G1291="","",MAX(0,L1291-مهلة_المراجعة))</f>
        <v/>
      </c>
      <c r="N1291" s="30" t="str">
        <f aca="false">IF($A1291="",IF(OR($D1291&lt;&gt;"",$E1291&lt;&gt;""),"رقم المخرج ناقص",""),IF(ISNA(MATCH($A1291,قائمة_المخرجات,0)),"رقم مخرج غير موجود",IF($D1291="","نوع الحركة ناقص",IF(NOT(ISNUMBER($E1291)),"التاريخ ناقص",IF($E1291&gt;تاريخ_الاحتساب,"تاريخ بعد تاريخ الاحتساب",IF(AND($D1291&lt;&gt;"تسليم",COUNTIFS($A$5:$A$1504,$A1291,$D$5:$D$1504,"تسليم",$E$5:$E$1504,"&lt;="&amp;$E1291)=0),"لا يوجد تسليم قبل الحركة دي",""))))))</f>
        <v/>
      </c>
    </row>
    <row r="1292" customFormat="false" ht="15" hidden="false" customHeight="false" outlineLevel="0" collapsed="false">
      <c r="A1292" s="20"/>
      <c r="B1292" s="35" t="str">
        <f aca="false">IF($A1292="","",IFERROR(INDEX(مخرج_البند,MATCH($A1292,قائمة_المخرجات,0)),""))</f>
        <v/>
      </c>
      <c r="C1292" s="30" t="str">
        <f aca="false">IF($A1292="","",IFERROR(INDEX(مخرج_الوصف,MATCH($A1292,قائمة_المخرجات,0)),""))</f>
        <v/>
      </c>
      <c r="D1292" s="20"/>
      <c r="E1292" s="31"/>
      <c r="F1292" s="22"/>
      <c r="G1292" s="36" t="str">
        <f aca="false">IF(OR($A1292="",$D1292&lt;&gt;"تسليم",NOT(ISNUMBER($E1292))),"",COUNTIFS($A$5:$A$1504,$A1292,$D$5:$D$1504,"تسليم",$E$5:$E$1504,"&lt;"&amp;$E1292)+1)</f>
        <v/>
      </c>
      <c r="H1292" s="33" t="str">
        <f aca="false">IF($G1292="","",_xlfn.MINIFS($E$5:$E$1504,$A$5:$A$1504,$A1292,$D$5:$D$1504,"&lt;&gt;تسليم",$E$5:$E$1504,"&gt;="&amp;$E1292))</f>
        <v/>
      </c>
      <c r="I1292" s="33" t="str">
        <f aca="false">IF($G1292="","",_xlfn.MINIFS($E$5:$E$1504,$A$5:$A$1504,$A1292,$D$5:$D$1504,"تسليم",$E$5:$E$1504,"&gt;"&amp;$E1292))</f>
        <v/>
      </c>
      <c r="J1292" s="33" t="str">
        <f aca="false">IF($G1292="","",IF(H1292&gt;0,IF(I1292&gt;0,MIN(H1292,I1292),H1292),IF(I1292&gt;0,I1292,تاريخ_الاحتساب)))</f>
        <v/>
      </c>
      <c r="K1292" s="34" t="str">
        <f aca="false">IF($G1292="","",IF(AND(H1292=0,I1292=0),"جارية","مغلقة"))</f>
        <v/>
      </c>
      <c r="L1292" s="26" t="str">
        <f aca="false">IF($G1292="","",MAX(0,NETWORKDAYS.INTL($E1292,J1292,رمز_العطلة,أيام_الأجازات)-1))</f>
        <v/>
      </c>
      <c r="M1292" s="26" t="str">
        <f aca="false">IF($G1292="","",MAX(0,L1292-مهلة_المراجعة))</f>
        <v/>
      </c>
      <c r="N1292" s="30" t="str">
        <f aca="false">IF($A1292="",IF(OR($D1292&lt;&gt;"",$E1292&lt;&gt;""),"رقم المخرج ناقص",""),IF(ISNA(MATCH($A1292,قائمة_المخرجات,0)),"رقم مخرج غير موجود",IF($D1292="","نوع الحركة ناقص",IF(NOT(ISNUMBER($E1292)),"التاريخ ناقص",IF($E1292&gt;تاريخ_الاحتساب,"تاريخ بعد تاريخ الاحتساب",IF(AND($D1292&lt;&gt;"تسليم",COUNTIFS($A$5:$A$1504,$A1292,$D$5:$D$1504,"تسليم",$E$5:$E$1504,"&lt;="&amp;$E1292)=0),"لا يوجد تسليم قبل الحركة دي",""))))))</f>
        <v/>
      </c>
    </row>
    <row r="1293" customFormat="false" ht="15" hidden="false" customHeight="false" outlineLevel="0" collapsed="false">
      <c r="A1293" s="20"/>
      <c r="B1293" s="35" t="str">
        <f aca="false">IF($A1293="","",IFERROR(INDEX(مخرج_البند,MATCH($A1293,قائمة_المخرجات,0)),""))</f>
        <v/>
      </c>
      <c r="C1293" s="30" t="str">
        <f aca="false">IF($A1293="","",IFERROR(INDEX(مخرج_الوصف,MATCH($A1293,قائمة_المخرجات,0)),""))</f>
        <v/>
      </c>
      <c r="D1293" s="20"/>
      <c r="E1293" s="31"/>
      <c r="F1293" s="22"/>
      <c r="G1293" s="36" t="str">
        <f aca="false">IF(OR($A1293="",$D1293&lt;&gt;"تسليم",NOT(ISNUMBER($E1293))),"",COUNTIFS($A$5:$A$1504,$A1293,$D$5:$D$1504,"تسليم",$E$5:$E$1504,"&lt;"&amp;$E1293)+1)</f>
        <v/>
      </c>
      <c r="H1293" s="33" t="str">
        <f aca="false">IF($G1293="","",_xlfn.MINIFS($E$5:$E$1504,$A$5:$A$1504,$A1293,$D$5:$D$1504,"&lt;&gt;تسليم",$E$5:$E$1504,"&gt;="&amp;$E1293))</f>
        <v/>
      </c>
      <c r="I1293" s="33" t="str">
        <f aca="false">IF($G1293="","",_xlfn.MINIFS($E$5:$E$1504,$A$5:$A$1504,$A1293,$D$5:$D$1504,"تسليم",$E$5:$E$1504,"&gt;"&amp;$E1293))</f>
        <v/>
      </c>
      <c r="J1293" s="33" t="str">
        <f aca="false">IF($G1293="","",IF(H1293&gt;0,IF(I1293&gt;0,MIN(H1293,I1293),H1293),IF(I1293&gt;0,I1293,تاريخ_الاحتساب)))</f>
        <v/>
      </c>
      <c r="K1293" s="34" t="str">
        <f aca="false">IF($G1293="","",IF(AND(H1293=0,I1293=0),"جارية","مغلقة"))</f>
        <v/>
      </c>
      <c r="L1293" s="26" t="str">
        <f aca="false">IF($G1293="","",MAX(0,NETWORKDAYS.INTL($E1293,J1293,رمز_العطلة,أيام_الأجازات)-1))</f>
        <v/>
      </c>
      <c r="M1293" s="26" t="str">
        <f aca="false">IF($G1293="","",MAX(0,L1293-مهلة_المراجعة))</f>
        <v/>
      </c>
      <c r="N1293" s="30" t="str">
        <f aca="false">IF($A1293="",IF(OR($D1293&lt;&gt;"",$E1293&lt;&gt;""),"رقم المخرج ناقص",""),IF(ISNA(MATCH($A1293,قائمة_المخرجات,0)),"رقم مخرج غير موجود",IF($D1293="","نوع الحركة ناقص",IF(NOT(ISNUMBER($E1293)),"التاريخ ناقص",IF($E1293&gt;تاريخ_الاحتساب,"تاريخ بعد تاريخ الاحتساب",IF(AND($D1293&lt;&gt;"تسليم",COUNTIFS($A$5:$A$1504,$A1293,$D$5:$D$1504,"تسليم",$E$5:$E$1504,"&lt;="&amp;$E1293)=0),"لا يوجد تسليم قبل الحركة دي",""))))))</f>
        <v/>
      </c>
    </row>
    <row r="1294" customFormat="false" ht="15" hidden="false" customHeight="false" outlineLevel="0" collapsed="false">
      <c r="A1294" s="20"/>
      <c r="B1294" s="35" t="str">
        <f aca="false">IF($A1294="","",IFERROR(INDEX(مخرج_البند,MATCH($A1294,قائمة_المخرجات,0)),""))</f>
        <v/>
      </c>
      <c r="C1294" s="30" t="str">
        <f aca="false">IF($A1294="","",IFERROR(INDEX(مخرج_الوصف,MATCH($A1294,قائمة_المخرجات,0)),""))</f>
        <v/>
      </c>
      <c r="D1294" s="20"/>
      <c r="E1294" s="31"/>
      <c r="F1294" s="22"/>
      <c r="G1294" s="36" t="str">
        <f aca="false">IF(OR($A1294="",$D1294&lt;&gt;"تسليم",NOT(ISNUMBER($E1294))),"",COUNTIFS($A$5:$A$1504,$A1294,$D$5:$D$1504,"تسليم",$E$5:$E$1504,"&lt;"&amp;$E1294)+1)</f>
        <v/>
      </c>
      <c r="H1294" s="33" t="str">
        <f aca="false">IF($G1294="","",_xlfn.MINIFS($E$5:$E$1504,$A$5:$A$1504,$A1294,$D$5:$D$1504,"&lt;&gt;تسليم",$E$5:$E$1504,"&gt;="&amp;$E1294))</f>
        <v/>
      </c>
      <c r="I1294" s="33" t="str">
        <f aca="false">IF($G1294="","",_xlfn.MINIFS($E$5:$E$1504,$A$5:$A$1504,$A1294,$D$5:$D$1504,"تسليم",$E$5:$E$1504,"&gt;"&amp;$E1294))</f>
        <v/>
      </c>
      <c r="J1294" s="33" t="str">
        <f aca="false">IF($G1294="","",IF(H1294&gt;0,IF(I1294&gt;0,MIN(H1294,I1294),H1294),IF(I1294&gt;0,I1294,تاريخ_الاحتساب)))</f>
        <v/>
      </c>
      <c r="K1294" s="34" t="str">
        <f aca="false">IF($G1294="","",IF(AND(H1294=0,I1294=0),"جارية","مغلقة"))</f>
        <v/>
      </c>
      <c r="L1294" s="26" t="str">
        <f aca="false">IF($G1294="","",MAX(0,NETWORKDAYS.INTL($E1294,J1294,رمز_العطلة,أيام_الأجازات)-1))</f>
        <v/>
      </c>
      <c r="M1294" s="26" t="str">
        <f aca="false">IF($G1294="","",MAX(0,L1294-مهلة_المراجعة))</f>
        <v/>
      </c>
      <c r="N1294" s="30" t="str">
        <f aca="false">IF($A1294="",IF(OR($D1294&lt;&gt;"",$E1294&lt;&gt;""),"رقم المخرج ناقص",""),IF(ISNA(MATCH($A1294,قائمة_المخرجات,0)),"رقم مخرج غير موجود",IF($D1294="","نوع الحركة ناقص",IF(NOT(ISNUMBER($E1294)),"التاريخ ناقص",IF($E1294&gt;تاريخ_الاحتساب,"تاريخ بعد تاريخ الاحتساب",IF(AND($D1294&lt;&gt;"تسليم",COUNTIFS($A$5:$A$1504,$A1294,$D$5:$D$1504,"تسليم",$E$5:$E$1504,"&lt;="&amp;$E1294)=0),"لا يوجد تسليم قبل الحركة دي",""))))))</f>
        <v/>
      </c>
    </row>
    <row r="1295" customFormat="false" ht="15" hidden="false" customHeight="false" outlineLevel="0" collapsed="false">
      <c r="A1295" s="20"/>
      <c r="B1295" s="35" t="str">
        <f aca="false">IF($A1295="","",IFERROR(INDEX(مخرج_البند,MATCH($A1295,قائمة_المخرجات,0)),""))</f>
        <v/>
      </c>
      <c r="C1295" s="30" t="str">
        <f aca="false">IF($A1295="","",IFERROR(INDEX(مخرج_الوصف,MATCH($A1295,قائمة_المخرجات,0)),""))</f>
        <v/>
      </c>
      <c r="D1295" s="20"/>
      <c r="E1295" s="31"/>
      <c r="F1295" s="22"/>
      <c r="G1295" s="36" t="str">
        <f aca="false">IF(OR($A1295="",$D1295&lt;&gt;"تسليم",NOT(ISNUMBER($E1295))),"",COUNTIFS($A$5:$A$1504,$A1295,$D$5:$D$1504,"تسليم",$E$5:$E$1504,"&lt;"&amp;$E1295)+1)</f>
        <v/>
      </c>
      <c r="H1295" s="33" t="str">
        <f aca="false">IF($G1295="","",_xlfn.MINIFS($E$5:$E$1504,$A$5:$A$1504,$A1295,$D$5:$D$1504,"&lt;&gt;تسليم",$E$5:$E$1504,"&gt;="&amp;$E1295))</f>
        <v/>
      </c>
      <c r="I1295" s="33" t="str">
        <f aca="false">IF($G1295="","",_xlfn.MINIFS($E$5:$E$1504,$A$5:$A$1504,$A1295,$D$5:$D$1504,"تسليم",$E$5:$E$1504,"&gt;"&amp;$E1295))</f>
        <v/>
      </c>
      <c r="J1295" s="33" t="str">
        <f aca="false">IF($G1295="","",IF(H1295&gt;0,IF(I1295&gt;0,MIN(H1295,I1295),H1295),IF(I1295&gt;0,I1295,تاريخ_الاحتساب)))</f>
        <v/>
      </c>
      <c r="K1295" s="34" t="str">
        <f aca="false">IF($G1295="","",IF(AND(H1295=0,I1295=0),"جارية","مغلقة"))</f>
        <v/>
      </c>
      <c r="L1295" s="26" t="str">
        <f aca="false">IF($G1295="","",MAX(0,NETWORKDAYS.INTL($E1295,J1295,رمز_العطلة,أيام_الأجازات)-1))</f>
        <v/>
      </c>
      <c r="M1295" s="26" t="str">
        <f aca="false">IF($G1295="","",MAX(0,L1295-مهلة_المراجعة))</f>
        <v/>
      </c>
      <c r="N1295" s="30" t="str">
        <f aca="false">IF($A1295="",IF(OR($D1295&lt;&gt;"",$E1295&lt;&gt;""),"رقم المخرج ناقص",""),IF(ISNA(MATCH($A1295,قائمة_المخرجات,0)),"رقم مخرج غير موجود",IF($D1295="","نوع الحركة ناقص",IF(NOT(ISNUMBER($E1295)),"التاريخ ناقص",IF($E1295&gt;تاريخ_الاحتساب,"تاريخ بعد تاريخ الاحتساب",IF(AND($D1295&lt;&gt;"تسليم",COUNTIFS($A$5:$A$1504,$A1295,$D$5:$D$1504,"تسليم",$E$5:$E$1504,"&lt;="&amp;$E1295)=0),"لا يوجد تسليم قبل الحركة دي",""))))))</f>
        <v/>
      </c>
    </row>
    <row r="1296" customFormat="false" ht="15" hidden="false" customHeight="false" outlineLevel="0" collapsed="false">
      <c r="A1296" s="20"/>
      <c r="B1296" s="35" t="str">
        <f aca="false">IF($A1296="","",IFERROR(INDEX(مخرج_البند,MATCH($A1296,قائمة_المخرجات,0)),""))</f>
        <v/>
      </c>
      <c r="C1296" s="30" t="str">
        <f aca="false">IF($A1296="","",IFERROR(INDEX(مخرج_الوصف,MATCH($A1296,قائمة_المخرجات,0)),""))</f>
        <v/>
      </c>
      <c r="D1296" s="20"/>
      <c r="E1296" s="31"/>
      <c r="F1296" s="22"/>
      <c r="G1296" s="36" t="str">
        <f aca="false">IF(OR($A1296="",$D1296&lt;&gt;"تسليم",NOT(ISNUMBER($E1296))),"",COUNTIFS($A$5:$A$1504,$A1296,$D$5:$D$1504,"تسليم",$E$5:$E$1504,"&lt;"&amp;$E1296)+1)</f>
        <v/>
      </c>
      <c r="H1296" s="33" t="str">
        <f aca="false">IF($G1296="","",_xlfn.MINIFS($E$5:$E$1504,$A$5:$A$1504,$A1296,$D$5:$D$1504,"&lt;&gt;تسليم",$E$5:$E$1504,"&gt;="&amp;$E1296))</f>
        <v/>
      </c>
      <c r="I1296" s="33" t="str">
        <f aca="false">IF($G1296="","",_xlfn.MINIFS($E$5:$E$1504,$A$5:$A$1504,$A1296,$D$5:$D$1504,"تسليم",$E$5:$E$1504,"&gt;"&amp;$E1296))</f>
        <v/>
      </c>
      <c r="J1296" s="33" t="str">
        <f aca="false">IF($G1296="","",IF(H1296&gt;0,IF(I1296&gt;0,MIN(H1296,I1296),H1296),IF(I1296&gt;0,I1296,تاريخ_الاحتساب)))</f>
        <v/>
      </c>
      <c r="K1296" s="34" t="str">
        <f aca="false">IF($G1296="","",IF(AND(H1296=0,I1296=0),"جارية","مغلقة"))</f>
        <v/>
      </c>
      <c r="L1296" s="26" t="str">
        <f aca="false">IF($G1296="","",MAX(0,NETWORKDAYS.INTL($E1296,J1296,رمز_العطلة,أيام_الأجازات)-1))</f>
        <v/>
      </c>
      <c r="M1296" s="26" t="str">
        <f aca="false">IF($G1296="","",MAX(0,L1296-مهلة_المراجعة))</f>
        <v/>
      </c>
      <c r="N1296" s="30" t="str">
        <f aca="false">IF($A1296="",IF(OR($D1296&lt;&gt;"",$E1296&lt;&gt;""),"رقم المخرج ناقص",""),IF(ISNA(MATCH($A1296,قائمة_المخرجات,0)),"رقم مخرج غير موجود",IF($D1296="","نوع الحركة ناقص",IF(NOT(ISNUMBER($E1296)),"التاريخ ناقص",IF($E1296&gt;تاريخ_الاحتساب,"تاريخ بعد تاريخ الاحتساب",IF(AND($D1296&lt;&gt;"تسليم",COUNTIFS($A$5:$A$1504,$A1296,$D$5:$D$1504,"تسليم",$E$5:$E$1504,"&lt;="&amp;$E1296)=0),"لا يوجد تسليم قبل الحركة دي",""))))))</f>
        <v/>
      </c>
    </row>
    <row r="1297" customFormat="false" ht="15" hidden="false" customHeight="false" outlineLevel="0" collapsed="false">
      <c r="A1297" s="20"/>
      <c r="B1297" s="35" t="str">
        <f aca="false">IF($A1297="","",IFERROR(INDEX(مخرج_البند,MATCH($A1297,قائمة_المخرجات,0)),""))</f>
        <v/>
      </c>
      <c r="C1297" s="30" t="str">
        <f aca="false">IF($A1297="","",IFERROR(INDEX(مخرج_الوصف,MATCH($A1297,قائمة_المخرجات,0)),""))</f>
        <v/>
      </c>
      <c r="D1297" s="20"/>
      <c r="E1297" s="31"/>
      <c r="F1297" s="22"/>
      <c r="G1297" s="36" t="str">
        <f aca="false">IF(OR($A1297="",$D1297&lt;&gt;"تسليم",NOT(ISNUMBER($E1297))),"",COUNTIFS($A$5:$A$1504,$A1297,$D$5:$D$1504,"تسليم",$E$5:$E$1504,"&lt;"&amp;$E1297)+1)</f>
        <v/>
      </c>
      <c r="H1297" s="33" t="str">
        <f aca="false">IF($G1297="","",_xlfn.MINIFS($E$5:$E$1504,$A$5:$A$1504,$A1297,$D$5:$D$1504,"&lt;&gt;تسليم",$E$5:$E$1504,"&gt;="&amp;$E1297))</f>
        <v/>
      </c>
      <c r="I1297" s="33" t="str">
        <f aca="false">IF($G1297="","",_xlfn.MINIFS($E$5:$E$1504,$A$5:$A$1504,$A1297,$D$5:$D$1504,"تسليم",$E$5:$E$1504,"&gt;"&amp;$E1297))</f>
        <v/>
      </c>
      <c r="J1297" s="33" t="str">
        <f aca="false">IF($G1297="","",IF(H1297&gt;0,IF(I1297&gt;0,MIN(H1297,I1297),H1297),IF(I1297&gt;0,I1297,تاريخ_الاحتساب)))</f>
        <v/>
      </c>
      <c r="K1297" s="34" t="str">
        <f aca="false">IF($G1297="","",IF(AND(H1297=0,I1297=0),"جارية","مغلقة"))</f>
        <v/>
      </c>
      <c r="L1297" s="26" t="str">
        <f aca="false">IF($G1297="","",MAX(0,NETWORKDAYS.INTL($E1297,J1297,رمز_العطلة,أيام_الأجازات)-1))</f>
        <v/>
      </c>
      <c r="M1297" s="26" t="str">
        <f aca="false">IF($G1297="","",MAX(0,L1297-مهلة_المراجعة))</f>
        <v/>
      </c>
      <c r="N1297" s="30" t="str">
        <f aca="false">IF($A1297="",IF(OR($D1297&lt;&gt;"",$E1297&lt;&gt;""),"رقم المخرج ناقص",""),IF(ISNA(MATCH($A1297,قائمة_المخرجات,0)),"رقم مخرج غير موجود",IF($D1297="","نوع الحركة ناقص",IF(NOT(ISNUMBER($E1297)),"التاريخ ناقص",IF($E1297&gt;تاريخ_الاحتساب,"تاريخ بعد تاريخ الاحتساب",IF(AND($D1297&lt;&gt;"تسليم",COUNTIFS($A$5:$A$1504,$A1297,$D$5:$D$1504,"تسليم",$E$5:$E$1504,"&lt;="&amp;$E1297)=0),"لا يوجد تسليم قبل الحركة دي",""))))))</f>
        <v/>
      </c>
    </row>
    <row r="1298" customFormat="false" ht="15" hidden="false" customHeight="false" outlineLevel="0" collapsed="false">
      <c r="A1298" s="20"/>
      <c r="B1298" s="35" t="str">
        <f aca="false">IF($A1298="","",IFERROR(INDEX(مخرج_البند,MATCH($A1298,قائمة_المخرجات,0)),""))</f>
        <v/>
      </c>
      <c r="C1298" s="30" t="str">
        <f aca="false">IF($A1298="","",IFERROR(INDEX(مخرج_الوصف,MATCH($A1298,قائمة_المخرجات,0)),""))</f>
        <v/>
      </c>
      <c r="D1298" s="20"/>
      <c r="E1298" s="31"/>
      <c r="F1298" s="22"/>
      <c r="G1298" s="36" t="str">
        <f aca="false">IF(OR($A1298="",$D1298&lt;&gt;"تسليم",NOT(ISNUMBER($E1298))),"",COUNTIFS($A$5:$A$1504,$A1298,$D$5:$D$1504,"تسليم",$E$5:$E$1504,"&lt;"&amp;$E1298)+1)</f>
        <v/>
      </c>
      <c r="H1298" s="33" t="str">
        <f aca="false">IF($G1298="","",_xlfn.MINIFS($E$5:$E$1504,$A$5:$A$1504,$A1298,$D$5:$D$1504,"&lt;&gt;تسليم",$E$5:$E$1504,"&gt;="&amp;$E1298))</f>
        <v/>
      </c>
      <c r="I1298" s="33" t="str">
        <f aca="false">IF($G1298="","",_xlfn.MINIFS($E$5:$E$1504,$A$5:$A$1504,$A1298,$D$5:$D$1504,"تسليم",$E$5:$E$1504,"&gt;"&amp;$E1298))</f>
        <v/>
      </c>
      <c r="J1298" s="33" t="str">
        <f aca="false">IF($G1298="","",IF(H1298&gt;0,IF(I1298&gt;0,MIN(H1298,I1298),H1298),IF(I1298&gt;0,I1298,تاريخ_الاحتساب)))</f>
        <v/>
      </c>
      <c r="K1298" s="34" t="str">
        <f aca="false">IF($G1298="","",IF(AND(H1298=0,I1298=0),"جارية","مغلقة"))</f>
        <v/>
      </c>
      <c r="L1298" s="26" t="str">
        <f aca="false">IF($G1298="","",MAX(0,NETWORKDAYS.INTL($E1298,J1298,رمز_العطلة,أيام_الأجازات)-1))</f>
        <v/>
      </c>
      <c r="M1298" s="26" t="str">
        <f aca="false">IF($G1298="","",MAX(0,L1298-مهلة_المراجعة))</f>
        <v/>
      </c>
      <c r="N1298" s="30" t="str">
        <f aca="false">IF($A1298="",IF(OR($D1298&lt;&gt;"",$E1298&lt;&gt;""),"رقم المخرج ناقص",""),IF(ISNA(MATCH($A1298,قائمة_المخرجات,0)),"رقم مخرج غير موجود",IF($D1298="","نوع الحركة ناقص",IF(NOT(ISNUMBER($E1298)),"التاريخ ناقص",IF($E1298&gt;تاريخ_الاحتساب,"تاريخ بعد تاريخ الاحتساب",IF(AND($D1298&lt;&gt;"تسليم",COUNTIFS($A$5:$A$1504,$A1298,$D$5:$D$1504,"تسليم",$E$5:$E$1504,"&lt;="&amp;$E1298)=0),"لا يوجد تسليم قبل الحركة دي",""))))))</f>
        <v/>
      </c>
    </row>
    <row r="1299" customFormat="false" ht="15" hidden="false" customHeight="false" outlineLevel="0" collapsed="false">
      <c r="A1299" s="20"/>
      <c r="B1299" s="35" t="str">
        <f aca="false">IF($A1299="","",IFERROR(INDEX(مخرج_البند,MATCH($A1299,قائمة_المخرجات,0)),""))</f>
        <v/>
      </c>
      <c r="C1299" s="30" t="str">
        <f aca="false">IF($A1299="","",IFERROR(INDEX(مخرج_الوصف,MATCH($A1299,قائمة_المخرجات,0)),""))</f>
        <v/>
      </c>
      <c r="D1299" s="20"/>
      <c r="E1299" s="31"/>
      <c r="F1299" s="22"/>
      <c r="G1299" s="36" t="str">
        <f aca="false">IF(OR($A1299="",$D1299&lt;&gt;"تسليم",NOT(ISNUMBER($E1299))),"",COUNTIFS($A$5:$A$1504,$A1299,$D$5:$D$1504,"تسليم",$E$5:$E$1504,"&lt;"&amp;$E1299)+1)</f>
        <v/>
      </c>
      <c r="H1299" s="33" t="str">
        <f aca="false">IF($G1299="","",_xlfn.MINIFS($E$5:$E$1504,$A$5:$A$1504,$A1299,$D$5:$D$1504,"&lt;&gt;تسليم",$E$5:$E$1504,"&gt;="&amp;$E1299))</f>
        <v/>
      </c>
      <c r="I1299" s="33" t="str">
        <f aca="false">IF($G1299="","",_xlfn.MINIFS($E$5:$E$1504,$A$5:$A$1504,$A1299,$D$5:$D$1504,"تسليم",$E$5:$E$1504,"&gt;"&amp;$E1299))</f>
        <v/>
      </c>
      <c r="J1299" s="33" t="str">
        <f aca="false">IF($G1299="","",IF(H1299&gt;0,IF(I1299&gt;0,MIN(H1299,I1299),H1299),IF(I1299&gt;0,I1299,تاريخ_الاحتساب)))</f>
        <v/>
      </c>
      <c r="K1299" s="34" t="str">
        <f aca="false">IF($G1299="","",IF(AND(H1299=0,I1299=0),"جارية","مغلقة"))</f>
        <v/>
      </c>
      <c r="L1299" s="26" t="str">
        <f aca="false">IF($G1299="","",MAX(0,NETWORKDAYS.INTL($E1299,J1299,رمز_العطلة,أيام_الأجازات)-1))</f>
        <v/>
      </c>
      <c r="M1299" s="26" t="str">
        <f aca="false">IF($G1299="","",MAX(0,L1299-مهلة_المراجعة))</f>
        <v/>
      </c>
      <c r="N1299" s="30" t="str">
        <f aca="false">IF($A1299="",IF(OR($D1299&lt;&gt;"",$E1299&lt;&gt;""),"رقم المخرج ناقص",""),IF(ISNA(MATCH($A1299,قائمة_المخرجات,0)),"رقم مخرج غير موجود",IF($D1299="","نوع الحركة ناقص",IF(NOT(ISNUMBER($E1299)),"التاريخ ناقص",IF($E1299&gt;تاريخ_الاحتساب,"تاريخ بعد تاريخ الاحتساب",IF(AND($D1299&lt;&gt;"تسليم",COUNTIFS($A$5:$A$1504,$A1299,$D$5:$D$1504,"تسليم",$E$5:$E$1504,"&lt;="&amp;$E1299)=0),"لا يوجد تسليم قبل الحركة دي",""))))))</f>
        <v/>
      </c>
    </row>
    <row r="1300" customFormat="false" ht="15" hidden="false" customHeight="false" outlineLevel="0" collapsed="false">
      <c r="A1300" s="20"/>
      <c r="B1300" s="35" t="str">
        <f aca="false">IF($A1300="","",IFERROR(INDEX(مخرج_البند,MATCH($A1300,قائمة_المخرجات,0)),""))</f>
        <v/>
      </c>
      <c r="C1300" s="30" t="str">
        <f aca="false">IF($A1300="","",IFERROR(INDEX(مخرج_الوصف,MATCH($A1300,قائمة_المخرجات,0)),""))</f>
        <v/>
      </c>
      <c r="D1300" s="20"/>
      <c r="E1300" s="31"/>
      <c r="F1300" s="22"/>
      <c r="G1300" s="36" t="str">
        <f aca="false">IF(OR($A1300="",$D1300&lt;&gt;"تسليم",NOT(ISNUMBER($E1300))),"",COUNTIFS($A$5:$A$1504,$A1300,$D$5:$D$1504,"تسليم",$E$5:$E$1504,"&lt;"&amp;$E1300)+1)</f>
        <v/>
      </c>
      <c r="H1300" s="33" t="str">
        <f aca="false">IF($G1300="","",_xlfn.MINIFS($E$5:$E$1504,$A$5:$A$1504,$A1300,$D$5:$D$1504,"&lt;&gt;تسليم",$E$5:$E$1504,"&gt;="&amp;$E1300))</f>
        <v/>
      </c>
      <c r="I1300" s="33" t="str">
        <f aca="false">IF($G1300="","",_xlfn.MINIFS($E$5:$E$1504,$A$5:$A$1504,$A1300,$D$5:$D$1504,"تسليم",$E$5:$E$1504,"&gt;"&amp;$E1300))</f>
        <v/>
      </c>
      <c r="J1300" s="33" t="str">
        <f aca="false">IF($G1300="","",IF(H1300&gt;0,IF(I1300&gt;0,MIN(H1300,I1300),H1300),IF(I1300&gt;0,I1300,تاريخ_الاحتساب)))</f>
        <v/>
      </c>
      <c r="K1300" s="34" t="str">
        <f aca="false">IF($G1300="","",IF(AND(H1300=0,I1300=0),"جارية","مغلقة"))</f>
        <v/>
      </c>
      <c r="L1300" s="26" t="str">
        <f aca="false">IF($G1300="","",MAX(0,NETWORKDAYS.INTL($E1300,J1300,رمز_العطلة,أيام_الأجازات)-1))</f>
        <v/>
      </c>
      <c r="M1300" s="26" t="str">
        <f aca="false">IF($G1300="","",MAX(0,L1300-مهلة_المراجعة))</f>
        <v/>
      </c>
      <c r="N1300" s="30" t="str">
        <f aca="false">IF($A1300="",IF(OR($D1300&lt;&gt;"",$E1300&lt;&gt;""),"رقم المخرج ناقص",""),IF(ISNA(MATCH($A1300,قائمة_المخرجات,0)),"رقم مخرج غير موجود",IF($D1300="","نوع الحركة ناقص",IF(NOT(ISNUMBER($E1300)),"التاريخ ناقص",IF($E1300&gt;تاريخ_الاحتساب,"تاريخ بعد تاريخ الاحتساب",IF(AND($D1300&lt;&gt;"تسليم",COUNTIFS($A$5:$A$1504,$A1300,$D$5:$D$1504,"تسليم",$E$5:$E$1504,"&lt;="&amp;$E1300)=0),"لا يوجد تسليم قبل الحركة دي",""))))))</f>
        <v/>
      </c>
    </row>
    <row r="1301" customFormat="false" ht="15" hidden="false" customHeight="false" outlineLevel="0" collapsed="false">
      <c r="A1301" s="20"/>
      <c r="B1301" s="35" t="str">
        <f aca="false">IF($A1301="","",IFERROR(INDEX(مخرج_البند,MATCH($A1301,قائمة_المخرجات,0)),""))</f>
        <v/>
      </c>
      <c r="C1301" s="30" t="str">
        <f aca="false">IF($A1301="","",IFERROR(INDEX(مخرج_الوصف,MATCH($A1301,قائمة_المخرجات,0)),""))</f>
        <v/>
      </c>
      <c r="D1301" s="20"/>
      <c r="E1301" s="31"/>
      <c r="F1301" s="22"/>
      <c r="G1301" s="36" t="str">
        <f aca="false">IF(OR($A1301="",$D1301&lt;&gt;"تسليم",NOT(ISNUMBER($E1301))),"",COUNTIFS($A$5:$A$1504,$A1301,$D$5:$D$1504,"تسليم",$E$5:$E$1504,"&lt;"&amp;$E1301)+1)</f>
        <v/>
      </c>
      <c r="H1301" s="33" t="str">
        <f aca="false">IF($G1301="","",_xlfn.MINIFS($E$5:$E$1504,$A$5:$A$1504,$A1301,$D$5:$D$1504,"&lt;&gt;تسليم",$E$5:$E$1504,"&gt;="&amp;$E1301))</f>
        <v/>
      </c>
      <c r="I1301" s="33" t="str">
        <f aca="false">IF($G1301="","",_xlfn.MINIFS($E$5:$E$1504,$A$5:$A$1504,$A1301,$D$5:$D$1504,"تسليم",$E$5:$E$1504,"&gt;"&amp;$E1301))</f>
        <v/>
      </c>
      <c r="J1301" s="33" t="str">
        <f aca="false">IF($G1301="","",IF(H1301&gt;0,IF(I1301&gt;0,MIN(H1301,I1301),H1301),IF(I1301&gt;0,I1301,تاريخ_الاحتساب)))</f>
        <v/>
      </c>
      <c r="K1301" s="34" t="str">
        <f aca="false">IF($G1301="","",IF(AND(H1301=0,I1301=0),"جارية","مغلقة"))</f>
        <v/>
      </c>
      <c r="L1301" s="26" t="str">
        <f aca="false">IF($G1301="","",MAX(0,NETWORKDAYS.INTL($E1301,J1301,رمز_العطلة,أيام_الأجازات)-1))</f>
        <v/>
      </c>
      <c r="M1301" s="26" t="str">
        <f aca="false">IF($G1301="","",MAX(0,L1301-مهلة_المراجعة))</f>
        <v/>
      </c>
      <c r="N1301" s="30" t="str">
        <f aca="false">IF($A1301="",IF(OR($D1301&lt;&gt;"",$E1301&lt;&gt;""),"رقم المخرج ناقص",""),IF(ISNA(MATCH($A1301,قائمة_المخرجات,0)),"رقم مخرج غير موجود",IF($D1301="","نوع الحركة ناقص",IF(NOT(ISNUMBER($E1301)),"التاريخ ناقص",IF($E1301&gt;تاريخ_الاحتساب,"تاريخ بعد تاريخ الاحتساب",IF(AND($D1301&lt;&gt;"تسليم",COUNTIFS($A$5:$A$1504,$A1301,$D$5:$D$1504,"تسليم",$E$5:$E$1504,"&lt;="&amp;$E1301)=0),"لا يوجد تسليم قبل الحركة دي",""))))))</f>
        <v/>
      </c>
    </row>
    <row r="1302" customFormat="false" ht="15" hidden="false" customHeight="false" outlineLevel="0" collapsed="false">
      <c r="A1302" s="20"/>
      <c r="B1302" s="35" t="str">
        <f aca="false">IF($A1302="","",IFERROR(INDEX(مخرج_البند,MATCH($A1302,قائمة_المخرجات,0)),""))</f>
        <v/>
      </c>
      <c r="C1302" s="30" t="str">
        <f aca="false">IF($A1302="","",IFERROR(INDEX(مخرج_الوصف,MATCH($A1302,قائمة_المخرجات,0)),""))</f>
        <v/>
      </c>
      <c r="D1302" s="20"/>
      <c r="E1302" s="31"/>
      <c r="F1302" s="22"/>
      <c r="G1302" s="36" t="str">
        <f aca="false">IF(OR($A1302="",$D1302&lt;&gt;"تسليم",NOT(ISNUMBER($E1302))),"",COUNTIFS($A$5:$A$1504,$A1302,$D$5:$D$1504,"تسليم",$E$5:$E$1504,"&lt;"&amp;$E1302)+1)</f>
        <v/>
      </c>
      <c r="H1302" s="33" t="str">
        <f aca="false">IF($G1302="","",_xlfn.MINIFS($E$5:$E$1504,$A$5:$A$1504,$A1302,$D$5:$D$1504,"&lt;&gt;تسليم",$E$5:$E$1504,"&gt;="&amp;$E1302))</f>
        <v/>
      </c>
      <c r="I1302" s="33" t="str">
        <f aca="false">IF($G1302="","",_xlfn.MINIFS($E$5:$E$1504,$A$5:$A$1504,$A1302,$D$5:$D$1504,"تسليم",$E$5:$E$1504,"&gt;"&amp;$E1302))</f>
        <v/>
      </c>
      <c r="J1302" s="33" t="str">
        <f aca="false">IF($G1302="","",IF(H1302&gt;0,IF(I1302&gt;0,MIN(H1302,I1302),H1302),IF(I1302&gt;0,I1302,تاريخ_الاحتساب)))</f>
        <v/>
      </c>
      <c r="K1302" s="34" t="str">
        <f aca="false">IF($G1302="","",IF(AND(H1302=0,I1302=0),"جارية","مغلقة"))</f>
        <v/>
      </c>
      <c r="L1302" s="26" t="str">
        <f aca="false">IF($G1302="","",MAX(0,NETWORKDAYS.INTL($E1302,J1302,رمز_العطلة,أيام_الأجازات)-1))</f>
        <v/>
      </c>
      <c r="M1302" s="26" t="str">
        <f aca="false">IF($G1302="","",MAX(0,L1302-مهلة_المراجعة))</f>
        <v/>
      </c>
      <c r="N1302" s="30" t="str">
        <f aca="false">IF($A1302="",IF(OR($D1302&lt;&gt;"",$E1302&lt;&gt;""),"رقم المخرج ناقص",""),IF(ISNA(MATCH($A1302,قائمة_المخرجات,0)),"رقم مخرج غير موجود",IF($D1302="","نوع الحركة ناقص",IF(NOT(ISNUMBER($E1302)),"التاريخ ناقص",IF($E1302&gt;تاريخ_الاحتساب,"تاريخ بعد تاريخ الاحتساب",IF(AND($D1302&lt;&gt;"تسليم",COUNTIFS($A$5:$A$1504,$A1302,$D$5:$D$1504,"تسليم",$E$5:$E$1504,"&lt;="&amp;$E1302)=0),"لا يوجد تسليم قبل الحركة دي",""))))))</f>
        <v/>
      </c>
    </row>
    <row r="1303" customFormat="false" ht="15" hidden="false" customHeight="false" outlineLevel="0" collapsed="false">
      <c r="A1303" s="20"/>
      <c r="B1303" s="35" t="str">
        <f aca="false">IF($A1303="","",IFERROR(INDEX(مخرج_البند,MATCH($A1303,قائمة_المخرجات,0)),""))</f>
        <v/>
      </c>
      <c r="C1303" s="30" t="str">
        <f aca="false">IF($A1303="","",IFERROR(INDEX(مخرج_الوصف,MATCH($A1303,قائمة_المخرجات,0)),""))</f>
        <v/>
      </c>
      <c r="D1303" s="20"/>
      <c r="E1303" s="31"/>
      <c r="F1303" s="22"/>
      <c r="G1303" s="36" t="str">
        <f aca="false">IF(OR($A1303="",$D1303&lt;&gt;"تسليم",NOT(ISNUMBER($E1303))),"",COUNTIFS($A$5:$A$1504,$A1303,$D$5:$D$1504,"تسليم",$E$5:$E$1504,"&lt;"&amp;$E1303)+1)</f>
        <v/>
      </c>
      <c r="H1303" s="33" t="str">
        <f aca="false">IF($G1303="","",_xlfn.MINIFS($E$5:$E$1504,$A$5:$A$1504,$A1303,$D$5:$D$1504,"&lt;&gt;تسليم",$E$5:$E$1504,"&gt;="&amp;$E1303))</f>
        <v/>
      </c>
      <c r="I1303" s="33" t="str">
        <f aca="false">IF($G1303="","",_xlfn.MINIFS($E$5:$E$1504,$A$5:$A$1504,$A1303,$D$5:$D$1504,"تسليم",$E$5:$E$1504,"&gt;"&amp;$E1303))</f>
        <v/>
      </c>
      <c r="J1303" s="33" t="str">
        <f aca="false">IF($G1303="","",IF(H1303&gt;0,IF(I1303&gt;0,MIN(H1303,I1303),H1303),IF(I1303&gt;0,I1303,تاريخ_الاحتساب)))</f>
        <v/>
      </c>
      <c r="K1303" s="34" t="str">
        <f aca="false">IF($G1303="","",IF(AND(H1303=0,I1303=0),"جارية","مغلقة"))</f>
        <v/>
      </c>
      <c r="L1303" s="26" t="str">
        <f aca="false">IF($G1303="","",MAX(0,NETWORKDAYS.INTL($E1303,J1303,رمز_العطلة,أيام_الأجازات)-1))</f>
        <v/>
      </c>
      <c r="M1303" s="26" t="str">
        <f aca="false">IF($G1303="","",MAX(0,L1303-مهلة_المراجعة))</f>
        <v/>
      </c>
      <c r="N1303" s="30" t="str">
        <f aca="false">IF($A1303="",IF(OR($D1303&lt;&gt;"",$E1303&lt;&gt;""),"رقم المخرج ناقص",""),IF(ISNA(MATCH($A1303,قائمة_المخرجات,0)),"رقم مخرج غير موجود",IF($D1303="","نوع الحركة ناقص",IF(NOT(ISNUMBER($E1303)),"التاريخ ناقص",IF($E1303&gt;تاريخ_الاحتساب,"تاريخ بعد تاريخ الاحتساب",IF(AND($D1303&lt;&gt;"تسليم",COUNTIFS($A$5:$A$1504,$A1303,$D$5:$D$1504,"تسليم",$E$5:$E$1504,"&lt;="&amp;$E1303)=0),"لا يوجد تسليم قبل الحركة دي",""))))))</f>
        <v/>
      </c>
    </row>
    <row r="1304" customFormat="false" ht="15" hidden="false" customHeight="false" outlineLevel="0" collapsed="false">
      <c r="A1304" s="20"/>
      <c r="B1304" s="35" t="str">
        <f aca="false">IF($A1304="","",IFERROR(INDEX(مخرج_البند,MATCH($A1304,قائمة_المخرجات,0)),""))</f>
        <v/>
      </c>
      <c r="C1304" s="30" t="str">
        <f aca="false">IF($A1304="","",IFERROR(INDEX(مخرج_الوصف,MATCH($A1304,قائمة_المخرجات,0)),""))</f>
        <v/>
      </c>
      <c r="D1304" s="20"/>
      <c r="E1304" s="31"/>
      <c r="F1304" s="22"/>
      <c r="G1304" s="36" t="str">
        <f aca="false">IF(OR($A1304="",$D1304&lt;&gt;"تسليم",NOT(ISNUMBER($E1304))),"",COUNTIFS($A$5:$A$1504,$A1304,$D$5:$D$1504,"تسليم",$E$5:$E$1504,"&lt;"&amp;$E1304)+1)</f>
        <v/>
      </c>
      <c r="H1304" s="33" t="str">
        <f aca="false">IF($G1304="","",_xlfn.MINIFS($E$5:$E$1504,$A$5:$A$1504,$A1304,$D$5:$D$1504,"&lt;&gt;تسليم",$E$5:$E$1504,"&gt;="&amp;$E1304))</f>
        <v/>
      </c>
      <c r="I1304" s="33" t="str">
        <f aca="false">IF($G1304="","",_xlfn.MINIFS($E$5:$E$1504,$A$5:$A$1504,$A1304,$D$5:$D$1504,"تسليم",$E$5:$E$1504,"&gt;"&amp;$E1304))</f>
        <v/>
      </c>
      <c r="J1304" s="33" t="str">
        <f aca="false">IF($G1304="","",IF(H1304&gt;0,IF(I1304&gt;0,MIN(H1304,I1304),H1304),IF(I1304&gt;0,I1304,تاريخ_الاحتساب)))</f>
        <v/>
      </c>
      <c r="K1304" s="34" t="str">
        <f aca="false">IF($G1304="","",IF(AND(H1304=0,I1304=0),"جارية","مغلقة"))</f>
        <v/>
      </c>
      <c r="L1304" s="26" t="str">
        <f aca="false">IF($G1304="","",MAX(0,NETWORKDAYS.INTL($E1304,J1304,رمز_العطلة,أيام_الأجازات)-1))</f>
        <v/>
      </c>
      <c r="M1304" s="26" t="str">
        <f aca="false">IF($G1304="","",MAX(0,L1304-مهلة_المراجعة))</f>
        <v/>
      </c>
      <c r="N1304" s="30" t="str">
        <f aca="false">IF($A1304="",IF(OR($D1304&lt;&gt;"",$E1304&lt;&gt;""),"رقم المخرج ناقص",""),IF(ISNA(MATCH($A1304,قائمة_المخرجات,0)),"رقم مخرج غير موجود",IF($D1304="","نوع الحركة ناقص",IF(NOT(ISNUMBER($E1304)),"التاريخ ناقص",IF($E1304&gt;تاريخ_الاحتساب,"تاريخ بعد تاريخ الاحتساب",IF(AND($D1304&lt;&gt;"تسليم",COUNTIFS($A$5:$A$1504,$A1304,$D$5:$D$1504,"تسليم",$E$5:$E$1504,"&lt;="&amp;$E1304)=0),"لا يوجد تسليم قبل الحركة دي",""))))))</f>
        <v/>
      </c>
    </row>
    <row r="1305" customFormat="false" ht="15" hidden="false" customHeight="false" outlineLevel="0" collapsed="false">
      <c r="A1305" s="20"/>
      <c r="B1305" s="35" t="str">
        <f aca="false">IF($A1305="","",IFERROR(INDEX(مخرج_البند,MATCH($A1305,قائمة_المخرجات,0)),""))</f>
        <v/>
      </c>
      <c r="C1305" s="30" t="str">
        <f aca="false">IF($A1305="","",IFERROR(INDEX(مخرج_الوصف,MATCH($A1305,قائمة_المخرجات,0)),""))</f>
        <v/>
      </c>
      <c r="D1305" s="20"/>
      <c r="E1305" s="31"/>
      <c r="F1305" s="22"/>
      <c r="G1305" s="36" t="str">
        <f aca="false">IF(OR($A1305="",$D1305&lt;&gt;"تسليم",NOT(ISNUMBER($E1305))),"",COUNTIFS($A$5:$A$1504,$A1305,$D$5:$D$1504,"تسليم",$E$5:$E$1504,"&lt;"&amp;$E1305)+1)</f>
        <v/>
      </c>
      <c r="H1305" s="33" t="str">
        <f aca="false">IF($G1305="","",_xlfn.MINIFS($E$5:$E$1504,$A$5:$A$1504,$A1305,$D$5:$D$1504,"&lt;&gt;تسليم",$E$5:$E$1504,"&gt;="&amp;$E1305))</f>
        <v/>
      </c>
      <c r="I1305" s="33" t="str">
        <f aca="false">IF($G1305="","",_xlfn.MINIFS($E$5:$E$1504,$A$5:$A$1504,$A1305,$D$5:$D$1504,"تسليم",$E$5:$E$1504,"&gt;"&amp;$E1305))</f>
        <v/>
      </c>
      <c r="J1305" s="33" t="str">
        <f aca="false">IF($G1305="","",IF(H1305&gt;0,IF(I1305&gt;0,MIN(H1305,I1305),H1305),IF(I1305&gt;0,I1305,تاريخ_الاحتساب)))</f>
        <v/>
      </c>
      <c r="K1305" s="34" t="str">
        <f aca="false">IF($G1305="","",IF(AND(H1305=0,I1305=0),"جارية","مغلقة"))</f>
        <v/>
      </c>
      <c r="L1305" s="26" t="str">
        <f aca="false">IF($G1305="","",MAX(0,NETWORKDAYS.INTL($E1305,J1305,رمز_العطلة,أيام_الأجازات)-1))</f>
        <v/>
      </c>
      <c r="M1305" s="26" t="str">
        <f aca="false">IF($G1305="","",MAX(0,L1305-مهلة_المراجعة))</f>
        <v/>
      </c>
      <c r="N1305" s="30" t="str">
        <f aca="false">IF($A1305="",IF(OR($D1305&lt;&gt;"",$E1305&lt;&gt;""),"رقم المخرج ناقص",""),IF(ISNA(MATCH($A1305,قائمة_المخرجات,0)),"رقم مخرج غير موجود",IF($D1305="","نوع الحركة ناقص",IF(NOT(ISNUMBER($E1305)),"التاريخ ناقص",IF($E1305&gt;تاريخ_الاحتساب,"تاريخ بعد تاريخ الاحتساب",IF(AND($D1305&lt;&gt;"تسليم",COUNTIFS($A$5:$A$1504,$A1305,$D$5:$D$1504,"تسليم",$E$5:$E$1504,"&lt;="&amp;$E1305)=0),"لا يوجد تسليم قبل الحركة دي",""))))))</f>
        <v/>
      </c>
    </row>
    <row r="1306" customFormat="false" ht="15" hidden="false" customHeight="false" outlineLevel="0" collapsed="false">
      <c r="A1306" s="20"/>
      <c r="B1306" s="35" t="str">
        <f aca="false">IF($A1306="","",IFERROR(INDEX(مخرج_البند,MATCH($A1306,قائمة_المخرجات,0)),""))</f>
        <v/>
      </c>
      <c r="C1306" s="30" t="str">
        <f aca="false">IF($A1306="","",IFERROR(INDEX(مخرج_الوصف,MATCH($A1306,قائمة_المخرجات,0)),""))</f>
        <v/>
      </c>
      <c r="D1306" s="20"/>
      <c r="E1306" s="31"/>
      <c r="F1306" s="22"/>
      <c r="G1306" s="36" t="str">
        <f aca="false">IF(OR($A1306="",$D1306&lt;&gt;"تسليم",NOT(ISNUMBER($E1306))),"",COUNTIFS($A$5:$A$1504,$A1306,$D$5:$D$1504,"تسليم",$E$5:$E$1504,"&lt;"&amp;$E1306)+1)</f>
        <v/>
      </c>
      <c r="H1306" s="33" t="str">
        <f aca="false">IF($G1306="","",_xlfn.MINIFS($E$5:$E$1504,$A$5:$A$1504,$A1306,$D$5:$D$1504,"&lt;&gt;تسليم",$E$5:$E$1504,"&gt;="&amp;$E1306))</f>
        <v/>
      </c>
      <c r="I1306" s="33" t="str">
        <f aca="false">IF($G1306="","",_xlfn.MINIFS($E$5:$E$1504,$A$5:$A$1504,$A1306,$D$5:$D$1504,"تسليم",$E$5:$E$1504,"&gt;"&amp;$E1306))</f>
        <v/>
      </c>
      <c r="J1306" s="33" t="str">
        <f aca="false">IF($G1306="","",IF(H1306&gt;0,IF(I1306&gt;0,MIN(H1306,I1306),H1306),IF(I1306&gt;0,I1306,تاريخ_الاحتساب)))</f>
        <v/>
      </c>
      <c r="K1306" s="34" t="str">
        <f aca="false">IF($G1306="","",IF(AND(H1306=0,I1306=0),"جارية","مغلقة"))</f>
        <v/>
      </c>
      <c r="L1306" s="26" t="str">
        <f aca="false">IF($G1306="","",MAX(0,NETWORKDAYS.INTL($E1306,J1306,رمز_العطلة,أيام_الأجازات)-1))</f>
        <v/>
      </c>
      <c r="M1306" s="26" t="str">
        <f aca="false">IF($G1306="","",MAX(0,L1306-مهلة_المراجعة))</f>
        <v/>
      </c>
      <c r="N1306" s="30" t="str">
        <f aca="false">IF($A1306="",IF(OR($D1306&lt;&gt;"",$E1306&lt;&gt;""),"رقم المخرج ناقص",""),IF(ISNA(MATCH($A1306,قائمة_المخرجات,0)),"رقم مخرج غير موجود",IF($D1306="","نوع الحركة ناقص",IF(NOT(ISNUMBER($E1306)),"التاريخ ناقص",IF($E1306&gt;تاريخ_الاحتساب,"تاريخ بعد تاريخ الاحتساب",IF(AND($D1306&lt;&gt;"تسليم",COUNTIFS($A$5:$A$1504,$A1306,$D$5:$D$1504,"تسليم",$E$5:$E$1504,"&lt;="&amp;$E1306)=0),"لا يوجد تسليم قبل الحركة دي",""))))))</f>
        <v/>
      </c>
    </row>
    <row r="1307" customFormat="false" ht="15" hidden="false" customHeight="false" outlineLevel="0" collapsed="false">
      <c r="A1307" s="20"/>
      <c r="B1307" s="35" t="str">
        <f aca="false">IF($A1307="","",IFERROR(INDEX(مخرج_البند,MATCH($A1307,قائمة_المخرجات,0)),""))</f>
        <v/>
      </c>
      <c r="C1307" s="30" t="str">
        <f aca="false">IF($A1307="","",IFERROR(INDEX(مخرج_الوصف,MATCH($A1307,قائمة_المخرجات,0)),""))</f>
        <v/>
      </c>
      <c r="D1307" s="20"/>
      <c r="E1307" s="31"/>
      <c r="F1307" s="22"/>
      <c r="G1307" s="36" t="str">
        <f aca="false">IF(OR($A1307="",$D1307&lt;&gt;"تسليم",NOT(ISNUMBER($E1307))),"",COUNTIFS($A$5:$A$1504,$A1307,$D$5:$D$1504,"تسليم",$E$5:$E$1504,"&lt;"&amp;$E1307)+1)</f>
        <v/>
      </c>
      <c r="H1307" s="33" t="str">
        <f aca="false">IF($G1307="","",_xlfn.MINIFS($E$5:$E$1504,$A$5:$A$1504,$A1307,$D$5:$D$1504,"&lt;&gt;تسليم",$E$5:$E$1504,"&gt;="&amp;$E1307))</f>
        <v/>
      </c>
      <c r="I1307" s="33" t="str">
        <f aca="false">IF($G1307="","",_xlfn.MINIFS($E$5:$E$1504,$A$5:$A$1504,$A1307,$D$5:$D$1504,"تسليم",$E$5:$E$1504,"&gt;"&amp;$E1307))</f>
        <v/>
      </c>
      <c r="J1307" s="33" t="str">
        <f aca="false">IF($G1307="","",IF(H1307&gt;0,IF(I1307&gt;0,MIN(H1307,I1307),H1307),IF(I1307&gt;0,I1307,تاريخ_الاحتساب)))</f>
        <v/>
      </c>
      <c r="K1307" s="34" t="str">
        <f aca="false">IF($G1307="","",IF(AND(H1307=0,I1307=0),"جارية","مغلقة"))</f>
        <v/>
      </c>
      <c r="L1307" s="26" t="str">
        <f aca="false">IF($G1307="","",MAX(0,NETWORKDAYS.INTL($E1307,J1307,رمز_العطلة,أيام_الأجازات)-1))</f>
        <v/>
      </c>
      <c r="M1307" s="26" t="str">
        <f aca="false">IF($G1307="","",MAX(0,L1307-مهلة_المراجعة))</f>
        <v/>
      </c>
      <c r="N1307" s="30" t="str">
        <f aca="false">IF($A1307="",IF(OR($D1307&lt;&gt;"",$E1307&lt;&gt;""),"رقم المخرج ناقص",""),IF(ISNA(MATCH($A1307,قائمة_المخرجات,0)),"رقم مخرج غير موجود",IF($D1307="","نوع الحركة ناقص",IF(NOT(ISNUMBER($E1307)),"التاريخ ناقص",IF($E1307&gt;تاريخ_الاحتساب,"تاريخ بعد تاريخ الاحتساب",IF(AND($D1307&lt;&gt;"تسليم",COUNTIFS($A$5:$A$1504,$A1307,$D$5:$D$1504,"تسليم",$E$5:$E$1504,"&lt;="&amp;$E1307)=0),"لا يوجد تسليم قبل الحركة دي",""))))))</f>
        <v/>
      </c>
    </row>
    <row r="1308" customFormat="false" ht="15" hidden="false" customHeight="false" outlineLevel="0" collapsed="false">
      <c r="A1308" s="20"/>
      <c r="B1308" s="35" t="str">
        <f aca="false">IF($A1308="","",IFERROR(INDEX(مخرج_البند,MATCH($A1308,قائمة_المخرجات,0)),""))</f>
        <v/>
      </c>
      <c r="C1308" s="30" t="str">
        <f aca="false">IF($A1308="","",IFERROR(INDEX(مخرج_الوصف,MATCH($A1308,قائمة_المخرجات,0)),""))</f>
        <v/>
      </c>
      <c r="D1308" s="20"/>
      <c r="E1308" s="31"/>
      <c r="F1308" s="22"/>
      <c r="G1308" s="36" t="str">
        <f aca="false">IF(OR($A1308="",$D1308&lt;&gt;"تسليم",NOT(ISNUMBER($E1308))),"",COUNTIFS($A$5:$A$1504,$A1308,$D$5:$D$1504,"تسليم",$E$5:$E$1504,"&lt;"&amp;$E1308)+1)</f>
        <v/>
      </c>
      <c r="H1308" s="33" t="str">
        <f aca="false">IF($G1308="","",_xlfn.MINIFS($E$5:$E$1504,$A$5:$A$1504,$A1308,$D$5:$D$1504,"&lt;&gt;تسليم",$E$5:$E$1504,"&gt;="&amp;$E1308))</f>
        <v/>
      </c>
      <c r="I1308" s="33" t="str">
        <f aca="false">IF($G1308="","",_xlfn.MINIFS($E$5:$E$1504,$A$5:$A$1504,$A1308,$D$5:$D$1504,"تسليم",$E$5:$E$1504,"&gt;"&amp;$E1308))</f>
        <v/>
      </c>
      <c r="J1308" s="33" t="str">
        <f aca="false">IF($G1308="","",IF(H1308&gt;0,IF(I1308&gt;0,MIN(H1308,I1308),H1308),IF(I1308&gt;0,I1308,تاريخ_الاحتساب)))</f>
        <v/>
      </c>
      <c r="K1308" s="34" t="str">
        <f aca="false">IF($G1308="","",IF(AND(H1308=0,I1308=0),"جارية","مغلقة"))</f>
        <v/>
      </c>
      <c r="L1308" s="26" t="str">
        <f aca="false">IF($G1308="","",MAX(0,NETWORKDAYS.INTL($E1308,J1308,رمز_العطلة,أيام_الأجازات)-1))</f>
        <v/>
      </c>
      <c r="M1308" s="26" t="str">
        <f aca="false">IF($G1308="","",MAX(0,L1308-مهلة_المراجعة))</f>
        <v/>
      </c>
      <c r="N1308" s="30" t="str">
        <f aca="false">IF($A1308="",IF(OR($D1308&lt;&gt;"",$E1308&lt;&gt;""),"رقم المخرج ناقص",""),IF(ISNA(MATCH($A1308,قائمة_المخرجات,0)),"رقم مخرج غير موجود",IF($D1308="","نوع الحركة ناقص",IF(NOT(ISNUMBER($E1308)),"التاريخ ناقص",IF($E1308&gt;تاريخ_الاحتساب,"تاريخ بعد تاريخ الاحتساب",IF(AND($D1308&lt;&gt;"تسليم",COUNTIFS($A$5:$A$1504,$A1308,$D$5:$D$1504,"تسليم",$E$5:$E$1504,"&lt;="&amp;$E1308)=0),"لا يوجد تسليم قبل الحركة دي",""))))))</f>
        <v/>
      </c>
    </row>
    <row r="1309" customFormat="false" ht="15" hidden="false" customHeight="false" outlineLevel="0" collapsed="false">
      <c r="A1309" s="20"/>
      <c r="B1309" s="35" t="str">
        <f aca="false">IF($A1309="","",IFERROR(INDEX(مخرج_البند,MATCH($A1309,قائمة_المخرجات,0)),""))</f>
        <v/>
      </c>
      <c r="C1309" s="30" t="str">
        <f aca="false">IF($A1309="","",IFERROR(INDEX(مخرج_الوصف,MATCH($A1309,قائمة_المخرجات,0)),""))</f>
        <v/>
      </c>
      <c r="D1309" s="20"/>
      <c r="E1309" s="31"/>
      <c r="F1309" s="22"/>
      <c r="G1309" s="36" t="str">
        <f aca="false">IF(OR($A1309="",$D1309&lt;&gt;"تسليم",NOT(ISNUMBER($E1309))),"",COUNTIFS($A$5:$A$1504,$A1309,$D$5:$D$1504,"تسليم",$E$5:$E$1504,"&lt;"&amp;$E1309)+1)</f>
        <v/>
      </c>
      <c r="H1309" s="33" t="str">
        <f aca="false">IF($G1309="","",_xlfn.MINIFS($E$5:$E$1504,$A$5:$A$1504,$A1309,$D$5:$D$1504,"&lt;&gt;تسليم",$E$5:$E$1504,"&gt;="&amp;$E1309))</f>
        <v/>
      </c>
      <c r="I1309" s="33" t="str">
        <f aca="false">IF($G1309="","",_xlfn.MINIFS($E$5:$E$1504,$A$5:$A$1504,$A1309,$D$5:$D$1504,"تسليم",$E$5:$E$1504,"&gt;"&amp;$E1309))</f>
        <v/>
      </c>
      <c r="J1309" s="33" t="str">
        <f aca="false">IF($G1309="","",IF(H1309&gt;0,IF(I1309&gt;0,MIN(H1309,I1309),H1309),IF(I1309&gt;0,I1309,تاريخ_الاحتساب)))</f>
        <v/>
      </c>
      <c r="K1309" s="34" t="str">
        <f aca="false">IF($G1309="","",IF(AND(H1309=0,I1309=0),"جارية","مغلقة"))</f>
        <v/>
      </c>
      <c r="L1309" s="26" t="str">
        <f aca="false">IF($G1309="","",MAX(0,NETWORKDAYS.INTL($E1309,J1309,رمز_العطلة,أيام_الأجازات)-1))</f>
        <v/>
      </c>
      <c r="M1309" s="26" t="str">
        <f aca="false">IF($G1309="","",MAX(0,L1309-مهلة_المراجعة))</f>
        <v/>
      </c>
      <c r="N1309" s="30" t="str">
        <f aca="false">IF($A1309="",IF(OR($D1309&lt;&gt;"",$E1309&lt;&gt;""),"رقم المخرج ناقص",""),IF(ISNA(MATCH($A1309,قائمة_المخرجات,0)),"رقم مخرج غير موجود",IF($D1309="","نوع الحركة ناقص",IF(NOT(ISNUMBER($E1309)),"التاريخ ناقص",IF($E1309&gt;تاريخ_الاحتساب,"تاريخ بعد تاريخ الاحتساب",IF(AND($D1309&lt;&gt;"تسليم",COUNTIFS($A$5:$A$1504,$A1309,$D$5:$D$1504,"تسليم",$E$5:$E$1504,"&lt;="&amp;$E1309)=0),"لا يوجد تسليم قبل الحركة دي",""))))))</f>
        <v/>
      </c>
    </row>
    <row r="1310" customFormat="false" ht="15" hidden="false" customHeight="false" outlineLevel="0" collapsed="false">
      <c r="A1310" s="20"/>
      <c r="B1310" s="35" t="str">
        <f aca="false">IF($A1310="","",IFERROR(INDEX(مخرج_البند,MATCH($A1310,قائمة_المخرجات,0)),""))</f>
        <v/>
      </c>
      <c r="C1310" s="30" t="str">
        <f aca="false">IF($A1310="","",IFERROR(INDEX(مخرج_الوصف,MATCH($A1310,قائمة_المخرجات,0)),""))</f>
        <v/>
      </c>
      <c r="D1310" s="20"/>
      <c r="E1310" s="31"/>
      <c r="F1310" s="22"/>
      <c r="G1310" s="36" t="str">
        <f aca="false">IF(OR($A1310="",$D1310&lt;&gt;"تسليم",NOT(ISNUMBER($E1310))),"",COUNTIFS($A$5:$A$1504,$A1310,$D$5:$D$1504,"تسليم",$E$5:$E$1504,"&lt;"&amp;$E1310)+1)</f>
        <v/>
      </c>
      <c r="H1310" s="33" t="str">
        <f aca="false">IF($G1310="","",_xlfn.MINIFS($E$5:$E$1504,$A$5:$A$1504,$A1310,$D$5:$D$1504,"&lt;&gt;تسليم",$E$5:$E$1504,"&gt;="&amp;$E1310))</f>
        <v/>
      </c>
      <c r="I1310" s="33" t="str">
        <f aca="false">IF($G1310="","",_xlfn.MINIFS($E$5:$E$1504,$A$5:$A$1504,$A1310,$D$5:$D$1504,"تسليم",$E$5:$E$1504,"&gt;"&amp;$E1310))</f>
        <v/>
      </c>
      <c r="J1310" s="33" t="str">
        <f aca="false">IF($G1310="","",IF(H1310&gt;0,IF(I1310&gt;0,MIN(H1310,I1310),H1310),IF(I1310&gt;0,I1310,تاريخ_الاحتساب)))</f>
        <v/>
      </c>
      <c r="K1310" s="34" t="str">
        <f aca="false">IF($G1310="","",IF(AND(H1310=0,I1310=0),"جارية","مغلقة"))</f>
        <v/>
      </c>
      <c r="L1310" s="26" t="str">
        <f aca="false">IF($G1310="","",MAX(0,NETWORKDAYS.INTL($E1310,J1310,رمز_العطلة,أيام_الأجازات)-1))</f>
        <v/>
      </c>
      <c r="M1310" s="26" t="str">
        <f aca="false">IF($G1310="","",MAX(0,L1310-مهلة_المراجعة))</f>
        <v/>
      </c>
      <c r="N1310" s="30" t="str">
        <f aca="false">IF($A1310="",IF(OR($D1310&lt;&gt;"",$E1310&lt;&gt;""),"رقم المخرج ناقص",""),IF(ISNA(MATCH($A1310,قائمة_المخرجات,0)),"رقم مخرج غير موجود",IF($D1310="","نوع الحركة ناقص",IF(NOT(ISNUMBER($E1310)),"التاريخ ناقص",IF($E1310&gt;تاريخ_الاحتساب,"تاريخ بعد تاريخ الاحتساب",IF(AND($D1310&lt;&gt;"تسليم",COUNTIFS($A$5:$A$1504,$A1310,$D$5:$D$1504,"تسليم",$E$5:$E$1504,"&lt;="&amp;$E1310)=0),"لا يوجد تسليم قبل الحركة دي",""))))))</f>
        <v/>
      </c>
    </row>
    <row r="1311" customFormat="false" ht="15" hidden="false" customHeight="false" outlineLevel="0" collapsed="false">
      <c r="A1311" s="20"/>
      <c r="B1311" s="35" t="str">
        <f aca="false">IF($A1311="","",IFERROR(INDEX(مخرج_البند,MATCH($A1311,قائمة_المخرجات,0)),""))</f>
        <v/>
      </c>
      <c r="C1311" s="30" t="str">
        <f aca="false">IF($A1311="","",IFERROR(INDEX(مخرج_الوصف,MATCH($A1311,قائمة_المخرجات,0)),""))</f>
        <v/>
      </c>
      <c r="D1311" s="20"/>
      <c r="E1311" s="31"/>
      <c r="F1311" s="22"/>
      <c r="G1311" s="36" t="str">
        <f aca="false">IF(OR($A1311="",$D1311&lt;&gt;"تسليم",NOT(ISNUMBER($E1311))),"",COUNTIFS($A$5:$A$1504,$A1311,$D$5:$D$1504,"تسليم",$E$5:$E$1504,"&lt;"&amp;$E1311)+1)</f>
        <v/>
      </c>
      <c r="H1311" s="33" t="str">
        <f aca="false">IF($G1311="","",_xlfn.MINIFS($E$5:$E$1504,$A$5:$A$1504,$A1311,$D$5:$D$1504,"&lt;&gt;تسليم",$E$5:$E$1504,"&gt;="&amp;$E1311))</f>
        <v/>
      </c>
      <c r="I1311" s="33" t="str">
        <f aca="false">IF($G1311="","",_xlfn.MINIFS($E$5:$E$1504,$A$5:$A$1504,$A1311,$D$5:$D$1504,"تسليم",$E$5:$E$1504,"&gt;"&amp;$E1311))</f>
        <v/>
      </c>
      <c r="J1311" s="33" t="str">
        <f aca="false">IF($G1311="","",IF(H1311&gt;0,IF(I1311&gt;0,MIN(H1311,I1311),H1311),IF(I1311&gt;0,I1311,تاريخ_الاحتساب)))</f>
        <v/>
      </c>
      <c r="K1311" s="34" t="str">
        <f aca="false">IF($G1311="","",IF(AND(H1311=0,I1311=0),"جارية","مغلقة"))</f>
        <v/>
      </c>
      <c r="L1311" s="26" t="str">
        <f aca="false">IF($G1311="","",MAX(0,NETWORKDAYS.INTL($E1311,J1311,رمز_العطلة,أيام_الأجازات)-1))</f>
        <v/>
      </c>
      <c r="M1311" s="26" t="str">
        <f aca="false">IF($G1311="","",MAX(0,L1311-مهلة_المراجعة))</f>
        <v/>
      </c>
      <c r="N1311" s="30" t="str">
        <f aca="false">IF($A1311="",IF(OR($D1311&lt;&gt;"",$E1311&lt;&gt;""),"رقم المخرج ناقص",""),IF(ISNA(MATCH($A1311,قائمة_المخرجات,0)),"رقم مخرج غير موجود",IF($D1311="","نوع الحركة ناقص",IF(NOT(ISNUMBER($E1311)),"التاريخ ناقص",IF($E1311&gt;تاريخ_الاحتساب,"تاريخ بعد تاريخ الاحتساب",IF(AND($D1311&lt;&gt;"تسليم",COUNTIFS($A$5:$A$1504,$A1311,$D$5:$D$1504,"تسليم",$E$5:$E$1504,"&lt;="&amp;$E1311)=0),"لا يوجد تسليم قبل الحركة دي",""))))))</f>
        <v/>
      </c>
    </row>
    <row r="1312" customFormat="false" ht="15" hidden="false" customHeight="false" outlineLevel="0" collapsed="false">
      <c r="A1312" s="20"/>
      <c r="B1312" s="35" t="str">
        <f aca="false">IF($A1312="","",IFERROR(INDEX(مخرج_البند,MATCH($A1312,قائمة_المخرجات,0)),""))</f>
        <v/>
      </c>
      <c r="C1312" s="30" t="str">
        <f aca="false">IF($A1312="","",IFERROR(INDEX(مخرج_الوصف,MATCH($A1312,قائمة_المخرجات,0)),""))</f>
        <v/>
      </c>
      <c r="D1312" s="20"/>
      <c r="E1312" s="31"/>
      <c r="F1312" s="22"/>
      <c r="G1312" s="36" t="str">
        <f aca="false">IF(OR($A1312="",$D1312&lt;&gt;"تسليم",NOT(ISNUMBER($E1312))),"",COUNTIFS($A$5:$A$1504,$A1312,$D$5:$D$1504,"تسليم",$E$5:$E$1504,"&lt;"&amp;$E1312)+1)</f>
        <v/>
      </c>
      <c r="H1312" s="33" t="str">
        <f aca="false">IF($G1312="","",_xlfn.MINIFS($E$5:$E$1504,$A$5:$A$1504,$A1312,$D$5:$D$1504,"&lt;&gt;تسليم",$E$5:$E$1504,"&gt;="&amp;$E1312))</f>
        <v/>
      </c>
      <c r="I1312" s="33" t="str">
        <f aca="false">IF($G1312="","",_xlfn.MINIFS($E$5:$E$1504,$A$5:$A$1504,$A1312,$D$5:$D$1504,"تسليم",$E$5:$E$1504,"&gt;"&amp;$E1312))</f>
        <v/>
      </c>
      <c r="J1312" s="33" t="str">
        <f aca="false">IF($G1312="","",IF(H1312&gt;0,IF(I1312&gt;0,MIN(H1312,I1312),H1312),IF(I1312&gt;0,I1312,تاريخ_الاحتساب)))</f>
        <v/>
      </c>
      <c r="K1312" s="34" t="str">
        <f aca="false">IF($G1312="","",IF(AND(H1312=0,I1312=0),"جارية","مغلقة"))</f>
        <v/>
      </c>
      <c r="L1312" s="26" t="str">
        <f aca="false">IF($G1312="","",MAX(0,NETWORKDAYS.INTL($E1312,J1312,رمز_العطلة,أيام_الأجازات)-1))</f>
        <v/>
      </c>
      <c r="M1312" s="26" t="str">
        <f aca="false">IF($G1312="","",MAX(0,L1312-مهلة_المراجعة))</f>
        <v/>
      </c>
      <c r="N1312" s="30" t="str">
        <f aca="false">IF($A1312="",IF(OR($D1312&lt;&gt;"",$E1312&lt;&gt;""),"رقم المخرج ناقص",""),IF(ISNA(MATCH($A1312,قائمة_المخرجات,0)),"رقم مخرج غير موجود",IF($D1312="","نوع الحركة ناقص",IF(NOT(ISNUMBER($E1312)),"التاريخ ناقص",IF($E1312&gt;تاريخ_الاحتساب,"تاريخ بعد تاريخ الاحتساب",IF(AND($D1312&lt;&gt;"تسليم",COUNTIFS($A$5:$A$1504,$A1312,$D$5:$D$1504,"تسليم",$E$5:$E$1504,"&lt;="&amp;$E1312)=0),"لا يوجد تسليم قبل الحركة دي",""))))))</f>
        <v/>
      </c>
    </row>
    <row r="1313" customFormat="false" ht="15" hidden="false" customHeight="false" outlineLevel="0" collapsed="false">
      <c r="A1313" s="20"/>
      <c r="B1313" s="35" t="str">
        <f aca="false">IF($A1313="","",IFERROR(INDEX(مخرج_البند,MATCH($A1313,قائمة_المخرجات,0)),""))</f>
        <v/>
      </c>
      <c r="C1313" s="30" t="str">
        <f aca="false">IF($A1313="","",IFERROR(INDEX(مخرج_الوصف,MATCH($A1313,قائمة_المخرجات,0)),""))</f>
        <v/>
      </c>
      <c r="D1313" s="20"/>
      <c r="E1313" s="31"/>
      <c r="F1313" s="22"/>
      <c r="G1313" s="36" t="str">
        <f aca="false">IF(OR($A1313="",$D1313&lt;&gt;"تسليم",NOT(ISNUMBER($E1313))),"",COUNTIFS($A$5:$A$1504,$A1313,$D$5:$D$1504,"تسليم",$E$5:$E$1504,"&lt;"&amp;$E1313)+1)</f>
        <v/>
      </c>
      <c r="H1313" s="33" t="str">
        <f aca="false">IF($G1313="","",_xlfn.MINIFS($E$5:$E$1504,$A$5:$A$1504,$A1313,$D$5:$D$1504,"&lt;&gt;تسليم",$E$5:$E$1504,"&gt;="&amp;$E1313))</f>
        <v/>
      </c>
      <c r="I1313" s="33" t="str">
        <f aca="false">IF($G1313="","",_xlfn.MINIFS($E$5:$E$1504,$A$5:$A$1504,$A1313,$D$5:$D$1504,"تسليم",$E$5:$E$1504,"&gt;"&amp;$E1313))</f>
        <v/>
      </c>
      <c r="J1313" s="33" t="str">
        <f aca="false">IF($G1313="","",IF(H1313&gt;0,IF(I1313&gt;0,MIN(H1313,I1313),H1313),IF(I1313&gt;0,I1313,تاريخ_الاحتساب)))</f>
        <v/>
      </c>
      <c r="K1313" s="34" t="str">
        <f aca="false">IF($G1313="","",IF(AND(H1313=0,I1313=0),"جارية","مغلقة"))</f>
        <v/>
      </c>
      <c r="L1313" s="26" t="str">
        <f aca="false">IF($G1313="","",MAX(0,NETWORKDAYS.INTL($E1313,J1313,رمز_العطلة,أيام_الأجازات)-1))</f>
        <v/>
      </c>
      <c r="M1313" s="26" t="str">
        <f aca="false">IF($G1313="","",MAX(0,L1313-مهلة_المراجعة))</f>
        <v/>
      </c>
      <c r="N1313" s="30" t="str">
        <f aca="false">IF($A1313="",IF(OR($D1313&lt;&gt;"",$E1313&lt;&gt;""),"رقم المخرج ناقص",""),IF(ISNA(MATCH($A1313,قائمة_المخرجات,0)),"رقم مخرج غير موجود",IF($D1313="","نوع الحركة ناقص",IF(NOT(ISNUMBER($E1313)),"التاريخ ناقص",IF($E1313&gt;تاريخ_الاحتساب,"تاريخ بعد تاريخ الاحتساب",IF(AND($D1313&lt;&gt;"تسليم",COUNTIFS($A$5:$A$1504,$A1313,$D$5:$D$1504,"تسليم",$E$5:$E$1504,"&lt;="&amp;$E1313)=0),"لا يوجد تسليم قبل الحركة دي",""))))))</f>
        <v/>
      </c>
    </row>
    <row r="1314" customFormat="false" ht="15" hidden="false" customHeight="false" outlineLevel="0" collapsed="false">
      <c r="A1314" s="20"/>
      <c r="B1314" s="35" t="str">
        <f aca="false">IF($A1314="","",IFERROR(INDEX(مخرج_البند,MATCH($A1314,قائمة_المخرجات,0)),""))</f>
        <v/>
      </c>
      <c r="C1314" s="30" t="str">
        <f aca="false">IF($A1314="","",IFERROR(INDEX(مخرج_الوصف,MATCH($A1314,قائمة_المخرجات,0)),""))</f>
        <v/>
      </c>
      <c r="D1314" s="20"/>
      <c r="E1314" s="31"/>
      <c r="F1314" s="22"/>
      <c r="G1314" s="36" t="str">
        <f aca="false">IF(OR($A1314="",$D1314&lt;&gt;"تسليم",NOT(ISNUMBER($E1314))),"",COUNTIFS($A$5:$A$1504,$A1314,$D$5:$D$1504,"تسليم",$E$5:$E$1504,"&lt;"&amp;$E1314)+1)</f>
        <v/>
      </c>
      <c r="H1314" s="33" t="str">
        <f aca="false">IF($G1314="","",_xlfn.MINIFS($E$5:$E$1504,$A$5:$A$1504,$A1314,$D$5:$D$1504,"&lt;&gt;تسليم",$E$5:$E$1504,"&gt;="&amp;$E1314))</f>
        <v/>
      </c>
      <c r="I1314" s="33" t="str">
        <f aca="false">IF($G1314="","",_xlfn.MINIFS($E$5:$E$1504,$A$5:$A$1504,$A1314,$D$5:$D$1504,"تسليم",$E$5:$E$1504,"&gt;"&amp;$E1314))</f>
        <v/>
      </c>
      <c r="J1314" s="33" t="str">
        <f aca="false">IF($G1314="","",IF(H1314&gt;0,IF(I1314&gt;0,MIN(H1314,I1314),H1314),IF(I1314&gt;0,I1314,تاريخ_الاحتساب)))</f>
        <v/>
      </c>
      <c r="K1314" s="34" t="str">
        <f aca="false">IF($G1314="","",IF(AND(H1314=0,I1314=0),"جارية","مغلقة"))</f>
        <v/>
      </c>
      <c r="L1314" s="26" t="str">
        <f aca="false">IF($G1314="","",MAX(0,NETWORKDAYS.INTL($E1314,J1314,رمز_العطلة,أيام_الأجازات)-1))</f>
        <v/>
      </c>
      <c r="M1314" s="26" t="str">
        <f aca="false">IF($G1314="","",MAX(0,L1314-مهلة_المراجعة))</f>
        <v/>
      </c>
      <c r="N1314" s="30" t="str">
        <f aca="false">IF($A1314="",IF(OR($D1314&lt;&gt;"",$E1314&lt;&gt;""),"رقم المخرج ناقص",""),IF(ISNA(MATCH($A1314,قائمة_المخرجات,0)),"رقم مخرج غير موجود",IF($D1314="","نوع الحركة ناقص",IF(NOT(ISNUMBER($E1314)),"التاريخ ناقص",IF($E1314&gt;تاريخ_الاحتساب,"تاريخ بعد تاريخ الاحتساب",IF(AND($D1314&lt;&gt;"تسليم",COUNTIFS($A$5:$A$1504,$A1314,$D$5:$D$1504,"تسليم",$E$5:$E$1504,"&lt;="&amp;$E1314)=0),"لا يوجد تسليم قبل الحركة دي",""))))))</f>
        <v/>
      </c>
    </row>
    <row r="1315" customFormat="false" ht="15" hidden="false" customHeight="false" outlineLevel="0" collapsed="false">
      <c r="A1315" s="20"/>
      <c r="B1315" s="35" t="str">
        <f aca="false">IF($A1315="","",IFERROR(INDEX(مخرج_البند,MATCH($A1315,قائمة_المخرجات,0)),""))</f>
        <v/>
      </c>
      <c r="C1315" s="30" t="str">
        <f aca="false">IF($A1315="","",IFERROR(INDEX(مخرج_الوصف,MATCH($A1315,قائمة_المخرجات,0)),""))</f>
        <v/>
      </c>
      <c r="D1315" s="20"/>
      <c r="E1315" s="31"/>
      <c r="F1315" s="22"/>
      <c r="G1315" s="36" t="str">
        <f aca="false">IF(OR($A1315="",$D1315&lt;&gt;"تسليم",NOT(ISNUMBER($E1315))),"",COUNTIFS($A$5:$A$1504,$A1315,$D$5:$D$1504,"تسليم",$E$5:$E$1504,"&lt;"&amp;$E1315)+1)</f>
        <v/>
      </c>
      <c r="H1315" s="33" t="str">
        <f aca="false">IF($G1315="","",_xlfn.MINIFS($E$5:$E$1504,$A$5:$A$1504,$A1315,$D$5:$D$1504,"&lt;&gt;تسليم",$E$5:$E$1504,"&gt;="&amp;$E1315))</f>
        <v/>
      </c>
      <c r="I1315" s="33" t="str">
        <f aca="false">IF($G1315="","",_xlfn.MINIFS($E$5:$E$1504,$A$5:$A$1504,$A1315,$D$5:$D$1504,"تسليم",$E$5:$E$1504,"&gt;"&amp;$E1315))</f>
        <v/>
      </c>
      <c r="J1315" s="33" t="str">
        <f aca="false">IF($G1315="","",IF(H1315&gt;0,IF(I1315&gt;0,MIN(H1315,I1315),H1315),IF(I1315&gt;0,I1315,تاريخ_الاحتساب)))</f>
        <v/>
      </c>
      <c r="K1315" s="34" t="str">
        <f aca="false">IF($G1315="","",IF(AND(H1315=0,I1315=0),"جارية","مغلقة"))</f>
        <v/>
      </c>
      <c r="L1315" s="26" t="str">
        <f aca="false">IF($G1315="","",MAX(0,NETWORKDAYS.INTL($E1315,J1315,رمز_العطلة,أيام_الأجازات)-1))</f>
        <v/>
      </c>
      <c r="M1315" s="26" t="str">
        <f aca="false">IF($G1315="","",MAX(0,L1315-مهلة_المراجعة))</f>
        <v/>
      </c>
      <c r="N1315" s="30" t="str">
        <f aca="false">IF($A1315="",IF(OR($D1315&lt;&gt;"",$E1315&lt;&gt;""),"رقم المخرج ناقص",""),IF(ISNA(MATCH($A1315,قائمة_المخرجات,0)),"رقم مخرج غير موجود",IF($D1315="","نوع الحركة ناقص",IF(NOT(ISNUMBER($E1315)),"التاريخ ناقص",IF($E1315&gt;تاريخ_الاحتساب,"تاريخ بعد تاريخ الاحتساب",IF(AND($D1315&lt;&gt;"تسليم",COUNTIFS($A$5:$A$1504,$A1315,$D$5:$D$1504,"تسليم",$E$5:$E$1504,"&lt;="&amp;$E1315)=0),"لا يوجد تسليم قبل الحركة دي",""))))))</f>
        <v/>
      </c>
    </row>
    <row r="1316" customFormat="false" ht="15" hidden="false" customHeight="false" outlineLevel="0" collapsed="false">
      <c r="A1316" s="20"/>
      <c r="B1316" s="35" t="str">
        <f aca="false">IF($A1316="","",IFERROR(INDEX(مخرج_البند,MATCH($A1316,قائمة_المخرجات,0)),""))</f>
        <v/>
      </c>
      <c r="C1316" s="30" t="str">
        <f aca="false">IF($A1316="","",IFERROR(INDEX(مخرج_الوصف,MATCH($A1316,قائمة_المخرجات,0)),""))</f>
        <v/>
      </c>
      <c r="D1316" s="20"/>
      <c r="E1316" s="31"/>
      <c r="F1316" s="22"/>
      <c r="G1316" s="36" t="str">
        <f aca="false">IF(OR($A1316="",$D1316&lt;&gt;"تسليم",NOT(ISNUMBER($E1316))),"",COUNTIFS($A$5:$A$1504,$A1316,$D$5:$D$1504,"تسليم",$E$5:$E$1504,"&lt;"&amp;$E1316)+1)</f>
        <v/>
      </c>
      <c r="H1316" s="33" t="str">
        <f aca="false">IF($G1316="","",_xlfn.MINIFS($E$5:$E$1504,$A$5:$A$1504,$A1316,$D$5:$D$1504,"&lt;&gt;تسليم",$E$5:$E$1504,"&gt;="&amp;$E1316))</f>
        <v/>
      </c>
      <c r="I1316" s="33" t="str">
        <f aca="false">IF($G1316="","",_xlfn.MINIFS($E$5:$E$1504,$A$5:$A$1504,$A1316,$D$5:$D$1504,"تسليم",$E$5:$E$1504,"&gt;"&amp;$E1316))</f>
        <v/>
      </c>
      <c r="J1316" s="33" t="str">
        <f aca="false">IF($G1316="","",IF(H1316&gt;0,IF(I1316&gt;0,MIN(H1316,I1316),H1316),IF(I1316&gt;0,I1316,تاريخ_الاحتساب)))</f>
        <v/>
      </c>
      <c r="K1316" s="34" t="str">
        <f aca="false">IF($G1316="","",IF(AND(H1316=0,I1316=0),"جارية","مغلقة"))</f>
        <v/>
      </c>
      <c r="L1316" s="26" t="str">
        <f aca="false">IF($G1316="","",MAX(0,NETWORKDAYS.INTL($E1316,J1316,رمز_العطلة,أيام_الأجازات)-1))</f>
        <v/>
      </c>
      <c r="M1316" s="26" t="str">
        <f aca="false">IF($G1316="","",MAX(0,L1316-مهلة_المراجعة))</f>
        <v/>
      </c>
      <c r="N1316" s="30" t="str">
        <f aca="false">IF($A1316="",IF(OR($D1316&lt;&gt;"",$E1316&lt;&gt;""),"رقم المخرج ناقص",""),IF(ISNA(MATCH($A1316,قائمة_المخرجات,0)),"رقم مخرج غير موجود",IF($D1316="","نوع الحركة ناقص",IF(NOT(ISNUMBER($E1316)),"التاريخ ناقص",IF($E1316&gt;تاريخ_الاحتساب,"تاريخ بعد تاريخ الاحتساب",IF(AND($D1316&lt;&gt;"تسليم",COUNTIFS($A$5:$A$1504,$A1316,$D$5:$D$1504,"تسليم",$E$5:$E$1504,"&lt;="&amp;$E1316)=0),"لا يوجد تسليم قبل الحركة دي",""))))))</f>
        <v/>
      </c>
    </row>
    <row r="1317" customFormat="false" ht="15" hidden="false" customHeight="false" outlineLevel="0" collapsed="false">
      <c r="A1317" s="20"/>
      <c r="B1317" s="35" t="str">
        <f aca="false">IF($A1317="","",IFERROR(INDEX(مخرج_البند,MATCH($A1317,قائمة_المخرجات,0)),""))</f>
        <v/>
      </c>
      <c r="C1317" s="30" t="str">
        <f aca="false">IF($A1317="","",IFERROR(INDEX(مخرج_الوصف,MATCH($A1317,قائمة_المخرجات,0)),""))</f>
        <v/>
      </c>
      <c r="D1317" s="20"/>
      <c r="E1317" s="31"/>
      <c r="F1317" s="22"/>
      <c r="G1317" s="36" t="str">
        <f aca="false">IF(OR($A1317="",$D1317&lt;&gt;"تسليم",NOT(ISNUMBER($E1317))),"",COUNTIFS($A$5:$A$1504,$A1317,$D$5:$D$1504,"تسليم",$E$5:$E$1504,"&lt;"&amp;$E1317)+1)</f>
        <v/>
      </c>
      <c r="H1317" s="33" t="str">
        <f aca="false">IF($G1317="","",_xlfn.MINIFS($E$5:$E$1504,$A$5:$A$1504,$A1317,$D$5:$D$1504,"&lt;&gt;تسليم",$E$5:$E$1504,"&gt;="&amp;$E1317))</f>
        <v/>
      </c>
      <c r="I1317" s="33" t="str">
        <f aca="false">IF($G1317="","",_xlfn.MINIFS($E$5:$E$1504,$A$5:$A$1504,$A1317,$D$5:$D$1504,"تسليم",$E$5:$E$1504,"&gt;"&amp;$E1317))</f>
        <v/>
      </c>
      <c r="J1317" s="33" t="str">
        <f aca="false">IF($G1317="","",IF(H1317&gt;0,IF(I1317&gt;0,MIN(H1317,I1317),H1317),IF(I1317&gt;0,I1317,تاريخ_الاحتساب)))</f>
        <v/>
      </c>
      <c r="K1317" s="34" t="str">
        <f aca="false">IF($G1317="","",IF(AND(H1317=0,I1317=0),"جارية","مغلقة"))</f>
        <v/>
      </c>
      <c r="L1317" s="26" t="str">
        <f aca="false">IF($G1317="","",MAX(0,NETWORKDAYS.INTL($E1317,J1317,رمز_العطلة,أيام_الأجازات)-1))</f>
        <v/>
      </c>
      <c r="M1317" s="26" t="str">
        <f aca="false">IF($G1317="","",MAX(0,L1317-مهلة_المراجعة))</f>
        <v/>
      </c>
      <c r="N1317" s="30" t="str">
        <f aca="false">IF($A1317="",IF(OR($D1317&lt;&gt;"",$E1317&lt;&gt;""),"رقم المخرج ناقص",""),IF(ISNA(MATCH($A1317,قائمة_المخرجات,0)),"رقم مخرج غير موجود",IF($D1317="","نوع الحركة ناقص",IF(NOT(ISNUMBER($E1317)),"التاريخ ناقص",IF($E1317&gt;تاريخ_الاحتساب,"تاريخ بعد تاريخ الاحتساب",IF(AND($D1317&lt;&gt;"تسليم",COUNTIFS($A$5:$A$1504,$A1317,$D$5:$D$1504,"تسليم",$E$5:$E$1504,"&lt;="&amp;$E1317)=0),"لا يوجد تسليم قبل الحركة دي",""))))))</f>
        <v/>
      </c>
    </row>
    <row r="1318" customFormat="false" ht="15" hidden="false" customHeight="false" outlineLevel="0" collapsed="false">
      <c r="A1318" s="20"/>
      <c r="B1318" s="35" t="str">
        <f aca="false">IF($A1318="","",IFERROR(INDEX(مخرج_البند,MATCH($A1318,قائمة_المخرجات,0)),""))</f>
        <v/>
      </c>
      <c r="C1318" s="30" t="str">
        <f aca="false">IF($A1318="","",IFERROR(INDEX(مخرج_الوصف,MATCH($A1318,قائمة_المخرجات,0)),""))</f>
        <v/>
      </c>
      <c r="D1318" s="20"/>
      <c r="E1318" s="31"/>
      <c r="F1318" s="22"/>
      <c r="G1318" s="36" t="str">
        <f aca="false">IF(OR($A1318="",$D1318&lt;&gt;"تسليم",NOT(ISNUMBER($E1318))),"",COUNTIFS($A$5:$A$1504,$A1318,$D$5:$D$1504,"تسليم",$E$5:$E$1504,"&lt;"&amp;$E1318)+1)</f>
        <v/>
      </c>
      <c r="H1318" s="33" t="str">
        <f aca="false">IF($G1318="","",_xlfn.MINIFS($E$5:$E$1504,$A$5:$A$1504,$A1318,$D$5:$D$1504,"&lt;&gt;تسليم",$E$5:$E$1504,"&gt;="&amp;$E1318))</f>
        <v/>
      </c>
      <c r="I1318" s="33" t="str">
        <f aca="false">IF($G1318="","",_xlfn.MINIFS($E$5:$E$1504,$A$5:$A$1504,$A1318,$D$5:$D$1504,"تسليم",$E$5:$E$1504,"&gt;"&amp;$E1318))</f>
        <v/>
      </c>
      <c r="J1318" s="33" t="str">
        <f aca="false">IF($G1318="","",IF(H1318&gt;0,IF(I1318&gt;0,MIN(H1318,I1318),H1318),IF(I1318&gt;0,I1318,تاريخ_الاحتساب)))</f>
        <v/>
      </c>
      <c r="K1318" s="34" t="str">
        <f aca="false">IF($G1318="","",IF(AND(H1318=0,I1318=0),"جارية","مغلقة"))</f>
        <v/>
      </c>
      <c r="L1318" s="26" t="str">
        <f aca="false">IF($G1318="","",MAX(0,NETWORKDAYS.INTL($E1318,J1318,رمز_العطلة,أيام_الأجازات)-1))</f>
        <v/>
      </c>
      <c r="M1318" s="26" t="str">
        <f aca="false">IF($G1318="","",MAX(0,L1318-مهلة_المراجعة))</f>
        <v/>
      </c>
      <c r="N1318" s="30" t="str">
        <f aca="false">IF($A1318="",IF(OR($D1318&lt;&gt;"",$E1318&lt;&gt;""),"رقم المخرج ناقص",""),IF(ISNA(MATCH($A1318,قائمة_المخرجات,0)),"رقم مخرج غير موجود",IF($D1318="","نوع الحركة ناقص",IF(NOT(ISNUMBER($E1318)),"التاريخ ناقص",IF($E1318&gt;تاريخ_الاحتساب,"تاريخ بعد تاريخ الاحتساب",IF(AND($D1318&lt;&gt;"تسليم",COUNTIFS($A$5:$A$1504,$A1318,$D$5:$D$1504,"تسليم",$E$5:$E$1504,"&lt;="&amp;$E1318)=0),"لا يوجد تسليم قبل الحركة دي",""))))))</f>
        <v/>
      </c>
    </row>
    <row r="1319" customFormat="false" ht="15" hidden="false" customHeight="false" outlineLevel="0" collapsed="false">
      <c r="A1319" s="20"/>
      <c r="B1319" s="35" t="str">
        <f aca="false">IF($A1319="","",IFERROR(INDEX(مخرج_البند,MATCH($A1319,قائمة_المخرجات,0)),""))</f>
        <v/>
      </c>
      <c r="C1319" s="30" t="str">
        <f aca="false">IF($A1319="","",IFERROR(INDEX(مخرج_الوصف,MATCH($A1319,قائمة_المخرجات,0)),""))</f>
        <v/>
      </c>
      <c r="D1319" s="20"/>
      <c r="E1319" s="31"/>
      <c r="F1319" s="22"/>
      <c r="G1319" s="36" t="str">
        <f aca="false">IF(OR($A1319="",$D1319&lt;&gt;"تسليم",NOT(ISNUMBER($E1319))),"",COUNTIFS($A$5:$A$1504,$A1319,$D$5:$D$1504,"تسليم",$E$5:$E$1504,"&lt;"&amp;$E1319)+1)</f>
        <v/>
      </c>
      <c r="H1319" s="33" t="str">
        <f aca="false">IF($G1319="","",_xlfn.MINIFS($E$5:$E$1504,$A$5:$A$1504,$A1319,$D$5:$D$1504,"&lt;&gt;تسليم",$E$5:$E$1504,"&gt;="&amp;$E1319))</f>
        <v/>
      </c>
      <c r="I1319" s="33" t="str">
        <f aca="false">IF($G1319="","",_xlfn.MINIFS($E$5:$E$1504,$A$5:$A$1504,$A1319,$D$5:$D$1504,"تسليم",$E$5:$E$1504,"&gt;"&amp;$E1319))</f>
        <v/>
      </c>
      <c r="J1319" s="33" t="str">
        <f aca="false">IF($G1319="","",IF(H1319&gt;0,IF(I1319&gt;0,MIN(H1319,I1319),H1319),IF(I1319&gt;0,I1319,تاريخ_الاحتساب)))</f>
        <v/>
      </c>
      <c r="K1319" s="34" t="str">
        <f aca="false">IF($G1319="","",IF(AND(H1319=0,I1319=0),"جارية","مغلقة"))</f>
        <v/>
      </c>
      <c r="L1319" s="26" t="str">
        <f aca="false">IF($G1319="","",MAX(0,NETWORKDAYS.INTL($E1319,J1319,رمز_العطلة,أيام_الأجازات)-1))</f>
        <v/>
      </c>
      <c r="M1319" s="26" t="str">
        <f aca="false">IF($G1319="","",MAX(0,L1319-مهلة_المراجعة))</f>
        <v/>
      </c>
      <c r="N1319" s="30" t="str">
        <f aca="false">IF($A1319="",IF(OR($D1319&lt;&gt;"",$E1319&lt;&gt;""),"رقم المخرج ناقص",""),IF(ISNA(MATCH($A1319,قائمة_المخرجات,0)),"رقم مخرج غير موجود",IF($D1319="","نوع الحركة ناقص",IF(NOT(ISNUMBER($E1319)),"التاريخ ناقص",IF($E1319&gt;تاريخ_الاحتساب,"تاريخ بعد تاريخ الاحتساب",IF(AND($D1319&lt;&gt;"تسليم",COUNTIFS($A$5:$A$1504,$A1319,$D$5:$D$1504,"تسليم",$E$5:$E$1504,"&lt;="&amp;$E1319)=0),"لا يوجد تسليم قبل الحركة دي",""))))))</f>
        <v/>
      </c>
    </row>
    <row r="1320" customFormat="false" ht="15" hidden="false" customHeight="false" outlineLevel="0" collapsed="false">
      <c r="A1320" s="20"/>
      <c r="B1320" s="35" t="str">
        <f aca="false">IF($A1320="","",IFERROR(INDEX(مخرج_البند,MATCH($A1320,قائمة_المخرجات,0)),""))</f>
        <v/>
      </c>
      <c r="C1320" s="30" t="str">
        <f aca="false">IF($A1320="","",IFERROR(INDEX(مخرج_الوصف,MATCH($A1320,قائمة_المخرجات,0)),""))</f>
        <v/>
      </c>
      <c r="D1320" s="20"/>
      <c r="E1320" s="31"/>
      <c r="F1320" s="22"/>
      <c r="G1320" s="36" t="str">
        <f aca="false">IF(OR($A1320="",$D1320&lt;&gt;"تسليم",NOT(ISNUMBER($E1320))),"",COUNTIFS($A$5:$A$1504,$A1320,$D$5:$D$1504,"تسليم",$E$5:$E$1504,"&lt;"&amp;$E1320)+1)</f>
        <v/>
      </c>
      <c r="H1320" s="33" t="str">
        <f aca="false">IF($G1320="","",_xlfn.MINIFS($E$5:$E$1504,$A$5:$A$1504,$A1320,$D$5:$D$1504,"&lt;&gt;تسليم",$E$5:$E$1504,"&gt;="&amp;$E1320))</f>
        <v/>
      </c>
      <c r="I1320" s="33" t="str">
        <f aca="false">IF($G1320="","",_xlfn.MINIFS($E$5:$E$1504,$A$5:$A$1504,$A1320,$D$5:$D$1504,"تسليم",$E$5:$E$1504,"&gt;"&amp;$E1320))</f>
        <v/>
      </c>
      <c r="J1320" s="33" t="str">
        <f aca="false">IF($G1320="","",IF(H1320&gt;0,IF(I1320&gt;0,MIN(H1320,I1320),H1320),IF(I1320&gt;0,I1320,تاريخ_الاحتساب)))</f>
        <v/>
      </c>
      <c r="K1320" s="34" t="str">
        <f aca="false">IF($G1320="","",IF(AND(H1320=0,I1320=0),"جارية","مغلقة"))</f>
        <v/>
      </c>
      <c r="L1320" s="26" t="str">
        <f aca="false">IF($G1320="","",MAX(0,NETWORKDAYS.INTL($E1320,J1320,رمز_العطلة,أيام_الأجازات)-1))</f>
        <v/>
      </c>
      <c r="M1320" s="26" t="str">
        <f aca="false">IF($G1320="","",MAX(0,L1320-مهلة_المراجعة))</f>
        <v/>
      </c>
      <c r="N1320" s="30" t="str">
        <f aca="false">IF($A1320="",IF(OR($D1320&lt;&gt;"",$E1320&lt;&gt;""),"رقم المخرج ناقص",""),IF(ISNA(MATCH($A1320,قائمة_المخرجات,0)),"رقم مخرج غير موجود",IF($D1320="","نوع الحركة ناقص",IF(NOT(ISNUMBER($E1320)),"التاريخ ناقص",IF($E1320&gt;تاريخ_الاحتساب,"تاريخ بعد تاريخ الاحتساب",IF(AND($D1320&lt;&gt;"تسليم",COUNTIFS($A$5:$A$1504,$A1320,$D$5:$D$1504,"تسليم",$E$5:$E$1504,"&lt;="&amp;$E1320)=0),"لا يوجد تسليم قبل الحركة دي",""))))))</f>
        <v/>
      </c>
    </row>
    <row r="1321" customFormat="false" ht="15" hidden="false" customHeight="false" outlineLevel="0" collapsed="false">
      <c r="A1321" s="20"/>
      <c r="B1321" s="35" t="str">
        <f aca="false">IF($A1321="","",IFERROR(INDEX(مخرج_البند,MATCH($A1321,قائمة_المخرجات,0)),""))</f>
        <v/>
      </c>
      <c r="C1321" s="30" t="str">
        <f aca="false">IF($A1321="","",IFERROR(INDEX(مخرج_الوصف,MATCH($A1321,قائمة_المخرجات,0)),""))</f>
        <v/>
      </c>
      <c r="D1321" s="20"/>
      <c r="E1321" s="31"/>
      <c r="F1321" s="22"/>
      <c r="G1321" s="36" t="str">
        <f aca="false">IF(OR($A1321="",$D1321&lt;&gt;"تسليم",NOT(ISNUMBER($E1321))),"",COUNTIFS($A$5:$A$1504,$A1321,$D$5:$D$1504,"تسليم",$E$5:$E$1504,"&lt;"&amp;$E1321)+1)</f>
        <v/>
      </c>
      <c r="H1321" s="33" t="str">
        <f aca="false">IF($G1321="","",_xlfn.MINIFS($E$5:$E$1504,$A$5:$A$1504,$A1321,$D$5:$D$1504,"&lt;&gt;تسليم",$E$5:$E$1504,"&gt;="&amp;$E1321))</f>
        <v/>
      </c>
      <c r="I1321" s="33" t="str">
        <f aca="false">IF($G1321="","",_xlfn.MINIFS($E$5:$E$1504,$A$5:$A$1504,$A1321,$D$5:$D$1504,"تسليم",$E$5:$E$1504,"&gt;"&amp;$E1321))</f>
        <v/>
      </c>
      <c r="J1321" s="33" t="str">
        <f aca="false">IF($G1321="","",IF(H1321&gt;0,IF(I1321&gt;0,MIN(H1321,I1321),H1321),IF(I1321&gt;0,I1321,تاريخ_الاحتساب)))</f>
        <v/>
      </c>
      <c r="K1321" s="34" t="str">
        <f aca="false">IF($G1321="","",IF(AND(H1321=0,I1321=0),"جارية","مغلقة"))</f>
        <v/>
      </c>
      <c r="L1321" s="26" t="str">
        <f aca="false">IF($G1321="","",MAX(0,NETWORKDAYS.INTL($E1321,J1321,رمز_العطلة,أيام_الأجازات)-1))</f>
        <v/>
      </c>
      <c r="M1321" s="26" t="str">
        <f aca="false">IF($G1321="","",MAX(0,L1321-مهلة_المراجعة))</f>
        <v/>
      </c>
      <c r="N1321" s="30" t="str">
        <f aca="false">IF($A1321="",IF(OR($D1321&lt;&gt;"",$E1321&lt;&gt;""),"رقم المخرج ناقص",""),IF(ISNA(MATCH($A1321,قائمة_المخرجات,0)),"رقم مخرج غير موجود",IF($D1321="","نوع الحركة ناقص",IF(NOT(ISNUMBER($E1321)),"التاريخ ناقص",IF($E1321&gt;تاريخ_الاحتساب,"تاريخ بعد تاريخ الاحتساب",IF(AND($D1321&lt;&gt;"تسليم",COUNTIFS($A$5:$A$1504,$A1321,$D$5:$D$1504,"تسليم",$E$5:$E$1504,"&lt;="&amp;$E1321)=0),"لا يوجد تسليم قبل الحركة دي",""))))))</f>
        <v/>
      </c>
    </row>
    <row r="1322" customFormat="false" ht="15" hidden="false" customHeight="false" outlineLevel="0" collapsed="false">
      <c r="A1322" s="20"/>
      <c r="B1322" s="35" t="str">
        <f aca="false">IF($A1322="","",IFERROR(INDEX(مخرج_البند,MATCH($A1322,قائمة_المخرجات,0)),""))</f>
        <v/>
      </c>
      <c r="C1322" s="30" t="str">
        <f aca="false">IF($A1322="","",IFERROR(INDEX(مخرج_الوصف,MATCH($A1322,قائمة_المخرجات,0)),""))</f>
        <v/>
      </c>
      <c r="D1322" s="20"/>
      <c r="E1322" s="31"/>
      <c r="F1322" s="22"/>
      <c r="G1322" s="36" t="str">
        <f aca="false">IF(OR($A1322="",$D1322&lt;&gt;"تسليم",NOT(ISNUMBER($E1322))),"",COUNTIFS($A$5:$A$1504,$A1322,$D$5:$D$1504,"تسليم",$E$5:$E$1504,"&lt;"&amp;$E1322)+1)</f>
        <v/>
      </c>
      <c r="H1322" s="33" t="str">
        <f aca="false">IF($G1322="","",_xlfn.MINIFS($E$5:$E$1504,$A$5:$A$1504,$A1322,$D$5:$D$1504,"&lt;&gt;تسليم",$E$5:$E$1504,"&gt;="&amp;$E1322))</f>
        <v/>
      </c>
      <c r="I1322" s="33" t="str">
        <f aca="false">IF($G1322="","",_xlfn.MINIFS($E$5:$E$1504,$A$5:$A$1504,$A1322,$D$5:$D$1504,"تسليم",$E$5:$E$1504,"&gt;"&amp;$E1322))</f>
        <v/>
      </c>
      <c r="J1322" s="33" t="str">
        <f aca="false">IF($G1322="","",IF(H1322&gt;0,IF(I1322&gt;0,MIN(H1322,I1322),H1322),IF(I1322&gt;0,I1322,تاريخ_الاحتساب)))</f>
        <v/>
      </c>
      <c r="K1322" s="34" t="str">
        <f aca="false">IF($G1322="","",IF(AND(H1322=0,I1322=0),"جارية","مغلقة"))</f>
        <v/>
      </c>
      <c r="L1322" s="26" t="str">
        <f aca="false">IF($G1322="","",MAX(0,NETWORKDAYS.INTL($E1322,J1322,رمز_العطلة,أيام_الأجازات)-1))</f>
        <v/>
      </c>
      <c r="M1322" s="26" t="str">
        <f aca="false">IF($G1322="","",MAX(0,L1322-مهلة_المراجعة))</f>
        <v/>
      </c>
      <c r="N1322" s="30" t="str">
        <f aca="false">IF($A1322="",IF(OR($D1322&lt;&gt;"",$E1322&lt;&gt;""),"رقم المخرج ناقص",""),IF(ISNA(MATCH($A1322,قائمة_المخرجات,0)),"رقم مخرج غير موجود",IF($D1322="","نوع الحركة ناقص",IF(NOT(ISNUMBER($E1322)),"التاريخ ناقص",IF($E1322&gt;تاريخ_الاحتساب,"تاريخ بعد تاريخ الاحتساب",IF(AND($D1322&lt;&gt;"تسليم",COUNTIFS($A$5:$A$1504,$A1322,$D$5:$D$1504,"تسليم",$E$5:$E$1504,"&lt;="&amp;$E1322)=0),"لا يوجد تسليم قبل الحركة دي",""))))))</f>
        <v/>
      </c>
    </row>
    <row r="1323" customFormat="false" ht="15" hidden="false" customHeight="false" outlineLevel="0" collapsed="false">
      <c r="A1323" s="20"/>
      <c r="B1323" s="35" t="str">
        <f aca="false">IF($A1323="","",IFERROR(INDEX(مخرج_البند,MATCH($A1323,قائمة_المخرجات,0)),""))</f>
        <v/>
      </c>
      <c r="C1323" s="30" t="str">
        <f aca="false">IF($A1323="","",IFERROR(INDEX(مخرج_الوصف,MATCH($A1323,قائمة_المخرجات,0)),""))</f>
        <v/>
      </c>
      <c r="D1323" s="20"/>
      <c r="E1323" s="31"/>
      <c r="F1323" s="22"/>
      <c r="G1323" s="36" t="str">
        <f aca="false">IF(OR($A1323="",$D1323&lt;&gt;"تسليم",NOT(ISNUMBER($E1323))),"",COUNTIFS($A$5:$A$1504,$A1323,$D$5:$D$1504,"تسليم",$E$5:$E$1504,"&lt;"&amp;$E1323)+1)</f>
        <v/>
      </c>
      <c r="H1323" s="33" t="str">
        <f aca="false">IF($G1323="","",_xlfn.MINIFS($E$5:$E$1504,$A$5:$A$1504,$A1323,$D$5:$D$1504,"&lt;&gt;تسليم",$E$5:$E$1504,"&gt;="&amp;$E1323))</f>
        <v/>
      </c>
      <c r="I1323" s="33" t="str">
        <f aca="false">IF($G1323="","",_xlfn.MINIFS($E$5:$E$1504,$A$5:$A$1504,$A1323,$D$5:$D$1504,"تسليم",$E$5:$E$1504,"&gt;"&amp;$E1323))</f>
        <v/>
      </c>
      <c r="J1323" s="33" t="str">
        <f aca="false">IF($G1323="","",IF(H1323&gt;0,IF(I1323&gt;0,MIN(H1323,I1323),H1323),IF(I1323&gt;0,I1323,تاريخ_الاحتساب)))</f>
        <v/>
      </c>
      <c r="K1323" s="34" t="str">
        <f aca="false">IF($G1323="","",IF(AND(H1323=0,I1323=0),"جارية","مغلقة"))</f>
        <v/>
      </c>
      <c r="L1323" s="26" t="str">
        <f aca="false">IF($G1323="","",MAX(0,NETWORKDAYS.INTL($E1323,J1323,رمز_العطلة,أيام_الأجازات)-1))</f>
        <v/>
      </c>
      <c r="M1323" s="26" t="str">
        <f aca="false">IF($G1323="","",MAX(0,L1323-مهلة_المراجعة))</f>
        <v/>
      </c>
      <c r="N1323" s="30" t="str">
        <f aca="false">IF($A1323="",IF(OR($D1323&lt;&gt;"",$E1323&lt;&gt;""),"رقم المخرج ناقص",""),IF(ISNA(MATCH($A1323,قائمة_المخرجات,0)),"رقم مخرج غير موجود",IF($D1323="","نوع الحركة ناقص",IF(NOT(ISNUMBER($E1323)),"التاريخ ناقص",IF($E1323&gt;تاريخ_الاحتساب,"تاريخ بعد تاريخ الاحتساب",IF(AND($D1323&lt;&gt;"تسليم",COUNTIFS($A$5:$A$1504,$A1323,$D$5:$D$1504,"تسليم",$E$5:$E$1504,"&lt;="&amp;$E1323)=0),"لا يوجد تسليم قبل الحركة دي",""))))))</f>
        <v/>
      </c>
    </row>
    <row r="1324" customFormat="false" ht="15" hidden="false" customHeight="false" outlineLevel="0" collapsed="false">
      <c r="A1324" s="20"/>
      <c r="B1324" s="35" t="str">
        <f aca="false">IF($A1324="","",IFERROR(INDEX(مخرج_البند,MATCH($A1324,قائمة_المخرجات,0)),""))</f>
        <v/>
      </c>
      <c r="C1324" s="30" t="str">
        <f aca="false">IF($A1324="","",IFERROR(INDEX(مخرج_الوصف,MATCH($A1324,قائمة_المخرجات,0)),""))</f>
        <v/>
      </c>
      <c r="D1324" s="20"/>
      <c r="E1324" s="31"/>
      <c r="F1324" s="22"/>
      <c r="G1324" s="36" t="str">
        <f aca="false">IF(OR($A1324="",$D1324&lt;&gt;"تسليم",NOT(ISNUMBER($E1324))),"",COUNTIFS($A$5:$A$1504,$A1324,$D$5:$D$1504,"تسليم",$E$5:$E$1504,"&lt;"&amp;$E1324)+1)</f>
        <v/>
      </c>
      <c r="H1324" s="33" t="str">
        <f aca="false">IF($G1324="","",_xlfn.MINIFS($E$5:$E$1504,$A$5:$A$1504,$A1324,$D$5:$D$1504,"&lt;&gt;تسليم",$E$5:$E$1504,"&gt;="&amp;$E1324))</f>
        <v/>
      </c>
      <c r="I1324" s="33" t="str">
        <f aca="false">IF($G1324="","",_xlfn.MINIFS($E$5:$E$1504,$A$5:$A$1504,$A1324,$D$5:$D$1504,"تسليم",$E$5:$E$1504,"&gt;"&amp;$E1324))</f>
        <v/>
      </c>
      <c r="J1324" s="33" t="str">
        <f aca="false">IF($G1324="","",IF(H1324&gt;0,IF(I1324&gt;0,MIN(H1324,I1324),H1324),IF(I1324&gt;0,I1324,تاريخ_الاحتساب)))</f>
        <v/>
      </c>
      <c r="K1324" s="34" t="str">
        <f aca="false">IF($G1324="","",IF(AND(H1324=0,I1324=0),"جارية","مغلقة"))</f>
        <v/>
      </c>
      <c r="L1324" s="26" t="str">
        <f aca="false">IF($G1324="","",MAX(0,NETWORKDAYS.INTL($E1324,J1324,رمز_العطلة,أيام_الأجازات)-1))</f>
        <v/>
      </c>
      <c r="M1324" s="26" t="str">
        <f aca="false">IF($G1324="","",MAX(0,L1324-مهلة_المراجعة))</f>
        <v/>
      </c>
      <c r="N1324" s="30" t="str">
        <f aca="false">IF($A1324="",IF(OR($D1324&lt;&gt;"",$E1324&lt;&gt;""),"رقم المخرج ناقص",""),IF(ISNA(MATCH($A1324,قائمة_المخرجات,0)),"رقم مخرج غير موجود",IF($D1324="","نوع الحركة ناقص",IF(NOT(ISNUMBER($E1324)),"التاريخ ناقص",IF($E1324&gt;تاريخ_الاحتساب,"تاريخ بعد تاريخ الاحتساب",IF(AND($D1324&lt;&gt;"تسليم",COUNTIFS($A$5:$A$1504,$A1324,$D$5:$D$1504,"تسليم",$E$5:$E$1504,"&lt;="&amp;$E1324)=0),"لا يوجد تسليم قبل الحركة دي",""))))))</f>
        <v/>
      </c>
    </row>
    <row r="1325" customFormat="false" ht="15" hidden="false" customHeight="false" outlineLevel="0" collapsed="false">
      <c r="A1325" s="20"/>
      <c r="B1325" s="35" t="str">
        <f aca="false">IF($A1325="","",IFERROR(INDEX(مخرج_البند,MATCH($A1325,قائمة_المخرجات,0)),""))</f>
        <v/>
      </c>
      <c r="C1325" s="30" t="str">
        <f aca="false">IF($A1325="","",IFERROR(INDEX(مخرج_الوصف,MATCH($A1325,قائمة_المخرجات,0)),""))</f>
        <v/>
      </c>
      <c r="D1325" s="20"/>
      <c r="E1325" s="31"/>
      <c r="F1325" s="22"/>
      <c r="G1325" s="36" t="str">
        <f aca="false">IF(OR($A1325="",$D1325&lt;&gt;"تسليم",NOT(ISNUMBER($E1325))),"",COUNTIFS($A$5:$A$1504,$A1325,$D$5:$D$1504,"تسليم",$E$5:$E$1504,"&lt;"&amp;$E1325)+1)</f>
        <v/>
      </c>
      <c r="H1325" s="33" t="str">
        <f aca="false">IF($G1325="","",_xlfn.MINIFS($E$5:$E$1504,$A$5:$A$1504,$A1325,$D$5:$D$1504,"&lt;&gt;تسليم",$E$5:$E$1504,"&gt;="&amp;$E1325))</f>
        <v/>
      </c>
      <c r="I1325" s="33" t="str">
        <f aca="false">IF($G1325="","",_xlfn.MINIFS($E$5:$E$1504,$A$5:$A$1504,$A1325,$D$5:$D$1504,"تسليم",$E$5:$E$1504,"&gt;"&amp;$E1325))</f>
        <v/>
      </c>
      <c r="J1325" s="33" t="str">
        <f aca="false">IF($G1325="","",IF(H1325&gt;0,IF(I1325&gt;0,MIN(H1325,I1325),H1325),IF(I1325&gt;0,I1325,تاريخ_الاحتساب)))</f>
        <v/>
      </c>
      <c r="K1325" s="34" t="str">
        <f aca="false">IF($G1325="","",IF(AND(H1325=0,I1325=0),"جارية","مغلقة"))</f>
        <v/>
      </c>
      <c r="L1325" s="26" t="str">
        <f aca="false">IF($G1325="","",MAX(0,NETWORKDAYS.INTL($E1325,J1325,رمز_العطلة,أيام_الأجازات)-1))</f>
        <v/>
      </c>
      <c r="M1325" s="26" t="str">
        <f aca="false">IF($G1325="","",MAX(0,L1325-مهلة_المراجعة))</f>
        <v/>
      </c>
      <c r="N1325" s="30" t="str">
        <f aca="false">IF($A1325="",IF(OR($D1325&lt;&gt;"",$E1325&lt;&gt;""),"رقم المخرج ناقص",""),IF(ISNA(MATCH($A1325,قائمة_المخرجات,0)),"رقم مخرج غير موجود",IF($D1325="","نوع الحركة ناقص",IF(NOT(ISNUMBER($E1325)),"التاريخ ناقص",IF($E1325&gt;تاريخ_الاحتساب,"تاريخ بعد تاريخ الاحتساب",IF(AND($D1325&lt;&gt;"تسليم",COUNTIFS($A$5:$A$1504,$A1325,$D$5:$D$1504,"تسليم",$E$5:$E$1504,"&lt;="&amp;$E1325)=0),"لا يوجد تسليم قبل الحركة دي",""))))))</f>
        <v/>
      </c>
    </row>
    <row r="1326" customFormat="false" ht="15" hidden="false" customHeight="false" outlineLevel="0" collapsed="false">
      <c r="A1326" s="20"/>
      <c r="B1326" s="35" t="str">
        <f aca="false">IF($A1326="","",IFERROR(INDEX(مخرج_البند,MATCH($A1326,قائمة_المخرجات,0)),""))</f>
        <v/>
      </c>
      <c r="C1326" s="30" t="str">
        <f aca="false">IF($A1326="","",IFERROR(INDEX(مخرج_الوصف,MATCH($A1326,قائمة_المخرجات,0)),""))</f>
        <v/>
      </c>
      <c r="D1326" s="20"/>
      <c r="E1326" s="31"/>
      <c r="F1326" s="22"/>
      <c r="G1326" s="36" t="str">
        <f aca="false">IF(OR($A1326="",$D1326&lt;&gt;"تسليم",NOT(ISNUMBER($E1326))),"",COUNTIFS($A$5:$A$1504,$A1326,$D$5:$D$1504,"تسليم",$E$5:$E$1504,"&lt;"&amp;$E1326)+1)</f>
        <v/>
      </c>
      <c r="H1326" s="33" t="str">
        <f aca="false">IF($G1326="","",_xlfn.MINIFS($E$5:$E$1504,$A$5:$A$1504,$A1326,$D$5:$D$1504,"&lt;&gt;تسليم",$E$5:$E$1504,"&gt;="&amp;$E1326))</f>
        <v/>
      </c>
      <c r="I1326" s="33" t="str">
        <f aca="false">IF($G1326="","",_xlfn.MINIFS($E$5:$E$1504,$A$5:$A$1504,$A1326,$D$5:$D$1504,"تسليم",$E$5:$E$1504,"&gt;"&amp;$E1326))</f>
        <v/>
      </c>
      <c r="J1326" s="33" t="str">
        <f aca="false">IF($G1326="","",IF(H1326&gt;0,IF(I1326&gt;0,MIN(H1326,I1326),H1326),IF(I1326&gt;0,I1326,تاريخ_الاحتساب)))</f>
        <v/>
      </c>
      <c r="K1326" s="34" t="str">
        <f aca="false">IF($G1326="","",IF(AND(H1326=0,I1326=0),"جارية","مغلقة"))</f>
        <v/>
      </c>
      <c r="L1326" s="26" t="str">
        <f aca="false">IF($G1326="","",MAX(0,NETWORKDAYS.INTL($E1326,J1326,رمز_العطلة,أيام_الأجازات)-1))</f>
        <v/>
      </c>
      <c r="M1326" s="26" t="str">
        <f aca="false">IF($G1326="","",MAX(0,L1326-مهلة_المراجعة))</f>
        <v/>
      </c>
      <c r="N1326" s="30" t="str">
        <f aca="false">IF($A1326="",IF(OR($D1326&lt;&gt;"",$E1326&lt;&gt;""),"رقم المخرج ناقص",""),IF(ISNA(MATCH($A1326,قائمة_المخرجات,0)),"رقم مخرج غير موجود",IF($D1326="","نوع الحركة ناقص",IF(NOT(ISNUMBER($E1326)),"التاريخ ناقص",IF($E1326&gt;تاريخ_الاحتساب,"تاريخ بعد تاريخ الاحتساب",IF(AND($D1326&lt;&gt;"تسليم",COUNTIFS($A$5:$A$1504,$A1326,$D$5:$D$1504,"تسليم",$E$5:$E$1504,"&lt;="&amp;$E1326)=0),"لا يوجد تسليم قبل الحركة دي",""))))))</f>
        <v/>
      </c>
    </row>
    <row r="1327" customFormat="false" ht="15" hidden="false" customHeight="false" outlineLevel="0" collapsed="false">
      <c r="A1327" s="20"/>
      <c r="B1327" s="35" t="str">
        <f aca="false">IF($A1327="","",IFERROR(INDEX(مخرج_البند,MATCH($A1327,قائمة_المخرجات,0)),""))</f>
        <v/>
      </c>
      <c r="C1327" s="30" t="str">
        <f aca="false">IF($A1327="","",IFERROR(INDEX(مخرج_الوصف,MATCH($A1327,قائمة_المخرجات,0)),""))</f>
        <v/>
      </c>
      <c r="D1327" s="20"/>
      <c r="E1327" s="31"/>
      <c r="F1327" s="22"/>
      <c r="G1327" s="36" t="str">
        <f aca="false">IF(OR($A1327="",$D1327&lt;&gt;"تسليم",NOT(ISNUMBER($E1327))),"",COUNTIFS($A$5:$A$1504,$A1327,$D$5:$D$1504,"تسليم",$E$5:$E$1504,"&lt;"&amp;$E1327)+1)</f>
        <v/>
      </c>
      <c r="H1327" s="33" t="str">
        <f aca="false">IF($G1327="","",_xlfn.MINIFS($E$5:$E$1504,$A$5:$A$1504,$A1327,$D$5:$D$1504,"&lt;&gt;تسليم",$E$5:$E$1504,"&gt;="&amp;$E1327))</f>
        <v/>
      </c>
      <c r="I1327" s="33" t="str">
        <f aca="false">IF($G1327="","",_xlfn.MINIFS($E$5:$E$1504,$A$5:$A$1504,$A1327,$D$5:$D$1504,"تسليم",$E$5:$E$1504,"&gt;"&amp;$E1327))</f>
        <v/>
      </c>
      <c r="J1327" s="33" t="str">
        <f aca="false">IF($G1327="","",IF(H1327&gt;0,IF(I1327&gt;0,MIN(H1327,I1327),H1327),IF(I1327&gt;0,I1327,تاريخ_الاحتساب)))</f>
        <v/>
      </c>
      <c r="K1327" s="34" t="str">
        <f aca="false">IF($G1327="","",IF(AND(H1327=0,I1327=0),"جارية","مغلقة"))</f>
        <v/>
      </c>
      <c r="L1327" s="26" t="str">
        <f aca="false">IF($G1327="","",MAX(0,NETWORKDAYS.INTL($E1327,J1327,رمز_العطلة,أيام_الأجازات)-1))</f>
        <v/>
      </c>
      <c r="M1327" s="26" t="str">
        <f aca="false">IF($G1327="","",MAX(0,L1327-مهلة_المراجعة))</f>
        <v/>
      </c>
      <c r="N1327" s="30" t="str">
        <f aca="false">IF($A1327="",IF(OR($D1327&lt;&gt;"",$E1327&lt;&gt;""),"رقم المخرج ناقص",""),IF(ISNA(MATCH($A1327,قائمة_المخرجات,0)),"رقم مخرج غير موجود",IF($D1327="","نوع الحركة ناقص",IF(NOT(ISNUMBER($E1327)),"التاريخ ناقص",IF($E1327&gt;تاريخ_الاحتساب,"تاريخ بعد تاريخ الاحتساب",IF(AND($D1327&lt;&gt;"تسليم",COUNTIFS($A$5:$A$1504,$A1327,$D$5:$D$1504,"تسليم",$E$5:$E$1504,"&lt;="&amp;$E1327)=0),"لا يوجد تسليم قبل الحركة دي",""))))))</f>
        <v/>
      </c>
    </row>
    <row r="1328" customFormat="false" ht="15" hidden="false" customHeight="false" outlineLevel="0" collapsed="false">
      <c r="A1328" s="20"/>
      <c r="B1328" s="35" t="str">
        <f aca="false">IF($A1328="","",IFERROR(INDEX(مخرج_البند,MATCH($A1328,قائمة_المخرجات,0)),""))</f>
        <v/>
      </c>
      <c r="C1328" s="30" t="str">
        <f aca="false">IF($A1328="","",IFERROR(INDEX(مخرج_الوصف,MATCH($A1328,قائمة_المخرجات,0)),""))</f>
        <v/>
      </c>
      <c r="D1328" s="20"/>
      <c r="E1328" s="31"/>
      <c r="F1328" s="22"/>
      <c r="G1328" s="36" t="str">
        <f aca="false">IF(OR($A1328="",$D1328&lt;&gt;"تسليم",NOT(ISNUMBER($E1328))),"",COUNTIFS($A$5:$A$1504,$A1328,$D$5:$D$1504,"تسليم",$E$5:$E$1504,"&lt;"&amp;$E1328)+1)</f>
        <v/>
      </c>
      <c r="H1328" s="33" t="str">
        <f aca="false">IF($G1328="","",_xlfn.MINIFS($E$5:$E$1504,$A$5:$A$1504,$A1328,$D$5:$D$1504,"&lt;&gt;تسليم",$E$5:$E$1504,"&gt;="&amp;$E1328))</f>
        <v/>
      </c>
      <c r="I1328" s="33" t="str">
        <f aca="false">IF($G1328="","",_xlfn.MINIFS($E$5:$E$1504,$A$5:$A$1504,$A1328,$D$5:$D$1504,"تسليم",$E$5:$E$1504,"&gt;"&amp;$E1328))</f>
        <v/>
      </c>
      <c r="J1328" s="33" t="str">
        <f aca="false">IF($G1328="","",IF(H1328&gt;0,IF(I1328&gt;0,MIN(H1328,I1328),H1328),IF(I1328&gt;0,I1328,تاريخ_الاحتساب)))</f>
        <v/>
      </c>
      <c r="K1328" s="34" t="str">
        <f aca="false">IF($G1328="","",IF(AND(H1328=0,I1328=0),"جارية","مغلقة"))</f>
        <v/>
      </c>
      <c r="L1328" s="26" t="str">
        <f aca="false">IF($G1328="","",MAX(0,NETWORKDAYS.INTL($E1328,J1328,رمز_العطلة,أيام_الأجازات)-1))</f>
        <v/>
      </c>
      <c r="M1328" s="26" t="str">
        <f aca="false">IF($G1328="","",MAX(0,L1328-مهلة_المراجعة))</f>
        <v/>
      </c>
      <c r="N1328" s="30" t="str">
        <f aca="false">IF($A1328="",IF(OR($D1328&lt;&gt;"",$E1328&lt;&gt;""),"رقم المخرج ناقص",""),IF(ISNA(MATCH($A1328,قائمة_المخرجات,0)),"رقم مخرج غير موجود",IF($D1328="","نوع الحركة ناقص",IF(NOT(ISNUMBER($E1328)),"التاريخ ناقص",IF($E1328&gt;تاريخ_الاحتساب,"تاريخ بعد تاريخ الاحتساب",IF(AND($D1328&lt;&gt;"تسليم",COUNTIFS($A$5:$A$1504,$A1328,$D$5:$D$1504,"تسليم",$E$5:$E$1504,"&lt;="&amp;$E1328)=0),"لا يوجد تسليم قبل الحركة دي",""))))))</f>
        <v/>
      </c>
    </row>
    <row r="1329" customFormat="false" ht="15" hidden="false" customHeight="false" outlineLevel="0" collapsed="false">
      <c r="A1329" s="20"/>
      <c r="B1329" s="35" t="str">
        <f aca="false">IF($A1329="","",IFERROR(INDEX(مخرج_البند,MATCH($A1329,قائمة_المخرجات,0)),""))</f>
        <v/>
      </c>
      <c r="C1329" s="30" t="str">
        <f aca="false">IF($A1329="","",IFERROR(INDEX(مخرج_الوصف,MATCH($A1329,قائمة_المخرجات,0)),""))</f>
        <v/>
      </c>
      <c r="D1329" s="20"/>
      <c r="E1329" s="31"/>
      <c r="F1329" s="22"/>
      <c r="G1329" s="36" t="str">
        <f aca="false">IF(OR($A1329="",$D1329&lt;&gt;"تسليم",NOT(ISNUMBER($E1329))),"",COUNTIFS($A$5:$A$1504,$A1329,$D$5:$D$1504,"تسليم",$E$5:$E$1504,"&lt;"&amp;$E1329)+1)</f>
        <v/>
      </c>
      <c r="H1329" s="33" t="str">
        <f aca="false">IF($G1329="","",_xlfn.MINIFS($E$5:$E$1504,$A$5:$A$1504,$A1329,$D$5:$D$1504,"&lt;&gt;تسليم",$E$5:$E$1504,"&gt;="&amp;$E1329))</f>
        <v/>
      </c>
      <c r="I1329" s="33" t="str">
        <f aca="false">IF($G1329="","",_xlfn.MINIFS($E$5:$E$1504,$A$5:$A$1504,$A1329,$D$5:$D$1504,"تسليم",$E$5:$E$1504,"&gt;"&amp;$E1329))</f>
        <v/>
      </c>
      <c r="J1329" s="33" t="str">
        <f aca="false">IF($G1329="","",IF(H1329&gt;0,IF(I1329&gt;0,MIN(H1329,I1329),H1329),IF(I1329&gt;0,I1329,تاريخ_الاحتساب)))</f>
        <v/>
      </c>
      <c r="K1329" s="34" t="str">
        <f aca="false">IF($G1329="","",IF(AND(H1329=0,I1329=0),"جارية","مغلقة"))</f>
        <v/>
      </c>
      <c r="L1329" s="26" t="str">
        <f aca="false">IF($G1329="","",MAX(0,NETWORKDAYS.INTL($E1329,J1329,رمز_العطلة,أيام_الأجازات)-1))</f>
        <v/>
      </c>
      <c r="M1329" s="26" t="str">
        <f aca="false">IF($G1329="","",MAX(0,L1329-مهلة_المراجعة))</f>
        <v/>
      </c>
      <c r="N1329" s="30" t="str">
        <f aca="false">IF($A1329="",IF(OR($D1329&lt;&gt;"",$E1329&lt;&gt;""),"رقم المخرج ناقص",""),IF(ISNA(MATCH($A1329,قائمة_المخرجات,0)),"رقم مخرج غير موجود",IF($D1329="","نوع الحركة ناقص",IF(NOT(ISNUMBER($E1329)),"التاريخ ناقص",IF($E1329&gt;تاريخ_الاحتساب,"تاريخ بعد تاريخ الاحتساب",IF(AND($D1329&lt;&gt;"تسليم",COUNTIFS($A$5:$A$1504,$A1329,$D$5:$D$1504,"تسليم",$E$5:$E$1504,"&lt;="&amp;$E1329)=0),"لا يوجد تسليم قبل الحركة دي",""))))))</f>
        <v/>
      </c>
    </row>
    <row r="1330" customFormat="false" ht="15" hidden="false" customHeight="false" outlineLevel="0" collapsed="false">
      <c r="A1330" s="20"/>
      <c r="B1330" s="35" t="str">
        <f aca="false">IF($A1330="","",IFERROR(INDEX(مخرج_البند,MATCH($A1330,قائمة_المخرجات,0)),""))</f>
        <v/>
      </c>
      <c r="C1330" s="30" t="str">
        <f aca="false">IF($A1330="","",IFERROR(INDEX(مخرج_الوصف,MATCH($A1330,قائمة_المخرجات,0)),""))</f>
        <v/>
      </c>
      <c r="D1330" s="20"/>
      <c r="E1330" s="31"/>
      <c r="F1330" s="22"/>
      <c r="G1330" s="36" t="str">
        <f aca="false">IF(OR($A1330="",$D1330&lt;&gt;"تسليم",NOT(ISNUMBER($E1330))),"",COUNTIFS($A$5:$A$1504,$A1330,$D$5:$D$1504,"تسليم",$E$5:$E$1504,"&lt;"&amp;$E1330)+1)</f>
        <v/>
      </c>
      <c r="H1330" s="33" t="str">
        <f aca="false">IF($G1330="","",_xlfn.MINIFS($E$5:$E$1504,$A$5:$A$1504,$A1330,$D$5:$D$1504,"&lt;&gt;تسليم",$E$5:$E$1504,"&gt;="&amp;$E1330))</f>
        <v/>
      </c>
      <c r="I1330" s="33" t="str">
        <f aca="false">IF($G1330="","",_xlfn.MINIFS($E$5:$E$1504,$A$5:$A$1504,$A1330,$D$5:$D$1504,"تسليم",$E$5:$E$1504,"&gt;"&amp;$E1330))</f>
        <v/>
      </c>
      <c r="J1330" s="33" t="str">
        <f aca="false">IF($G1330="","",IF(H1330&gt;0,IF(I1330&gt;0,MIN(H1330,I1330),H1330),IF(I1330&gt;0,I1330,تاريخ_الاحتساب)))</f>
        <v/>
      </c>
      <c r="K1330" s="34" t="str">
        <f aca="false">IF($G1330="","",IF(AND(H1330=0,I1330=0),"جارية","مغلقة"))</f>
        <v/>
      </c>
      <c r="L1330" s="26" t="str">
        <f aca="false">IF($G1330="","",MAX(0,NETWORKDAYS.INTL($E1330,J1330,رمز_العطلة,أيام_الأجازات)-1))</f>
        <v/>
      </c>
      <c r="M1330" s="26" t="str">
        <f aca="false">IF($G1330="","",MAX(0,L1330-مهلة_المراجعة))</f>
        <v/>
      </c>
      <c r="N1330" s="30" t="str">
        <f aca="false">IF($A1330="",IF(OR($D1330&lt;&gt;"",$E1330&lt;&gt;""),"رقم المخرج ناقص",""),IF(ISNA(MATCH($A1330,قائمة_المخرجات,0)),"رقم مخرج غير موجود",IF($D1330="","نوع الحركة ناقص",IF(NOT(ISNUMBER($E1330)),"التاريخ ناقص",IF($E1330&gt;تاريخ_الاحتساب,"تاريخ بعد تاريخ الاحتساب",IF(AND($D1330&lt;&gt;"تسليم",COUNTIFS($A$5:$A$1504,$A1330,$D$5:$D$1504,"تسليم",$E$5:$E$1504,"&lt;="&amp;$E1330)=0),"لا يوجد تسليم قبل الحركة دي",""))))))</f>
        <v/>
      </c>
    </row>
    <row r="1331" customFormat="false" ht="15" hidden="false" customHeight="false" outlineLevel="0" collapsed="false">
      <c r="A1331" s="20"/>
      <c r="B1331" s="35" t="str">
        <f aca="false">IF($A1331="","",IFERROR(INDEX(مخرج_البند,MATCH($A1331,قائمة_المخرجات,0)),""))</f>
        <v/>
      </c>
      <c r="C1331" s="30" t="str">
        <f aca="false">IF($A1331="","",IFERROR(INDEX(مخرج_الوصف,MATCH($A1331,قائمة_المخرجات,0)),""))</f>
        <v/>
      </c>
      <c r="D1331" s="20"/>
      <c r="E1331" s="31"/>
      <c r="F1331" s="22"/>
      <c r="G1331" s="36" t="str">
        <f aca="false">IF(OR($A1331="",$D1331&lt;&gt;"تسليم",NOT(ISNUMBER($E1331))),"",COUNTIFS($A$5:$A$1504,$A1331,$D$5:$D$1504,"تسليم",$E$5:$E$1504,"&lt;"&amp;$E1331)+1)</f>
        <v/>
      </c>
      <c r="H1331" s="33" t="str">
        <f aca="false">IF($G1331="","",_xlfn.MINIFS($E$5:$E$1504,$A$5:$A$1504,$A1331,$D$5:$D$1504,"&lt;&gt;تسليم",$E$5:$E$1504,"&gt;="&amp;$E1331))</f>
        <v/>
      </c>
      <c r="I1331" s="33" t="str">
        <f aca="false">IF($G1331="","",_xlfn.MINIFS($E$5:$E$1504,$A$5:$A$1504,$A1331,$D$5:$D$1504,"تسليم",$E$5:$E$1504,"&gt;"&amp;$E1331))</f>
        <v/>
      </c>
      <c r="J1331" s="33" t="str">
        <f aca="false">IF($G1331="","",IF(H1331&gt;0,IF(I1331&gt;0,MIN(H1331,I1331),H1331),IF(I1331&gt;0,I1331,تاريخ_الاحتساب)))</f>
        <v/>
      </c>
      <c r="K1331" s="34" t="str">
        <f aca="false">IF($G1331="","",IF(AND(H1331=0,I1331=0),"جارية","مغلقة"))</f>
        <v/>
      </c>
      <c r="L1331" s="26" t="str">
        <f aca="false">IF($G1331="","",MAX(0,NETWORKDAYS.INTL($E1331,J1331,رمز_العطلة,أيام_الأجازات)-1))</f>
        <v/>
      </c>
      <c r="M1331" s="26" t="str">
        <f aca="false">IF($G1331="","",MAX(0,L1331-مهلة_المراجعة))</f>
        <v/>
      </c>
      <c r="N1331" s="30" t="str">
        <f aca="false">IF($A1331="",IF(OR($D1331&lt;&gt;"",$E1331&lt;&gt;""),"رقم المخرج ناقص",""),IF(ISNA(MATCH($A1331,قائمة_المخرجات,0)),"رقم مخرج غير موجود",IF($D1331="","نوع الحركة ناقص",IF(NOT(ISNUMBER($E1331)),"التاريخ ناقص",IF($E1331&gt;تاريخ_الاحتساب,"تاريخ بعد تاريخ الاحتساب",IF(AND($D1331&lt;&gt;"تسليم",COUNTIFS($A$5:$A$1504,$A1331,$D$5:$D$1504,"تسليم",$E$5:$E$1504,"&lt;="&amp;$E1331)=0),"لا يوجد تسليم قبل الحركة دي",""))))))</f>
        <v/>
      </c>
    </row>
    <row r="1332" customFormat="false" ht="15" hidden="false" customHeight="false" outlineLevel="0" collapsed="false">
      <c r="A1332" s="20"/>
      <c r="B1332" s="35" t="str">
        <f aca="false">IF($A1332="","",IFERROR(INDEX(مخرج_البند,MATCH($A1332,قائمة_المخرجات,0)),""))</f>
        <v/>
      </c>
      <c r="C1332" s="30" t="str">
        <f aca="false">IF($A1332="","",IFERROR(INDEX(مخرج_الوصف,MATCH($A1332,قائمة_المخرجات,0)),""))</f>
        <v/>
      </c>
      <c r="D1332" s="20"/>
      <c r="E1332" s="31"/>
      <c r="F1332" s="22"/>
      <c r="G1332" s="36" t="str">
        <f aca="false">IF(OR($A1332="",$D1332&lt;&gt;"تسليم",NOT(ISNUMBER($E1332))),"",COUNTIFS($A$5:$A$1504,$A1332,$D$5:$D$1504,"تسليم",$E$5:$E$1504,"&lt;"&amp;$E1332)+1)</f>
        <v/>
      </c>
      <c r="H1332" s="33" t="str">
        <f aca="false">IF($G1332="","",_xlfn.MINIFS($E$5:$E$1504,$A$5:$A$1504,$A1332,$D$5:$D$1504,"&lt;&gt;تسليم",$E$5:$E$1504,"&gt;="&amp;$E1332))</f>
        <v/>
      </c>
      <c r="I1332" s="33" t="str">
        <f aca="false">IF($G1332="","",_xlfn.MINIFS($E$5:$E$1504,$A$5:$A$1504,$A1332,$D$5:$D$1504,"تسليم",$E$5:$E$1504,"&gt;"&amp;$E1332))</f>
        <v/>
      </c>
      <c r="J1332" s="33" t="str">
        <f aca="false">IF($G1332="","",IF(H1332&gt;0,IF(I1332&gt;0,MIN(H1332,I1332),H1332),IF(I1332&gt;0,I1332,تاريخ_الاحتساب)))</f>
        <v/>
      </c>
      <c r="K1332" s="34" t="str">
        <f aca="false">IF($G1332="","",IF(AND(H1332=0,I1332=0),"جارية","مغلقة"))</f>
        <v/>
      </c>
      <c r="L1332" s="26" t="str">
        <f aca="false">IF($G1332="","",MAX(0,NETWORKDAYS.INTL($E1332,J1332,رمز_العطلة,أيام_الأجازات)-1))</f>
        <v/>
      </c>
      <c r="M1332" s="26" t="str">
        <f aca="false">IF($G1332="","",MAX(0,L1332-مهلة_المراجعة))</f>
        <v/>
      </c>
      <c r="N1332" s="30" t="str">
        <f aca="false">IF($A1332="",IF(OR($D1332&lt;&gt;"",$E1332&lt;&gt;""),"رقم المخرج ناقص",""),IF(ISNA(MATCH($A1332,قائمة_المخرجات,0)),"رقم مخرج غير موجود",IF($D1332="","نوع الحركة ناقص",IF(NOT(ISNUMBER($E1332)),"التاريخ ناقص",IF($E1332&gt;تاريخ_الاحتساب,"تاريخ بعد تاريخ الاحتساب",IF(AND($D1332&lt;&gt;"تسليم",COUNTIFS($A$5:$A$1504,$A1332,$D$5:$D$1504,"تسليم",$E$5:$E$1504,"&lt;="&amp;$E1332)=0),"لا يوجد تسليم قبل الحركة دي",""))))))</f>
        <v/>
      </c>
    </row>
    <row r="1333" customFormat="false" ht="15" hidden="false" customHeight="false" outlineLevel="0" collapsed="false">
      <c r="A1333" s="20"/>
      <c r="B1333" s="35" t="str">
        <f aca="false">IF($A1333="","",IFERROR(INDEX(مخرج_البند,MATCH($A1333,قائمة_المخرجات,0)),""))</f>
        <v/>
      </c>
      <c r="C1333" s="30" t="str">
        <f aca="false">IF($A1333="","",IFERROR(INDEX(مخرج_الوصف,MATCH($A1333,قائمة_المخرجات,0)),""))</f>
        <v/>
      </c>
      <c r="D1333" s="20"/>
      <c r="E1333" s="31"/>
      <c r="F1333" s="22"/>
      <c r="G1333" s="36" t="str">
        <f aca="false">IF(OR($A1333="",$D1333&lt;&gt;"تسليم",NOT(ISNUMBER($E1333))),"",COUNTIFS($A$5:$A$1504,$A1333,$D$5:$D$1504,"تسليم",$E$5:$E$1504,"&lt;"&amp;$E1333)+1)</f>
        <v/>
      </c>
      <c r="H1333" s="33" t="str">
        <f aca="false">IF($G1333="","",_xlfn.MINIFS($E$5:$E$1504,$A$5:$A$1504,$A1333,$D$5:$D$1504,"&lt;&gt;تسليم",$E$5:$E$1504,"&gt;="&amp;$E1333))</f>
        <v/>
      </c>
      <c r="I1333" s="33" t="str">
        <f aca="false">IF($G1333="","",_xlfn.MINIFS($E$5:$E$1504,$A$5:$A$1504,$A1333,$D$5:$D$1504,"تسليم",$E$5:$E$1504,"&gt;"&amp;$E1333))</f>
        <v/>
      </c>
      <c r="J1333" s="33" t="str">
        <f aca="false">IF($G1333="","",IF(H1333&gt;0,IF(I1333&gt;0,MIN(H1333,I1333),H1333),IF(I1333&gt;0,I1333,تاريخ_الاحتساب)))</f>
        <v/>
      </c>
      <c r="K1333" s="34" t="str">
        <f aca="false">IF($G1333="","",IF(AND(H1333=0,I1333=0),"جارية","مغلقة"))</f>
        <v/>
      </c>
      <c r="L1333" s="26" t="str">
        <f aca="false">IF($G1333="","",MAX(0,NETWORKDAYS.INTL($E1333,J1333,رمز_العطلة,أيام_الأجازات)-1))</f>
        <v/>
      </c>
      <c r="M1333" s="26" t="str">
        <f aca="false">IF($G1333="","",MAX(0,L1333-مهلة_المراجعة))</f>
        <v/>
      </c>
      <c r="N1333" s="30" t="str">
        <f aca="false">IF($A1333="",IF(OR($D1333&lt;&gt;"",$E1333&lt;&gt;""),"رقم المخرج ناقص",""),IF(ISNA(MATCH($A1333,قائمة_المخرجات,0)),"رقم مخرج غير موجود",IF($D1333="","نوع الحركة ناقص",IF(NOT(ISNUMBER($E1333)),"التاريخ ناقص",IF($E1333&gt;تاريخ_الاحتساب,"تاريخ بعد تاريخ الاحتساب",IF(AND($D1333&lt;&gt;"تسليم",COUNTIFS($A$5:$A$1504,$A1333,$D$5:$D$1504,"تسليم",$E$5:$E$1504,"&lt;="&amp;$E1333)=0),"لا يوجد تسليم قبل الحركة دي",""))))))</f>
        <v/>
      </c>
    </row>
    <row r="1334" customFormat="false" ht="15" hidden="false" customHeight="false" outlineLevel="0" collapsed="false">
      <c r="A1334" s="20"/>
      <c r="B1334" s="35" t="str">
        <f aca="false">IF($A1334="","",IFERROR(INDEX(مخرج_البند,MATCH($A1334,قائمة_المخرجات,0)),""))</f>
        <v/>
      </c>
      <c r="C1334" s="30" t="str">
        <f aca="false">IF($A1334="","",IFERROR(INDEX(مخرج_الوصف,MATCH($A1334,قائمة_المخرجات,0)),""))</f>
        <v/>
      </c>
      <c r="D1334" s="20"/>
      <c r="E1334" s="31"/>
      <c r="F1334" s="22"/>
      <c r="G1334" s="36" t="str">
        <f aca="false">IF(OR($A1334="",$D1334&lt;&gt;"تسليم",NOT(ISNUMBER($E1334))),"",COUNTIFS($A$5:$A$1504,$A1334,$D$5:$D$1504,"تسليم",$E$5:$E$1504,"&lt;"&amp;$E1334)+1)</f>
        <v/>
      </c>
      <c r="H1334" s="33" t="str">
        <f aca="false">IF($G1334="","",_xlfn.MINIFS($E$5:$E$1504,$A$5:$A$1504,$A1334,$D$5:$D$1504,"&lt;&gt;تسليم",$E$5:$E$1504,"&gt;="&amp;$E1334))</f>
        <v/>
      </c>
      <c r="I1334" s="33" t="str">
        <f aca="false">IF($G1334="","",_xlfn.MINIFS($E$5:$E$1504,$A$5:$A$1504,$A1334,$D$5:$D$1504,"تسليم",$E$5:$E$1504,"&gt;"&amp;$E1334))</f>
        <v/>
      </c>
      <c r="J1334" s="33" t="str">
        <f aca="false">IF($G1334="","",IF(H1334&gt;0,IF(I1334&gt;0,MIN(H1334,I1334),H1334),IF(I1334&gt;0,I1334,تاريخ_الاحتساب)))</f>
        <v/>
      </c>
      <c r="K1334" s="34" t="str">
        <f aca="false">IF($G1334="","",IF(AND(H1334=0,I1334=0),"جارية","مغلقة"))</f>
        <v/>
      </c>
      <c r="L1334" s="26" t="str">
        <f aca="false">IF($G1334="","",MAX(0,NETWORKDAYS.INTL($E1334,J1334,رمز_العطلة,أيام_الأجازات)-1))</f>
        <v/>
      </c>
      <c r="M1334" s="26" t="str">
        <f aca="false">IF($G1334="","",MAX(0,L1334-مهلة_المراجعة))</f>
        <v/>
      </c>
      <c r="N1334" s="30" t="str">
        <f aca="false">IF($A1334="",IF(OR($D1334&lt;&gt;"",$E1334&lt;&gt;""),"رقم المخرج ناقص",""),IF(ISNA(MATCH($A1334,قائمة_المخرجات,0)),"رقم مخرج غير موجود",IF($D1334="","نوع الحركة ناقص",IF(NOT(ISNUMBER($E1334)),"التاريخ ناقص",IF($E1334&gt;تاريخ_الاحتساب,"تاريخ بعد تاريخ الاحتساب",IF(AND($D1334&lt;&gt;"تسليم",COUNTIFS($A$5:$A$1504,$A1334,$D$5:$D$1504,"تسليم",$E$5:$E$1504,"&lt;="&amp;$E1334)=0),"لا يوجد تسليم قبل الحركة دي",""))))))</f>
        <v/>
      </c>
    </row>
    <row r="1335" customFormat="false" ht="15" hidden="false" customHeight="false" outlineLevel="0" collapsed="false">
      <c r="A1335" s="20"/>
      <c r="B1335" s="35" t="str">
        <f aca="false">IF($A1335="","",IFERROR(INDEX(مخرج_البند,MATCH($A1335,قائمة_المخرجات,0)),""))</f>
        <v/>
      </c>
      <c r="C1335" s="30" t="str">
        <f aca="false">IF($A1335="","",IFERROR(INDEX(مخرج_الوصف,MATCH($A1335,قائمة_المخرجات,0)),""))</f>
        <v/>
      </c>
      <c r="D1335" s="20"/>
      <c r="E1335" s="31"/>
      <c r="F1335" s="22"/>
      <c r="G1335" s="36" t="str">
        <f aca="false">IF(OR($A1335="",$D1335&lt;&gt;"تسليم",NOT(ISNUMBER($E1335))),"",COUNTIFS($A$5:$A$1504,$A1335,$D$5:$D$1504,"تسليم",$E$5:$E$1504,"&lt;"&amp;$E1335)+1)</f>
        <v/>
      </c>
      <c r="H1335" s="33" t="str">
        <f aca="false">IF($G1335="","",_xlfn.MINIFS($E$5:$E$1504,$A$5:$A$1504,$A1335,$D$5:$D$1504,"&lt;&gt;تسليم",$E$5:$E$1504,"&gt;="&amp;$E1335))</f>
        <v/>
      </c>
      <c r="I1335" s="33" t="str">
        <f aca="false">IF($G1335="","",_xlfn.MINIFS($E$5:$E$1504,$A$5:$A$1504,$A1335,$D$5:$D$1504,"تسليم",$E$5:$E$1504,"&gt;"&amp;$E1335))</f>
        <v/>
      </c>
      <c r="J1335" s="33" t="str">
        <f aca="false">IF($G1335="","",IF(H1335&gt;0,IF(I1335&gt;0,MIN(H1335,I1335),H1335),IF(I1335&gt;0,I1335,تاريخ_الاحتساب)))</f>
        <v/>
      </c>
      <c r="K1335" s="34" t="str">
        <f aca="false">IF($G1335="","",IF(AND(H1335=0,I1335=0),"جارية","مغلقة"))</f>
        <v/>
      </c>
      <c r="L1335" s="26" t="str">
        <f aca="false">IF($G1335="","",MAX(0,NETWORKDAYS.INTL($E1335,J1335,رمز_العطلة,أيام_الأجازات)-1))</f>
        <v/>
      </c>
      <c r="M1335" s="26" t="str">
        <f aca="false">IF($G1335="","",MAX(0,L1335-مهلة_المراجعة))</f>
        <v/>
      </c>
      <c r="N1335" s="30" t="str">
        <f aca="false">IF($A1335="",IF(OR($D1335&lt;&gt;"",$E1335&lt;&gt;""),"رقم المخرج ناقص",""),IF(ISNA(MATCH($A1335,قائمة_المخرجات,0)),"رقم مخرج غير موجود",IF($D1335="","نوع الحركة ناقص",IF(NOT(ISNUMBER($E1335)),"التاريخ ناقص",IF($E1335&gt;تاريخ_الاحتساب,"تاريخ بعد تاريخ الاحتساب",IF(AND($D1335&lt;&gt;"تسليم",COUNTIFS($A$5:$A$1504,$A1335,$D$5:$D$1504,"تسليم",$E$5:$E$1504,"&lt;="&amp;$E1335)=0),"لا يوجد تسليم قبل الحركة دي",""))))))</f>
        <v/>
      </c>
    </row>
    <row r="1336" customFormat="false" ht="15" hidden="false" customHeight="false" outlineLevel="0" collapsed="false">
      <c r="A1336" s="20"/>
      <c r="B1336" s="35" t="str">
        <f aca="false">IF($A1336="","",IFERROR(INDEX(مخرج_البند,MATCH($A1336,قائمة_المخرجات,0)),""))</f>
        <v/>
      </c>
      <c r="C1336" s="30" t="str">
        <f aca="false">IF($A1336="","",IFERROR(INDEX(مخرج_الوصف,MATCH($A1336,قائمة_المخرجات,0)),""))</f>
        <v/>
      </c>
      <c r="D1336" s="20"/>
      <c r="E1336" s="31"/>
      <c r="F1336" s="22"/>
      <c r="G1336" s="36" t="str">
        <f aca="false">IF(OR($A1336="",$D1336&lt;&gt;"تسليم",NOT(ISNUMBER($E1336))),"",COUNTIFS($A$5:$A$1504,$A1336,$D$5:$D$1504,"تسليم",$E$5:$E$1504,"&lt;"&amp;$E1336)+1)</f>
        <v/>
      </c>
      <c r="H1336" s="33" t="str">
        <f aca="false">IF($G1336="","",_xlfn.MINIFS($E$5:$E$1504,$A$5:$A$1504,$A1336,$D$5:$D$1504,"&lt;&gt;تسليم",$E$5:$E$1504,"&gt;="&amp;$E1336))</f>
        <v/>
      </c>
      <c r="I1336" s="33" t="str">
        <f aca="false">IF($G1336="","",_xlfn.MINIFS($E$5:$E$1504,$A$5:$A$1504,$A1336,$D$5:$D$1504,"تسليم",$E$5:$E$1504,"&gt;"&amp;$E1336))</f>
        <v/>
      </c>
      <c r="J1336" s="33" t="str">
        <f aca="false">IF($G1336="","",IF(H1336&gt;0,IF(I1336&gt;0,MIN(H1336,I1336),H1336),IF(I1336&gt;0,I1336,تاريخ_الاحتساب)))</f>
        <v/>
      </c>
      <c r="K1336" s="34" t="str">
        <f aca="false">IF($G1336="","",IF(AND(H1336=0,I1336=0),"جارية","مغلقة"))</f>
        <v/>
      </c>
      <c r="L1336" s="26" t="str">
        <f aca="false">IF($G1336="","",MAX(0,NETWORKDAYS.INTL($E1336,J1336,رمز_العطلة,أيام_الأجازات)-1))</f>
        <v/>
      </c>
      <c r="M1336" s="26" t="str">
        <f aca="false">IF($G1336="","",MAX(0,L1336-مهلة_المراجعة))</f>
        <v/>
      </c>
      <c r="N1336" s="30" t="str">
        <f aca="false">IF($A1336="",IF(OR($D1336&lt;&gt;"",$E1336&lt;&gt;""),"رقم المخرج ناقص",""),IF(ISNA(MATCH($A1336,قائمة_المخرجات,0)),"رقم مخرج غير موجود",IF($D1336="","نوع الحركة ناقص",IF(NOT(ISNUMBER($E1336)),"التاريخ ناقص",IF($E1336&gt;تاريخ_الاحتساب,"تاريخ بعد تاريخ الاحتساب",IF(AND($D1336&lt;&gt;"تسليم",COUNTIFS($A$5:$A$1504,$A1336,$D$5:$D$1504,"تسليم",$E$5:$E$1504,"&lt;="&amp;$E1336)=0),"لا يوجد تسليم قبل الحركة دي",""))))))</f>
        <v/>
      </c>
    </row>
    <row r="1337" customFormat="false" ht="15" hidden="false" customHeight="false" outlineLevel="0" collapsed="false">
      <c r="A1337" s="20"/>
      <c r="B1337" s="35" t="str">
        <f aca="false">IF($A1337="","",IFERROR(INDEX(مخرج_البند,MATCH($A1337,قائمة_المخرجات,0)),""))</f>
        <v/>
      </c>
      <c r="C1337" s="30" t="str">
        <f aca="false">IF($A1337="","",IFERROR(INDEX(مخرج_الوصف,MATCH($A1337,قائمة_المخرجات,0)),""))</f>
        <v/>
      </c>
      <c r="D1337" s="20"/>
      <c r="E1337" s="31"/>
      <c r="F1337" s="22"/>
      <c r="G1337" s="36" t="str">
        <f aca="false">IF(OR($A1337="",$D1337&lt;&gt;"تسليم",NOT(ISNUMBER($E1337))),"",COUNTIFS($A$5:$A$1504,$A1337,$D$5:$D$1504,"تسليم",$E$5:$E$1504,"&lt;"&amp;$E1337)+1)</f>
        <v/>
      </c>
      <c r="H1337" s="33" t="str">
        <f aca="false">IF($G1337="","",_xlfn.MINIFS($E$5:$E$1504,$A$5:$A$1504,$A1337,$D$5:$D$1504,"&lt;&gt;تسليم",$E$5:$E$1504,"&gt;="&amp;$E1337))</f>
        <v/>
      </c>
      <c r="I1337" s="33" t="str">
        <f aca="false">IF($G1337="","",_xlfn.MINIFS($E$5:$E$1504,$A$5:$A$1504,$A1337,$D$5:$D$1504,"تسليم",$E$5:$E$1504,"&gt;"&amp;$E1337))</f>
        <v/>
      </c>
      <c r="J1337" s="33" t="str">
        <f aca="false">IF($G1337="","",IF(H1337&gt;0,IF(I1337&gt;0,MIN(H1337,I1337),H1337),IF(I1337&gt;0,I1337,تاريخ_الاحتساب)))</f>
        <v/>
      </c>
      <c r="K1337" s="34" t="str">
        <f aca="false">IF($G1337="","",IF(AND(H1337=0,I1337=0),"جارية","مغلقة"))</f>
        <v/>
      </c>
      <c r="L1337" s="26" t="str">
        <f aca="false">IF($G1337="","",MAX(0,NETWORKDAYS.INTL($E1337,J1337,رمز_العطلة,أيام_الأجازات)-1))</f>
        <v/>
      </c>
      <c r="M1337" s="26" t="str">
        <f aca="false">IF($G1337="","",MAX(0,L1337-مهلة_المراجعة))</f>
        <v/>
      </c>
      <c r="N1337" s="30" t="str">
        <f aca="false">IF($A1337="",IF(OR($D1337&lt;&gt;"",$E1337&lt;&gt;""),"رقم المخرج ناقص",""),IF(ISNA(MATCH($A1337,قائمة_المخرجات,0)),"رقم مخرج غير موجود",IF($D1337="","نوع الحركة ناقص",IF(NOT(ISNUMBER($E1337)),"التاريخ ناقص",IF($E1337&gt;تاريخ_الاحتساب,"تاريخ بعد تاريخ الاحتساب",IF(AND($D1337&lt;&gt;"تسليم",COUNTIFS($A$5:$A$1504,$A1337,$D$5:$D$1504,"تسليم",$E$5:$E$1504,"&lt;="&amp;$E1337)=0),"لا يوجد تسليم قبل الحركة دي",""))))))</f>
        <v/>
      </c>
    </row>
    <row r="1338" customFormat="false" ht="15" hidden="false" customHeight="false" outlineLevel="0" collapsed="false">
      <c r="A1338" s="20"/>
      <c r="B1338" s="35" t="str">
        <f aca="false">IF($A1338="","",IFERROR(INDEX(مخرج_البند,MATCH($A1338,قائمة_المخرجات,0)),""))</f>
        <v/>
      </c>
      <c r="C1338" s="30" t="str">
        <f aca="false">IF($A1338="","",IFERROR(INDEX(مخرج_الوصف,MATCH($A1338,قائمة_المخرجات,0)),""))</f>
        <v/>
      </c>
      <c r="D1338" s="20"/>
      <c r="E1338" s="31"/>
      <c r="F1338" s="22"/>
      <c r="G1338" s="36" t="str">
        <f aca="false">IF(OR($A1338="",$D1338&lt;&gt;"تسليم",NOT(ISNUMBER($E1338))),"",COUNTIFS($A$5:$A$1504,$A1338,$D$5:$D$1504,"تسليم",$E$5:$E$1504,"&lt;"&amp;$E1338)+1)</f>
        <v/>
      </c>
      <c r="H1338" s="33" t="str">
        <f aca="false">IF($G1338="","",_xlfn.MINIFS($E$5:$E$1504,$A$5:$A$1504,$A1338,$D$5:$D$1504,"&lt;&gt;تسليم",$E$5:$E$1504,"&gt;="&amp;$E1338))</f>
        <v/>
      </c>
      <c r="I1338" s="33" t="str">
        <f aca="false">IF($G1338="","",_xlfn.MINIFS($E$5:$E$1504,$A$5:$A$1504,$A1338,$D$5:$D$1504,"تسليم",$E$5:$E$1504,"&gt;"&amp;$E1338))</f>
        <v/>
      </c>
      <c r="J1338" s="33" t="str">
        <f aca="false">IF($G1338="","",IF(H1338&gt;0,IF(I1338&gt;0,MIN(H1338,I1338),H1338),IF(I1338&gt;0,I1338,تاريخ_الاحتساب)))</f>
        <v/>
      </c>
      <c r="K1338" s="34" t="str">
        <f aca="false">IF($G1338="","",IF(AND(H1338=0,I1338=0),"جارية","مغلقة"))</f>
        <v/>
      </c>
      <c r="L1338" s="26" t="str">
        <f aca="false">IF($G1338="","",MAX(0,NETWORKDAYS.INTL($E1338,J1338,رمز_العطلة,أيام_الأجازات)-1))</f>
        <v/>
      </c>
      <c r="M1338" s="26" t="str">
        <f aca="false">IF($G1338="","",MAX(0,L1338-مهلة_المراجعة))</f>
        <v/>
      </c>
      <c r="N1338" s="30" t="str">
        <f aca="false">IF($A1338="",IF(OR($D1338&lt;&gt;"",$E1338&lt;&gt;""),"رقم المخرج ناقص",""),IF(ISNA(MATCH($A1338,قائمة_المخرجات,0)),"رقم مخرج غير موجود",IF($D1338="","نوع الحركة ناقص",IF(NOT(ISNUMBER($E1338)),"التاريخ ناقص",IF($E1338&gt;تاريخ_الاحتساب,"تاريخ بعد تاريخ الاحتساب",IF(AND($D1338&lt;&gt;"تسليم",COUNTIFS($A$5:$A$1504,$A1338,$D$5:$D$1504,"تسليم",$E$5:$E$1504,"&lt;="&amp;$E1338)=0),"لا يوجد تسليم قبل الحركة دي",""))))))</f>
        <v/>
      </c>
    </row>
    <row r="1339" customFormat="false" ht="15" hidden="false" customHeight="false" outlineLevel="0" collapsed="false">
      <c r="A1339" s="20"/>
      <c r="B1339" s="35" t="str">
        <f aca="false">IF($A1339="","",IFERROR(INDEX(مخرج_البند,MATCH($A1339,قائمة_المخرجات,0)),""))</f>
        <v/>
      </c>
      <c r="C1339" s="30" t="str">
        <f aca="false">IF($A1339="","",IFERROR(INDEX(مخرج_الوصف,MATCH($A1339,قائمة_المخرجات,0)),""))</f>
        <v/>
      </c>
      <c r="D1339" s="20"/>
      <c r="E1339" s="31"/>
      <c r="F1339" s="22"/>
      <c r="G1339" s="36" t="str">
        <f aca="false">IF(OR($A1339="",$D1339&lt;&gt;"تسليم",NOT(ISNUMBER($E1339))),"",COUNTIFS($A$5:$A$1504,$A1339,$D$5:$D$1504,"تسليم",$E$5:$E$1504,"&lt;"&amp;$E1339)+1)</f>
        <v/>
      </c>
      <c r="H1339" s="33" t="str">
        <f aca="false">IF($G1339="","",_xlfn.MINIFS($E$5:$E$1504,$A$5:$A$1504,$A1339,$D$5:$D$1504,"&lt;&gt;تسليم",$E$5:$E$1504,"&gt;="&amp;$E1339))</f>
        <v/>
      </c>
      <c r="I1339" s="33" t="str">
        <f aca="false">IF($G1339="","",_xlfn.MINIFS($E$5:$E$1504,$A$5:$A$1504,$A1339,$D$5:$D$1504,"تسليم",$E$5:$E$1504,"&gt;"&amp;$E1339))</f>
        <v/>
      </c>
      <c r="J1339" s="33" t="str">
        <f aca="false">IF($G1339="","",IF(H1339&gt;0,IF(I1339&gt;0,MIN(H1339,I1339),H1339),IF(I1339&gt;0,I1339,تاريخ_الاحتساب)))</f>
        <v/>
      </c>
      <c r="K1339" s="34" t="str">
        <f aca="false">IF($G1339="","",IF(AND(H1339=0,I1339=0),"جارية","مغلقة"))</f>
        <v/>
      </c>
      <c r="L1339" s="26" t="str">
        <f aca="false">IF($G1339="","",MAX(0,NETWORKDAYS.INTL($E1339,J1339,رمز_العطلة,أيام_الأجازات)-1))</f>
        <v/>
      </c>
      <c r="M1339" s="26" t="str">
        <f aca="false">IF($G1339="","",MAX(0,L1339-مهلة_المراجعة))</f>
        <v/>
      </c>
      <c r="N1339" s="30" t="str">
        <f aca="false">IF($A1339="",IF(OR($D1339&lt;&gt;"",$E1339&lt;&gt;""),"رقم المخرج ناقص",""),IF(ISNA(MATCH($A1339,قائمة_المخرجات,0)),"رقم مخرج غير موجود",IF($D1339="","نوع الحركة ناقص",IF(NOT(ISNUMBER($E1339)),"التاريخ ناقص",IF($E1339&gt;تاريخ_الاحتساب,"تاريخ بعد تاريخ الاحتساب",IF(AND($D1339&lt;&gt;"تسليم",COUNTIFS($A$5:$A$1504,$A1339,$D$5:$D$1504,"تسليم",$E$5:$E$1504,"&lt;="&amp;$E1339)=0),"لا يوجد تسليم قبل الحركة دي",""))))))</f>
        <v/>
      </c>
    </row>
    <row r="1340" customFormat="false" ht="15" hidden="false" customHeight="false" outlineLevel="0" collapsed="false">
      <c r="A1340" s="20"/>
      <c r="B1340" s="35" t="str">
        <f aca="false">IF($A1340="","",IFERROR(INDEX(مخرج_البند,MATCH($A1340,قائمة_المخرجات,0)),""))</f>
        <v/>
      </c>
      <c r="C1340" s="30" t="str">
        <f aca="false">IF($A1340="","",IFERROR(INDEX(مخرج_الوصف,MATCH($A1340,قائمة_المخرجات,0)),""))</f>
        <v/>
      </c>
      <c r="D1340" s="20"/>
      <c r="E1340" s="31"/>
      <c r="F1340" s="22"/>
      <c r="G1340" s="36" t="str">
        <f aca="false">IF(OR($A1340="",$D1340&lt;&gt;"تسليم",NOT(ISNUMBER($E1340))),"",COUNTIFS($A$5:$A$1504,$A1340,$D$5:$D$1504,"تسليم",$E$5:$E$1504,"&lt;"&amp;$E1340)+1)</f>
        <v/>
      </c>
      <c r="H1340" s="33" t="str">
        <f aca="false">IF($G1340="","",_xlfn.MINIFS($E$5:$E$1504,$A$5:$A$1504,$A1340,$D$5:$D$1504,"&lt;&gt;تسليم",$E$5:$E$1504,"&gt;="&amp;$E1340))</f>
        <v/>
      </c>
      <c r="I1340" s="33" t="str">
        <f aca="false">IF($G1340="","",_xlfn.MINIFS($E$5:$E$1504,$A$5:$A$1504,$A1340,$D$5:$D$1504,"تسليم",$E$5:$E$1504,"&gt;"&amp;$E1340))</f>
        <v/>
      </c>
      <c r="J1340" s="33" t="str">
        <f aca="false">IF($G1340="","",IF(H1340&gt;0,IF(I1340&gt;0,MIN(H1340,I1340),H1340),IF(I1340&gt;0,I1340,تاريخ_الاحتساب)))</f>
        <v/>
      </c>
      <c r="K1340" s="34" t="str">
        <f aca="false">IF($G1340="","",IF(AND(H1340=0,I1340=0),"جارية","مغلقة"))</f>
        <v/>
      </c>
      <c r="L1340" s="26" t="str">
        <f aca="false">IF($G1340="","",MAX(0,NETWORKDAYS.INTL($E1340,J1340,رمز_العطلة,أيام_الأجازات)-1))</f>
        <v/>
      </c>
      <c r="M1340" s="26" t="str">
        <f aca="false">IF($G1340="","",MAX(0,L1340-مهلة_المراجعة))</f>
        <v/>
      </c>
      <c r="N1340" s="30" t="str">
        <f aca="false">IF($A1340="",IF(OR($D1340&lt;&gt;"",$E1340&lt;&gt;""),"رقم المخرج ناقص",""),IF(ISNA(MATCH($A1340,قائمة_المخرجات,0)),"رقم مخرج غير موجود",IF($D1340="","نوع الحركة ناقص",IF(NOT(ISNUMBER($E1340)),"التاريخ ناقص",IF($E1340&gt;تاريخ_الاحتساب,"تاريخ بعد تاريخ الاحتساب",IF(AND($D1340&lt;&gt;"تسليم",COUNTIFS($A$5:$A$1504,$A1340,$D$5:$D$1504,"تسليم",$E$5:$E$1504,"&lt;="&amp;$E1340)=0),"لا يوجد تسليم قبل الحركة دي",""))))))</f>
        <v/>
      </c>
    </row>
    <row r="1341" customFormat="false" ht="15" hidden="false" customHeight="false" outlineLevel="0" collapsed="false">
      <c r="A1341" s="20"/>
      <c r="B1341" s="35" t="str">
        <f aca="false">IF($A1341="","",IFERROR(INDEX(مخرج_البند,MATCH($A1341,قائمة_المخرجات,0)),""))</f>
        <v/>
      </c>
      <c r="C1341" s="30" t="str">
        <f aca="false">IF($A1341="","",IFERROR(INDEX(مخرج_الوصف,MATCH($A1341,قائمة_المخرجات,0)),""))</f>
        <v/>
      </c>
      <c r="D1341" s="20"/>
      <c r="E1341" s="31"/>
      <c r="F1341" s="22"/>
      <c r="G1341" s="36" t="str">
        <f aca="false">IF(OR($A1341="",$D1341&lt;&gt;"تسليم",NOT(ISNUMBER($E1341))),"",COUNTIFS($A$5:$A$1504,$A1341,$D$5:$D$1504,"تسليم",$E$5:$E$1504,"&lt;"&amp;$E1341)+1)</f>
        <v/>
      </c>
      <c r="H1341" s="33" t="str">
        <f aca="false">IF($G1341="","",_xlfn.MINIFS($E$5:$E$1504,$A$5:$A$1504,$A1341,$D$5:$D$1504,"&lt;&gt;تسليم",$E$5:$E$1504,"&gt;="&amp;$E1341))</f>
        <v/>
      </c>
      <c r="I1341" s="33" t="str">
        <f aca="false">IF($G1341="","",_xlfn.MINIFS($E$5:$E$1504,$A$5:$A$1504,$A1341,$D$5:$D$1504,"تسليم",$E$5:$E$1504,"&gt;"&amp;$E1341))</f>
        <v/>
      </c>
      <c r="J1341" s="33" t="str">
        <f aca="false">IF($G1341="","",IF(H1341&gt;0,IF(I1341&gt;0,MIN(H1341,I1341),H1341),IF(I1341&gt;0,I1341,تاريخ_الاحتساب)))</f>
        <v/>
      </c>
      <c r="K1341" s="34" t="str">
        <f aca="false">IF($G1341="","",IF(AND(H1341=0,I1341=0),"جارية","مغلقة"))</f>
        <v/>
      </c>
      <c r="L1341" s="26" t="str">
        <f aca="false">IF($G1341="","",MAX(0,NETWORKDAYS.INTL($E1341,J1341,رمز_العطلة,أيام_الأجازات)-1))</f>
        <v/>
      </c>
      <c r="M1341" s="26" t="str">
        <f aca="false">IF($G1341="","",MAX(0,L1341-مهلة_المراجعة))</f>
        <v/>
      </c>
      <c r="N1341" s="30" t="str">
        <f aca="false">IF($A1341="",IF(OR($D1341&lt;&gt;"",$E1341&lt;&gt;""),"رقم المخرج ناقص",""),IF(ISNA(MATCH($A1341,قائمة_المخرجات,0)),"رقم مخرج غير موجود",IF($D1341="","نوع الحركة ناقص",IF(NOT(ISNUMBER($E1341)),"التاريخ ناقص",IF($E1341&gt;تاريخ_الاحتساب,"تاريخ بعد تاريخ الاحتساب",IF(AND($D1341&lt;&gt;"تسليم",COUNTIFS($A$5:$A$1504,$A1341,$D$5:$D$1504,"تسليم",$E$5:$E$1504,"&lt;="&amp;$E1341)=0),"لا يوجد تسليم قبل الحركة دي",""))))))</f>
        <v/>
      </c>
    </row>
    <row r="1342" customFormat="false" ht="15" hidden="false" customHeight="false" outlineLevel="0" collapsed="false">
      <c r="A1342" s="20"/>
      <c r="B1342" s="35" t="str">
        <f aca="false">IF($A1342="","",IFERROR(INDEX(مخرج_البند,MATCH($A1342,قائمة_المخرجات,0)),""))</f>
        <v/>
      </c>
      <c r="C1342" s="30" t="str">
        <f aca="false">IF($A1342="","",IFERROR(INDEX(مخرج_الوصف,MATCH($A1342,قائمة_المخرجات,0)),""))</f>
        <v/>
      </c>
      <c r="D1342" s="20"/>
      <c r="E1342" s="31"/>
      <c r="F1342" s="22"/>
      <c r="G1342" s="36" t="str">
        <f aca="false">IF(OR($A1342="",$D1342&lt;&gt;"تسليم",NOT(ISNUMBER($E1342))),"",COUNTIFS($A$5:$A$1504,$A1342,$D$5:$D$1504,"تسليم",$E$5:$E$1504,"&lt;"&amp;$E1342)+1)</f>
        <v/>
      </c>
      <c r="H1342" s="33" t="str">
        <f aca="false">IF($G1342="","",_xlfn.MINIFS($E$5:$E$1504,$A$5:$A$1504,$A1342,$D$5:$D$1504,"&lt;&gt;تسليم",$E$5:$E$1504,"&gt;="&amp;$E1342))</f>
        <v/>
      </c>
      <c r="I1342" s="33" t="str">
        <f aca="false">IF($G1342="","",_xlfn.MINIFS($E$5:$E$1504,$A$5:$A$1504,$A1342,$D$5:$D$1504,"تسليم",$E$5:$E$1504,"&gt;"&amp;$E1342))</f>
        <v/>
      </c>
      <c r="J1342" s="33" t="str">
        <f aca="false">IF($G1342="","",IF(H1342&gt;0,IF(I1342&gt;0,MIN(H1342,I1342),H1342),IF(I1342&gt;0,I1342,تاريخ_الاحتساب)))</f>
        <v/>
      </c>
      <c r="K1342" s="34" t="str">
        <f aca="false">IF($G1342="","",IF(AND(H1342=0,I1342=0),"جارية","مغلقة"))</f>
        <v/>
      </c>
      <c r="L1342" s="26" t="str">
        <f aca="false">IF($G1342="","",MAX(0,NETWORKDAYS.INTL($E1342,J1342,رمز_العطلة,أيام_الأجازات)-1))</f>
        <v/>
      </c>
      <c r="M1342" s="26" t="str">
        <f aca="false">IF($G1342="","",MAX(0,L1342-مهلة_المراجعة))</f>
        <v/>
      </c>
      <c r="N1342" s="30" t="str">
        <f aca="false">IF($A1342="",IF(OR($D1342&lt;&gt;"",$E1342&lt;&gt;""),"رقم المخرج ناقص",""),IF(ISNA(MATCH($A1342,قائمة_المخرجات,0)),"رقم مخرج غير موجود",IF($D1342="","نوع الحركة ناقص",IF(NOT(ISNUMBER($E1342)),"التاريخ ناقص",IF($E1342&gt;تاريخ_الاحتساب,"تاريخ بعد تاريخ الاحتساب",IF(AND($D1342&lt;&gt;"تسليم",COUNTIFS($A$5:$A$1504,$A1342,$D$5:$D$1504,"تسليم",$E$5:$E$1504,"&lt;="&amp;$E1342)=0),"لا يوجد تسليم قبل الحركة دي",""))))))</f>
        <v/>
      </c>
    </row>
    <row r="1343" customFormat="false" ht="15" hidden="false" customHeight="false" outlineLevel="0" collapsed="false">
      <c r="A1343" s="20"/>
      <c r="B1343" s="35" t="str">
        <f aca="false">IF($A1343="","",IFERROR(INDEX(مخرج_البند,MATCH($A1343,قائمة_المخرجات,0)),""))</f>
        <v/>
      </c>
      <c r="C1343" s="30" t="str">
        <f aca="false">IF($A1343="","",IFERROR(INDEX(مخرج_الوصف,MATCH($A1343,قائمة_المخرجات,0)),""))</f>
        <v/>
      </c>
      <c r="D1343" s="20"/>
      <c r="E1343" s="31"/>
      <c r="F1343" s="22"/>
      <c r="G1343" s="36" t="str">
        <f aca="false">IF(OR($A1343="",$D1343&lt;&gt;"تسليم",NOT(ISNUMBER($E1343))),"",COUNTIFS($A$5:$A$1504,$A1343,$D$5:$D$1504,"تسليم",$E$5:$E$1504,"&lt;"&amp;$E1343)+1)</f>
        <v/>
      </c>
      <c r="H1343" s="33" t="str">
        <f aca="false">IF($G1343="","",_xlfn.MINIFS($E$5:$E$1504,$A$5:$A$1504,$A1343,$D$5:$D$1504,"&lt;&gt;تسليم",$E$5:$E$1504,"&gt;="&amp;$E1343))</f>
        <v/>
      </c>
      <c r="I1343" s="33" t="str">
        <f aca="false">IF($G1343="","",_xlfn.MINIFS($E$5:$E$1504,$A$5:$A$1504,$A1343,$D$5:$D$1504,"تسليم",$E$5:$E$1504,"&gt;"&amp;$E1343))</f>
        <v/>
      </c>
      <c r="J1343" s="33" t="str">
        <f aca="false">IF($G1343="","",IF(H1343&gt;0,IF(I1343&gt;0,MIN(H1343,I1343),H1343),IF(I1343&gt;0,I1343,تاريخ_الاحتساب)))</f>
        <v/>
      </c>
      <c r="K1343" s="34" t="str">
        <f aca="false">IF($G1343="","",IF(AND(H1343=0,I1343=0),"جارية","مغلقة"))</f>
        <v/>
      </c>
      <c r="L1343" s="26" t="str">
        <f aca="false">IF($G1343="","",MAX(0,NETWORKDAYS.INTL($E1343,J1343,رمز_العطلة,أيام_الأجازات)-1))</f>
        <v/>
      </c>
      <c r="M1343" s="26" t="str">
        <f aca="false">IF($G1343="","",MAX(0,L1343-مهلة_المراجعة))</f>
        <v/>
      </c>
      <c r="N1343" s="30" t="str">
        <f aca="false">IF($A1343="",IF(OR($D1343&lt;&gt;"",$E1343&lt;&gt;""),"رقم المخرج ناقص",""),IF(ISNA(MATCH($A1343,قائمة_المخرجات,0)),"رقم مخرج غير موجود",IF($D1343="","نوع الحركة ناقص",IF(NOT(ISNUMBER($E1343)),"التاريخ ناقص",IF($E1343&gt;تاريخ_الاحتساب,"تاريخ بعد تاريخ الاحتساب",IF(AND($D1343&lt;&gt;"تسليم",COUNTIFS($A$5:$A$1504,$A1343,$D$5:$D$1504,"تسليم",$E$5:$E$1504,"&lt;="&amp;$E1343)=0),"لا يوجد تسليم قبل الحركة دي",""))))))</f>
        <v/>
      </c>
    </row>
    <row r="1344" customFormat="false" ht="15" hidden="false" customHeight="false" outlineLevel="0" collapsed="false">
      <c r="A1344" s="20"/>
      <c r="B1344" s="35" t="str">
        <f aca="false">IF($A1344="","",IFERROR(INDEX(مخرج_البند,MATCH($A1344,قائمة_المخرجات,0)),""))</f>
        <v/>
      </c>
      <c r="C1344" s="30" t="str">
        <f aca="false">IF($A1344="","",IFERROR(INDEX(مخرج_الوصف,MATCH($A1344,قائمة_المخرجات,0)),""))</f>
        <v/>
      </c>
      <c r="D1344" s="20"/>
      <c r="E1344" s="31"/>
      <c r="F1344" s="22"/>
      <c r="G1344" s="36" t="str">
        <f aca="false">IF(OR($A1344="",$D1344&lt;&gt;"تسليم",NOT(ISNUMBER($E1344))),"",COUNTIFS($A$5:$A$1504,$A1344,$D$5:$D$1504,"تسليم",$E$5:$E$1504,"&lt;"&amp;$E1344)+1)</f>
        <v/>
      </c>
      <c r="H1344" s="33" t="str">
        <f aca="false">IF($G1344="","",_xlfn.MINIFS($E$5:$E$1504,$A$5:$A$1504,$A1344,$D$5:$D$1504,"&lt;&gt;تسليم",$E$5:$E$1504,"&gt;="&amp;$E1344))</f>
        <v/>
      </c>
      <c r="I1344" s="33" t="str">
        <f aca="false">IF($G1344="","",_xlfn.MINIFS($E$5:$E$1504,$A$5:$A$1504,$A1344,$D$5:$D$1504,"تسليم",$E$5:$E$1504,"&gt;"&amp;$E1344))</f>
        <v/>
      </c>
      <c r="J1344" s="33" t="str">
        <f aca="false">IF($G1344="","",IF(H1344&gt;0,IF(I1344&gt;0,MIN(H1344,I1344),H1344),IF(I1344&gt;0,I1344,تاريخ_الاحتساب)))</f>
        <v/>
      </c>
      <c r="K1344" s="34" t="str">
        <f aca="false">IF($G1344="","",IF(AND(H1344=0,I1344=0),"جارية","مغلقة"))</f>
        <v/>
      </c>
      <c r="L1344" s="26" t="str">
        <f aca="false">IF($G1344="","",MAX(0,NETWORKDAYS.INTL($E1344,J1344,رمز_العطلة,أيام_الأجازات)-1))</f>
        <v/>
      </c>
      <c r="M1344" s="26" t="str">
        <f aca="false">IF($G1344="","",MAX(0,L1344-مهلة_المراجعة))</f>
        <v/>
      </c>
      <c r="N1344" s="30" t="str">
        <f aca="false">IF($A1344="",IF(OR($D1344&lt;&gt;"",$E1344&lt;&gt;""),"رقم المخرج ناقص",""),IF(ISNA(MATCH($A1344,قائمة_المخرجات,0)),"رقم مخرج غير موجود",IF($D1344="","نوع الحركة ناقص",IF(NOT(ISNUMBER($E1344)),"التاريخ ناقص",IF($E1344&gt;تاريخ_الاحتساب,"تاريخ بعد تاريخ الاحتساب",IF(AND($D1344&lt;&gt;"تسليم",COUNTIFS($A$5:$A$1504,$A1344,$D$5:$D$1504,"تسليم",$E$5:$E$1504,"&lt;="&amp;$E1344)=0),"لا يوجد تسليم قبل الحركة دي",""))))))</f>
        <v/>
      </c>
    </row>
    <row r="1345" customFormat="false" ht="15" hidden="false" customHeight="false" outlineLevel="0" collapsed="false">
      <c r="A1345" s="20"/>
      <c r="B1345" s="35" t="str">
        <f aca="false">IF($A1345="","",IFERROR(INDEX(مخرج_البند,MATCH($A1345,قائمة_المخرجات,0)),""))</f>
        <v/>
      </c>
      <c r="C1345" s="30" t="str">
        <f aca="false">IF($A1345="","",IFERROR(INDEX(مخرج_الوصف,MATCH($A1345,قائمة_المخرجات,0)),""))</f>
        <v/>
      </c>
      <c r="D1345" s="20"/>
      <c r="E1345" s="31"/>
      <c r="F1345" s="22"/>
      <c r="G1345" s="36" t="str">
        <f aca="false">IF(OR($A1345="",$D1345&lt;&gt;"تسليم",NOT(ISNUMBER($E1345))),"",COUNTIFS($A$5:$A$1504,$A1345,$D$5:$D$1504,"تسليم",$E$5:$E$1504,"&lt;"&amp;$E1345)+1)</f>
        <v/>
      </c>
      <c r="H1345" s="33" t="str">
        <f aca="false">IF($G1345="","",_xlfn.MINIFS($E$5:$E$1504,$A$5:$A$1504,$A1345,$D$5:$D$1504,"&lt;&gt;تسليم",$E$5:$E$1504,"&gt;="&amp;$E1345))</f>
        <v/>
      </c>
      <c r="I1345" s="33" t="str">
        <f aca="false">IF($G1345="","",_xlfn.MINIFS($E$5:$E$1504,$A$5:$A$1504,$A1345,$D$5:$D$1504,"تسليم",$E$5:$E$1504,"&gt;"&amp;$E1345))</f>
        <v/>
      </c>
      <c r="J1345" s="33" t="str">
        <f aca="false">IF($G1345="","",IF(H1345&gt;0,IF(I1345&gt;0,MIN(H1345,I1345),H1345),IF(I1345&gt;0,I1345,تاريخ_الاحتساب)))</f>
        <v/>
      </c>
      <c r="K1345" s="34" t="str">
        <f aca="false">IF($G1345="","",IF(AND(H1345=0,I1345=0),"جارية","مغلقة"))</f>
        <v/>
      </c>
      <c r="L1345" s="26" t="str">
        <f aca="false">IF($G1345="","",MAX(0,NETWORKDAYS.INTL($E1345,J1345,رمز_العطلة,أيام_الأجازات)-1))</f>
        <v/>
      </c>
      <c r="M1345" s="26" t="str">
        <f aca="false">IF($G1345="","",MAX(0,L1345-مهلة_المراجعة))</f>
        <v/>
      </c>
      <c r="N1345" s="30" t="str">
        <f aca="false">IF($A1345="",IF(OR($D1345&lt;&gt;"",$E1345&lt;&gt;""),"رقم المخرج ناقص",""),IF(ISNA(MATCH($A1345,قائمة_المخرجات,0)),"رقم مخرج غير موجود",IF($D1345="","نوع الحركة ناقص",IF(NOT(ISNUMBER($E1345)),"التاريخ ناقص",IF($E1345&gt;تاريخ_الاحتساب,"تاريخ بعد تاريخ الاحتساب",IF(AND($D1345&lt;&gt;"تسليم",COUNTIFS($A$5:$A$1504,$A1345,$D$5:$D$1504,"تسليم",$E$5:$E$1504,"&lt;="&amp;$E1345)=0),"لا يوجد تسليم قبل الحركة دي",""))))))</f>
        <v/>
      </c>
    </row>
    <row r="1346" customFormat="false" ht="15" hidden="false" customHeight="false" outlineLevel="0" collapsed="false">
      <c r="A1346" s="20"/>
      <c r="B1346" s="35" t="str">
        <f aca="false">IF($A1346="","",IFERROR(INDEX(مخرج_البند,MATCH($A1346,قائمة_المخرجات,0)),""))</f>
        <v/>
      </c>
      <c r="C1346" s="30" t="str">
        <f aca="false">IF($A1346="","",IFERROR(INDEX(مخرج_الوصف,MATCH($A1346,قائمة_المخرجات,0)),""))</f>
        <v/>
      </c>
      <c r="D1346" s="20"/>
      <c r="E1346" s="31"/>
      <c r="F1346" s="22"/>
      <c r="G1346" s="36" t="str">
        <f aca="false">IF(OR($A1346="",$D1346&lt;&gt;"تسليم",NOT(ISNUMBER($E1346))),"",COUNTIFS($A$5:$A$1504,$A1346,$D$5:$D$1504,"تسليم",$E$5:$E$1504,"&lt;"&amp;$E1346)+1)</f>
        <v/>
      </c>
      <c r="H1346" s="33" t="str">
        <f aca="false">IF($G1346="","",_xlfn.MINIFS($E$5:$E$1504,$A$5:$A$1504,$A1346,$D$5:$D$1504,"&lt;&gt;تسليم",$E$5:$E$1504,"&gt;="&amp;$E1346))</f>
        <v/>
      </c>
      <c r="I1346" s="33" t="str">
        <f aca="false">IF($G1346="","",_xlfn.MINIFS($E$5:$E$1504,$A$5:$A$1504,$A1346,$D$5:$D$1504,"تسليم",$E$5:$E$1504,"&gt;"&amp;$E1346))</f>
        <v/>
      </c>
      <c r="J1346" s="33" t="str">
        <f aca="false">IF($G1346="","",IF(H1346&gt;0,IF(I1346&gt;0,MIN(H1346,I1346),H1346),IF(I1346&gt;0,I1346,تاريخ_الاحتساب)))</f>
        <v/>
      </c>
      <c r="K1346" s="34" t="str">
        <f aca="false">IF($G1346="","",IF(AND(H1346=0,I1346=0),"جارية","مغلقة"))</f>
        <v/>
      </c>
      <c r="L1346" s="26" t="str">
        <f aca="false">IF($G1346="","",MAX(0,NETWORKDAYS.INTL($E1346,J1346,رمز_العطلة,أيام_الأجازات)-1))</f>
        <v/>
      </c>
      <c r="M1346" s="26" t="str">
        <f aca="false">IF($G1346="","",MAX(0,L1346-مهلة_المراجعة))</f>
        <v/>
      </c>
      <c r="N1346" s="30" t="str">
        <f aca="false">IF($A1346="",IF(OR($D1346&lt;&gt;"",$E1346&lt;&gt;""),"رقم المخرج ناقص",""),IF(ISNA(MATCH($A1346,قائمة_المخرجات,0)),"رقم مخرج غير موجود",IF($D1346="","نوع الحركة ناقص",IF(NOT(ISNUMBER($E1346)),"التاريخ ناقص",IF($E1346&gt;تاريخ_الاحتساب,"تاريخ بعد تاريخ الاحتساب",IF(AND($D1346&lt;&gt;"تسليم",COUNTIFS($A$5:$A$1504,$A1346,$D$5:$D$1504,"تسليم",$E$5:$E$1504,"&lt;="&amp;$E1346)=0),"لا يوجد تسليم قبل الحركة دي",""))))))</f>
        <v/>
      </c>
    </row>
    <row r="1347" customFormat="false" ht="15" hidden="false" customHeight="false" outlineLevel="0" collapsed="false">
      <c r="A1347" s="20"/>
      <c r="B1347" s="35" t="str">
        <f aca="false">IF($A1347="","",IFERROR(INDEX(مخرج_البند,MATCH($A1347,قائمة_المخرجات,0)),""))</f>
        <v/>
      </c>
      <c r="C1347" s="30" t="str">
        <f aca="false">IF($A1347="","",IFERROR(INDEX(مخرج_الوصف,MATCH($A1347,قائمة_المخرجات,0)),""))</f>
        <v/>
      </c>
      <c r="D1347" s="20"/>
      <c r="E1347" s="31"/>
      <c r="F1347" s="22"/>
      <c r="G1347" s="36" t="str">
        <f aca="false">IF(OR($A1347="",$D1347&lt;&gt;"تسليم",NOT(ISNUMBER($E1347))),"",COUNTIFS($A$5:$A$1504,$A1347,$D$5:$D$1504,"تسليم",$E$5:$E$1504,"&lt;"&amp;$E1347)+1)</f>
        <v/>
      </c>
      <c r="H1347" s="33" t="str">
        <f aca="false">IF($G1347="","",_xlfn.MINIFS($E$5:$E$1504,$A$5:$A$1504,$A1347,$D$5:$D$1504,"&lt;&gt;تسليم",$E$5:$E$1504,"&gt;="&amp;$E1347))</f>
        <v/>
      </c>
      <c r="I1347" s="33" t="str">
        <f aca="false">IF($G1347="","",_xlfn.MINIFS($E$5:$E$1504,$A$5:$A$1504,$A1347,$D$5:$D$1504,"تسليم",$E$5:$E$1504,"&gt;"&amp;$E1347))</f>
        <v/>
      </c>
      <c r="J1347" s="33" t="str">
        <f aca="false">IF($G1347="","",IF(H1347&gt;0,IF(I1347&gt;0,MIN(H1347,I1347),H1347),IF(I1347&gt;0,I1347,تاريخ_الاحتساب)))</f>
        <v/>
      </c>
      <c r="K1347" s="34" t="str">
        <f aca="false">IF($G1347="","",IF(AND(H1347=0,I1347=0),"جارية","مغلقة"))</f>
        <v/>
      </c>
      <c r="L1347" s="26" t="str">
        <f aca="false">IF($G1347="","",MAX(0,NETWORKDAYS.INTL($E1347,J1347,رمز_العطلة,أيام_الأجازات)-1))</f>
        <v/>
      </c>
      <c r="M1347" s="26" t="str">
        <f aca="false">IF($G1347="","",MAX(0,L1347-مهلة_المراجعة))</f>
        <v/>
      </c>
      <c r="N1347" s="30" t="str">
        <f aca="false">IF($A1347="",IF(OR($D1347&lt;&gt;"",$E1347&lt;&gt;""),"رقم المخرج ناقص",""),IF(ISNA(MATCH($A1347,قائمة_المخرجات,0)),"رقم مخرج غير موجود",IF($D1347="","نوع الحركة ناقص",IF(NOT(ISNUMBER($E1347)),"التاريخ ناقص",IF($E1347&gt;تاريخ_الاحتساب,"تاريخ بعد تاريخ الاحتساب",IF(AND($D1347&lt;&gt;"تسليم",COUNTIFS($A$5:$A$1504,$A1347,$D$5:$D$1504,"تسليم",$E$5:$E$1504,"&lt;="&amp;$E1347)=0),"لا يوجد تسليم قبل الحركة دي",""))))))</f>
        <v/>
      </c>
    </row>
    <row r="1348" customFormat="false" ht="15" hidden="false" customHeight="false" outlineLevel="0" collapsed="false">
      <c r="A1348" s="20"/>
      <c r="B1348" s="35" t="str">
        <f aca="false">IF($A1348="","",IFERROR(INDEX(مخرج_البند,MATCH($A1348,قائمة_المخرجات,0)),""))</f>
        <v/>
      </c>
      <c r="C1348" s="30" t="str">
        <f aca="false">IF($A1348="","",IFERROR(INDEX(مخرج_الوصف,MATCH($A1348,قائمة_المخرجات,0)),""))</f>
        <v/>
      </c>
      <c r="D1348" s="20"/>
      <c r="E1348" s="31"/>
      <c r="F1348" s="22"/>
      <c r="G1348" s="36" t="str">
        <f aca="false">IF(OR($A1348="",$D1348&lt;&gt;"تسليم",NOT(ISNUMBER($E1348))),"",COUNTIFS($A$5:$A$1504,$A1348,$D$5:$D$1504,"تسليم",$E$5:$E$1504,"&lt;"&amp;$E1348)+1)</f>
        <v/>
      </c>
      <c r="H1348" s="33" t="str">
        <f aca="false">IF($G1348="","",_xlfn.MINIFS($E$5:$E$1504,$A$5:$A$1504,$A1348,$D$5:$D$1504,"&lt;&gt;تسليم",$E$5:$E$1504,"&gt;="&amp;$E1348))</f>
        <v/>
      </c>
      <c r="I1348" s="33" t="str">
        <f aca="false">IF($G1348="","",_xlfn.MINIFS($E$5:$E$1504,$A$5:$A$1504,$A1348,$D$5:$D$1504,"تسليم",$E$5:$E$1504,"&gt;"&amp;$E1348))</f>
        <v/>
      </c>
      <c r="J1348" s="33" t="str">
        <f aca="false">IF($G1348="","",IF(H1348&gt;0,IF(I1348&gt;0,MIN(H1348,I1348),H1348),IF(I1348&gt;0,I1348,تاريخ_الاحتساب)))</f>
        <v/>
      </c>
      <c r="K1348" s="34" t="str">
        <f aca="false">IF($G1348="","",IF(AND(H1348=0,I1348=0),"جارية","مغلقة"))</f>
        <v/>
      </c>
      <c r="L1348" s="26" t="str">
        <f aca="false">IF($G1348="","",MAX(0,NETWORKDAYS.INTL($E1348,J1348,رمز_العطلة,أيام_الأجازات)-1))</f>
        <v/>
      </c>
      <c r="M1348" s="26" t="str">
        <f aca="false">IF($G1348="","",MAX(0,L1348-مهلة_المراجعة))</f>
        <v/>
      </c>
      <c r="N1348" s="30" t="str">
        <f aca="false">IF($A1348="",IF(OR($D1348&lt;&gt;"",$E1348&lt;&gt;""),"رقم المخرج ناقص",""),IF(ISNA(MATCH($A1348,قائمة_المخرجات,0)),"رقم مخرج غير موجود",IF($D1348="","نوع الحركة ناقص",IF(NOT(ISNUMBER($E1348)),"التاريخ ناقص",IF($E1348&gt;تاريخ_الاحتساب,"تاريخ بعد تاريخ الاحتساب",IF(AND($D1348&lt;&gt;"تسليم",COUNTIFS($A$5:$A$1504,$A1348,$D$5:$D$1504,"تسليم",$E$5:$E$1504,"&lt;="&amp;$E1348)=0),"لا يوجد تسليم قبل الحركة دي",""))))))</f>
        <v/>
      </c>
    </row>
    <row r="1349" customFormat="false" ht="15" hidden="false" customHeight="false" outlineLevel="0" collapsed="false">
      <c r="A1349" s="20"/>
      <c r="B1349" s="35" t="str">
        <f aca="false">IF($A1349="","",IFERROR(INDEX(مخرج_البند,MATCH($A1349,قائمة_المخرجات,0)),""))</f>
        <v/>
      </c>
      <c r="C1349" s="30" t="str">
        <f aca="false">IF($A1349="","",IFERROR(INDEX(مخرج_الوصف,MATCH($A1349,قائمة_المخرجات,0)),""))</f>
        <v/>
      </c>
      <c r="D1349" s="20"/>
      <c r="E1349" s="31"/>
      <c r="F1349" s="22"/>
      <c r="G1349" s="36" t="str">
        <f aca="false">IF(OR($A1349="",$D1349&lt;&gt;"تسليم",NOT(ISNUMBER($E1349))),"",COUNTIFS($A$5:$A$1504,$A1349,$D$5:$D$1504,"تسليم",$E$5:$E$1504,"&lt;"&amp;$E1349)+1)</f>
        <v/>
      </c>
      <c r="H1349" s="33" t="str">
        <f aca="false">IF($G1349="","",_xlfn.MINIFS($E$5:$E$1504,$A$5:$A$1504,$A1349,$D$5:$D$1504,"&lt;&gt;تسليم",$E$5:$E$1504,"&gt;="&amp;$E1349))</f>
        <v/>
      </c>
      <c r="I1349" s="33" t="str">
        <f aca="false">IF($G1349="","",_xlfn.MINIFS($E$5:$E$1504,$A$5:$A$1504,$A1349,$D$5:$D$1504,"تسليم",$E$5:$E$1504,"&gt;"&amp;$E1349))</f>
        <v/>
      </c>
      <c r="J1349" s="33" t="str">
        <f aca="false">IF($G1349="","",IF(H1349&gt;0,IF(I1349&gt;0,MIN(H1349,I1349),H1349),IF(I1349&gt;0,I1349,تاريخ_الاحتساب)))</f>
        <v/>
      </c>
      <c r="K1349" s="34" t="str">
        <f aca="false">IF($G1349="","",IF(AND(H1349=0,I1349=0),"جارية","مغلقة"))</f>
        <v/>
      </c>
      <c r="L1349" s="26" t="str">
        <f aca="false">IF($G1349="","",MAX(0,NETWORKDAYS.INTL($E1349,J1349,رمز_العطلة,أيام_الأجازات)-1))</f>
        <v/>
      </c>
      <c r="M1349" s="26" t="str">
        <f aca="false">IF($G1349="","",MAX(0,L1349-مهلة_المراجعة))</f>
        <v/>
      </c>
      <c r="N1349" s="30" t="str">
        <f aca="false">IF($A1349="",IF(OR($D1349&lt;&gt;"",$E1349&lt;&gt;""),"رقم المخرج ناقص",""),IF(ISNA(MATCH($A1349,قائمة_المخرجات,0)),"رقم مخرج غير موجود",IF($D1349="","نوع الحركة ناقص",IF(NOT(ISNUMBER($E1349)),"التاريخ ناقص",IF($E1349&gt;تاريخ_الاحتساب,"تاريخ بعد تاريخ الاحتساب",IF(AND($D1349&lt;&gt;"تسليم",COUNTIFS($A$5:$A$1504,$A1349,$D$5:$D$1504,"تسليم",$E$5:$E$1504,"&lt;="&amp;$E1349)=0),"لا يوجد تسليم قبل الحركة دي",""))))))</f>
        <v/>
      </c>
    </row>
    <row r="1350" customFormat="false" ht="15" hidden="false" customHeight="false" outlineLevel="0" collapsed="false">
      <c r="A1350" s="20"/>
      <c r="B1350" s="35" t="str">
        <f aca="false">IF($A1350="","",IFERROR(INDEX(مخرج_البند,MATCH($A1350,قائمة_المخرجات,0)),""))</f>
        <v/>
      </c>
      <c r="C1350" s="30" t="str">
        <f aca="false">IF($A1350="","",IFERROR(INDEX(مخرج_الوصف,MATCH($A1350,قائمة_المخرجات,0)),""))</f>
        <v/>
      </c>
      <c r="D1350" s="20"/>
      <c r="E1350" s="31"/>
      <c r="F1350" s="22"/>
      <c r="G1350" s="36" t="str">
        <f aca="false">IF(OR($A1350="",$D1350&lt;&gt;"تسليم",NOT(ISNUMBER($E1350))),"",COUNTIFS($A$5:$A$1504,$A1350,$D$5:$D$1504,"تسليم",$E$5:$E$1504,"&lt;"&amp;$E1350)+1)</f>
        <v/>
      </c>
      <c r="H1350" s="33" t="str">
        <f aca="false">IF($G1350="","",_xlfn.MINIFS($E$5:$E$1504,$A$5:$A$1504,$A1350,$D$5:$D$1504,"&lt;&gt;تسليم",$E$5:$E$1504,"&gt;="&amp;$E1350))</f>
        <v/>
      </c>
      <c r="I1350" s="33" t="str">
        <f aca="false">IF($G1350="","",_xlfn.MINIFS($E$5:$E$1504,$A$5:$A$1504,$A1350,$D$5:$D$1504,"تسليم",$E$5:$E$1504,"&gt;"&amp;$E1350))</f>
        <v/>
      </c>
      <c r="J1350" s="33" t="str">
        <f aca="false">IF($G1350="","",IF(H1350&gt;0,IF(I1350&gt;0,MIN(H1350,I1350),H1350),IF(I1350&gt;0,I1350,تاريخ_الاحتساب)))</f>
        <v/>
      </c>
      <c r="K1350" s="34" t="str">
        <f aca="false">IF($G1350="","",IF(AND(H1350=0,I1350=0),"جارية","مغلقة"))</f>
        <v/>
      </c>
      <c r="L1350" s="26" t="str">
        <f aca="false">IF($G1350="","",MAX(0,NETWORKDAYS.INTL($E1350,J1350,رمز_العطلة,أيام_الأجازات)-1))</f>
        <v/>
      </c>
      <c r="M1350" s="26" t="str">
        <f aca="false">IF($G1350="","",MAX(0,L1350-مهلة_المراجعة))</f>
        <v/>
      </c>
      <c r="N1350" s="30" t="str">
        <f aca="false">IF($A1350="",IF(OR($D1350&lt;&gt;"",$E1350&lt;&gt;""),"رقم المخرج ناقص",""),IF(ISNA(MATCH($A1350,قائمة_المخرجات,0)),"رقم مخرج غير موجود",IF($D1350="","نوع الحركة ناقص",IF(NOT(ISNUMBER($E1350)),"التاريخ ناقص",IF($E1350&gt;تاريخ_الاحتساب,"تاريخ بعد تاريخ الاحتساب",IF(AND($D1350&lt;&gt;"تسليم",COUNTIFS($A$5:$A$1504,$A1350,$D$5:$D$1504,"تسليم",$E$5:$E$1504,"&lt;="&amp;$E1350)=0),"لا يوجد تسليم قبل الحركة دي",""))))))</f>
        <v/>
      </c>
    </row>
    <row r="1351" customFormat="false" ht="15" hidden="false" customHeight="false" outlineLevel="0" collapsed="false">
      <c r="A1351" s="20"/>
      <c r="B1351" s="35" t="str">
        <f aca="false">IF($A1351="","",IFERROR(INDEX(مخرج_البند,MATCH($A1351,قائمة_المخرجات,0)),""))</f>
        <v/>
      </c>
      <c r="C1351" s="30" t="str">
        <f aca="false">IF($A1351="","",IFERROR(INDEX(مخرج_الوصف,MATCH($A1351,قائمة_المخرجات,0)),""))</f>
        <v/>
      </c>
      <c r="D1351" s="20"/>
      <c r="E1351" s="31"/>
      <c r="F1351" s="22"/>
      <c r="G1351" s="36" t="str">
        <f aca="false">IF(OR($A1351="",$D1351&lt;&gt;"تسليم",NOT(ISNUMBER($E1351))),"",COUNTIFS($A$5:$A$1504,$A1351,$D$5:$D$1504,"تسليم",$E$5:$E$1504,"&lt;"&amp;$E1351)+1)</f>
        <v/>
      </c>
      <c r="H1351" s="33" t="str">
        <f aca="false">IF($G1351="","",_xlfn.MINIFS($E$5:$E$1504,$A$5:$A$1504,$A1351,$D$5:$D$1504,"&lt;&gt;تسليم",$E$5:$E$1504,"&gt;="&amp;$E1351))</f>
        <v/>
      </c>
      <c r="I1351" s="33" t="str">
        <f aca="false">IF($G1351="","",_xlfn.MINIFS($E$5:$E$1504,$A$5:$A$1504,$A1351,$D$5:$D$1504,"تسليم",$E$5:$E$1504,"&gt;"&amp;$E1351))</f>
        <v/>
      </c>
      <c r="J1351" s="33" t="str">
        <f aca="false">IF($G1351="","",IF(H1351&gt;0,IF(I1351&gt;0,MIN(H1351,I1351),H1351),IF(I1351&gt;0,I1351,تاريخ_الاحتساب)))</f>
        <v/>
      </c>
      <c r="K1351" s="34" t="str">
        <f aca="false">IF($G1351="","",IF(AND(H1351=0,I1351=0),"جارية","مغلقة"))</f>
        <v/>
      </c>
      <c r="L1351" s="26" t="str">
        <f aca="false">IF($G1351="","",MAX(0,NETWORKDAYS.INTL($E1351,J1351,رمز_العطلة,أيام_الأجازات)-1))</f>
        <v/>
      </c>
      <c r="M1351" s="26" t="str">
        <f aca="false">IF($G1351="","",MAX(0,L1351-مهلة_المراجعة))</f>
        <v/>
      </c>
      <c r="N1351" s="30" t="str">
        <f aca="false">IF($A1351="",IF(OR($D1351&lt;&gt;"",$E1351&lt;&gt;""),"رقم المخرج ناقص",""),IF(ISNA(MATCH($A1351,قائمة_المخرجات,0)),"رقم مخرج غير موجود",IF($D1351="","نوع الحركة ناقص",IF(NOT(ISNUMBER($E1351)),"التاريخ ناقص",IF($E1351&gt;تاريخ_الاحتساب,"تاريخ بعد تاريخ الاحتساب",IF(AND($D1351&lt;&gt;"تسليم",COUNTIFS($A$5:$A$1504,$A1351,$D$5:$D$1504,"تسليم",$E$5:$E$1504,"&lt;="&amp;$E1351)=0),"لا يوجد تسليم قبل الحركة دي",""))))))</f>
        <v/>
      </c>
    </row>
    <row r="1352" customFormat="false" ht="15" hidden="false" customHeight="false" outlineLevel="0" collapsed="false">
      <c r="A1352" s="20"/>
      <c r="B1352" s="35" t="str">
        <f aca="false">IF($A1352="","",IFERROR(INDEX(مخرج_البند,MATCH($A1352,قائمة_المخرجات,0)),""))</f>
        <v/>
      </c>
      <c r="C1352" s="30" t="str">
        <f aca="false">IF($A1352="","",IFERROR(INDEX(مخرج_الوصف,MATCH($A1352,قائمة_المخرجات,0)),""))</f>
        <v/>
      </c>
      <c r="D1352" s="20"/>
      <c r="E1352" s="31"/>
      <c r="F1352" s="22"/>
      <c r="G1352" s="36" t="str">
        <f aca="false">IF(OR($A1352="",$D1352&lt;&gt;"تسليم",NOT(ISNUMBER($E1352))),"",COUNTIFS($A$5:$A$1504,$A1352,$D$5:$D$1504,"تسليم",$E$5:$E$1504,"&lt;"&amp;$E1352)+1)</f>
        <v/>
      </c>
      <c r="H1352" s="33" t="str">
        <f aca="false">IF($G1352="","",_xlfn.MINIFS($E$5:$E$1504,$A$5:$A$1504,$A1352,$D$5:$D$1504,"&lt;&gt;تسليم",$E$5:$E$1504,"&gt;="&amp;$E1352))</f>
        <v/>
      </c>
      <c r="I1352" s="33" t="str">
        <f aca="false">IF($G1352="","",_xlfn.MINIFS($E$5:$E$1504,$A$5:$A$1504,$A1352,$D$5:$D$1504,"تسليم",$E$5:$E$1504,"&gt;"&amp;$E1352))</f>
        <v/>
      </c>
      <c r="J1352" s="33" t="str">
        <f aca="false">IF($G1352="","",IF(H1352&gt;0,IF(I1352&gt;0,MIN(H1352,I1352),H1352),IF(I1352&gt;0,I1352,تاريخ_الاحتساب)))</f>
        <v/>
      </c>
      <c r="K1352" s="34" t="str">
        <f aca="false">IF($G1352="","",IF(AND(H1352=0,I1352=0),"جارية","مغلقة"))</f>
        <v/>
      </c>
      <c r="L1352" s="26" t="str">
        <f aca="false">IF($G1352="","",MAX(0,NETWORKDAYS.INTL($E1352,J1352,رمز_العطلة,أيام_الأجازات)-1))</f>
        <v/>
      </c>
      <c r="M1352" s="26" t="str">
        <f aca="false">IF($G1352="","",MAX(0,L1352-مهلة_المراجعة))</f>
        <v/>
      </c>
      <c r="N1352" s="30" t="str">
        <f aca="false">IF($A1352="",IF(OR($D1352&lt;&gt;"",$E1352&lt;&gt;""),"رقم المخرج ناقص",""),IF(ISNA(MATCH($A1352,قائمة_المخرجات,0)),"رقم مخرج غير موجود",IF($D1352="","نوع الحركة ناقص",IF(NOT(ISNUMBER($E1352)),"التاريخ ناقص",IF($E1352&gt;تاريخ_الاحتساب,"تاريخ بعد تاريخ الاحتساب",IF(AND($D1352&lt;&gt;"تسليم",COUNTIFS($A$5:$A$1504,$A1352,$D$5:$D$1504,"تسليم",$E$5:$E$1504,"&lt;="&amp;$E1352)=0),"لا يوجد تسليم قبل الحركة دي",""))))))</f>
        <v/>
      </c>
    </row>
    <row r="1353" customFormat="false" ht="15" hidden="false" customHeight="false" outlineLevel="0" collapsed="false">
      <c r="A1353" s="20"/>
      <c r="B1353" s="35" t="str">
        <f aca="false">IF($A1353="","",IFERROR(INDEX(مخرج_البند,MATCH($A1353,قائمة_المخرجات,0)),""))</f>
        <v/>
      </c>
      <c r="C1353" s="30" t="str">
        <f aca="false">IF($A1353="","",IFERROR(INDEX(مخرج_الوصف,MATCH($A1353,قائمة_المخرجات,0)),""))</f>
        <v/>
      </c>
      <c r="D1353" s="20"/>
      <c r="E1353" s="31"/>
      <c r="F1353" s="22"/>
      <c r="G1353" s="36" t="str">
        <f aca="false">IF(OR($A1353="",$D1353&lt;&gt;"تسليم",NOT(ISNUMBER($E1353))),"",COUNTIFS($A$5:$A$1504,$A1353,$D$5:$D$1504,"تسليم",$E$5:$E$1504,"&lt;"&amp;$E1353)+1)</f>
        <v/>
      </c>
      <c r="H1353" s="33" t="str">
        <f aca="false">IF($G1353="","",_xlfn.MINIFS($E$5:$E$1504,$A$5:$A$1504,$A1353,$D$5:$D$1504,"&lt;&gt;تسليم",$E$5:$E$1504,"&gt;="&amp;$E1353))</f>
        <v/>
      </c>
      <c r="I1353" s="33" t="str">
        <f aca="false">IF($G1353="","",_xlfn.MINIFS($E$5:$E$1504,$A$5:$A$1504,$A1353,$D$5:$D$1504,"تسليم",$E$5:$E$1504,"&gt;"&amp;$E1353))</f>
        <v/>
      </c>
      <c r="J1353" s="33" t="str">
        <f aca="false">IF($G1353="","",IF(H1353&gt;0,IF(I1353&gt;0,MIN(H1353,I1353),H1353),IF(I1353&gt;0,I1353,تاريخ_الاحتساب)))</f>
        <v/>
      </c>
      <c r="K1353" s="34" t="str">
        <f aca="false">IF($G1353="","",IF(AND(H1353=0,I1353=0),"جارية","مغلقة"))</f>
        <v/>
      </c>
      <c r="L1353" s="26" t="str">
        <f aca="false">IF($G1353="","",MAX(0,NETWORKDAYS.INTL($E1353,J1353,رمز_العطلة,أيام_الأجازات)-1))</f>
        <v/>
      </c>
      <c r="M1353" s="26" t="str">
        <f aca="false">IF($G1353="","",MAX(0,L1353-مهلة_المراجعة))</f>
        <v/>
      </c>
      <c r="N1353" s="30" t="str">
        <f aca="false">IF($A1353="",IF(OR($D1353&lt;&gt;"",$E1353&lt;&gt;""),"رقم المخرج ناقص",""),IF(ISNA(MATCH($A1353,قائمة_المخرجات,0)),"رقم مخرج غير موجود",IF($D1353="","نوع الحركة ناقص",IF(NOT(ISNUMBER($E1353)),"التاريخ ناقص",IF($E1353&gt;تاريخ_الاحتساب,"تاريخ بعد تاريخ الاحتساب",IF(AND($D1353&lt;&gt;"تسليم",COUNTIFS($A$5:$A$1504,$A1353,$D$5:$D$1504,"تسليم",$E$5:$E$1504,"&lt;="&amp;$E1353)=0),"لا يوجد تسليم قبل الحركة دي",""))))))</f>
        <v/>
      </c>
    </row>
    <row r="1354" customFormat="false" ht="15" hidden="false" customHeight="false" outlineLevel="0" collapsed="false">
      <c r="A1354" s="20"/>
      <c r="B1354" s="35" t="str">
        <f aca="false">IF($A1354="","",IFERROR(INDEX(مخرج_البند,MATCH($A1354,قائمة_المخرجات,0)),""))</f>
        <v/>
      </c>
      <c r="C1354" s="30" t="str">
        <f aca="false">IF($A1354="","",IFERROR(INDEX(مخرج_الوصف,MATCH($A1354,قائمة_المخرجات,0)),""))</f>
        <v/>
      </c>
      <c r="D1354" s="20"/>
      <c r="E1354" s="31"/>
      <c r="F1354" s="22"/>
      <c r="G1354" s="36" t="str">
        <f aca="false">IF(OR($A1354="",$D1354&lt;&gt;"تسليم",NOT(ISNUMBER($E1354))),"",COUNTIFS($A$5:$A$1504,$A1354,$D$5:$D$1504,"تسليم",$E$5:$E$1504,"&lt;"&amp;$E1354)+1)</f>
        <v/>
      </c>
      <c r="H1354" s="33" t="str">
        <f aca="false">IF($G1354="","",_xlfn.MINIFS($E$5:$E$1504,$A$5:$A$1504,$A1354,$D$5:$D$1504,"&lt;&gt;تسليم",$E$5:$E$1504,"&gt;="&amp;$E1354))</f>
        <v/>
      </c>
      <c r="I1354" s="33" t="str">
        <f aca="false">IF($G1354="","",_xlfn.MINIFS($E$5:$E$1504,$A$5:$A$1504,$A1354,$D$5:$D$1504,"تسليم",$E$5:$E$1504,"&gt;"&amp;$E1354))</f>
        <v/>
      </c>
      <c r="J1354" s="33" t="str">
        <f aca="false">IF($G1354="","",IF(H1354&gt;0,IF(I1354&gt;0,MIN(H1354,I1354),H1354),IF(I1354&gt;0,I1354,تاريخ_الاحتساب)))</f>
        <v/>
      </c>
      <c r="K1354" s="34" t="str">
        <f aca="false">IF($G1354="","",IF(AND(H1354=0,I1354=0),"جارية","مغلقة"))</f>
        <v/>
      </c>
      <c r="L1354" s="26" t="str">
        <f aca="false">IF($G1354="","",MAX(0,NETWORKDAYS.INTL($E1354,J1354,رمز_العطلة,أيام_الأجازات)-1))</f>
        <v/>
      </c>
      <c r="M1354" s="26" t="str">
        <f aca="false">IF($G1354="","",MAX(0,L1354-مهلة_المراجعة))</f>
        <v/>
      </c>
      <c r="N1354" s="30" t="str">
        <f aca="false">IF($A1354="",IF(OR($D1354&lt;&gt;"",$E1354&lt;&gt;""),"رقم المخرج ناقص",""),IF(ISNA(MATCH($A1354,قائمة_المخرجات,0)),"رقم مخرج غير موجود",IF($D1354="","نوع الحركة ناقص",IF(NOT(ISNUMBER($E1354)),"التاريخ ناقص",IF($E1354&gt;تاريخ_الاحتساب,"تاريخ بعد تاريخ الاحتساب",IF(AND($D1354&lt;&gt;"تسليم",COUNTIFS($A$5:$A$1504,$A1354,$D$5:$D$1504,"تسليم",$E$5:$E$1504,"&lt;="&amp;$E1354)=0),"لا يوجد تسليم قبل الحركة دي",""))))))</f>
        <v/>
      </c>
    </row>
    <row r="1355" customFormat="false" ht="15" hidden="false" customHeight="false" outlineLevel="0" collapsed="false">
      <c r="A1355" s="20"/>
      <c r="B1355" s="35" t="str">
        <f aca="false">IF($A1355="","",IFERROR(INDEX(مخرج_البند,MATCH($A1355,قائمة_المخرجات,0)),""))</f>
        <v/>
      </c>
      <c r="C1355" s="30" t="str">
        <f aca="false">IF($A1355="","",IFERROR(INDEX(مخرج_الوصف,MATCH($A1355,قائمة_المخرجات,0)),""))</f>
        <v/>
      </c>
      <c r="D1355" s="20"/>
      <c r="E1355" s="31"/>
      <c r="F1355" s="22"/>
      <c r="G1355" s="36" t="str">
        <f aca="false">IF(OR($A1355="",$D1355&lt;&gt;"تسليم",NOT(ISNUMBER($E1355))),"",COUNTIFS($A$5:$A$1504,$A1355,$D$5:$D$1504,"تسليم",$E$5:$E$1504,"&lt;"&amp;$E1355)+1)</f>
        <v/>
      </c>
      <c r="H1355" s="33" t="str">
        <f aca="false">IF($G1355="","",_xlfn.MINIFS($E$5:$E$1504,$A$5:$A$1504,$A1355,$D$5:$D$1504,"&lt;&gt;تسليم",$E$5:$E$1504,"&gt;="&amp;$E1355))</f>
        <v/>
      </c>
      <c r="I1355" s="33" t="str">
        <f aca="false">IF($G1355="","",_xlfn.MINIFS($E$5:$E$1504,$A$5:$A$1504,$A1355,$D$5:$D$1504,"تسليم",$E$5:$E$1504,"&gt;"&amp;$E1355))</f>
        <v/>
      </c>
      <c r="J1355" s="33" t="str">
        <f aca="false">IF($G1355="","",IF(H1355&gt;0,IF(I1355&gt;0,MIN(H1355,I1355),H1355),IF(I1355&gt;0,I1355,تاريخ_الاحتساب)))</f>
        <v/>
      </c>
      <c r="K1355" s="34" t="str">
        <f aca="false">IF($G1355="","",IF(AND(H1355=0,I1355=0),"جارية","مغلقة"))</f>
        <v/>
      </c>
      <c r="L1355" s="26" t="str">
        <f aca="false">IF($G1355="","",MAX(0,NETWORKDAYS.INTL($E1355,J1355,رمز_العطلة,أيام_الأجازات)-1))</f>
        <v/>
      </c>
      <c r="M1355" s="26" t="str">
        <f aca="false">IF($G1355="","",MAX(0,L1355-مهلة_المراجعة))</f>
        <v/>
      </c>
      <c r="N1355" s="30" t="str">
        <f aca="false">IF($A1355="",IF(OR($D1355&lt;&gt;"",$E1355&lt;&gt;""),"رقم المخرج ناقص",""),IF(ISNA(MATCH($A1355,قائمة_المخرجات,0)),"رقم مخرج غير موجود",IF($D1355="","نوع الحركة ناقص",IF(NOT(ISNUMBER($E1355)),"التاريخ ناقص",IF($E1355&gt;تاريخ_الاحتساب,"تاريخ بعد تاريخ الاحتساب",IF(AND($D1355&lt;&gt;"تسليم",COUNTIFS($A$5:$A$1504,$A1355,$D$5:$D$1504,"تسليم",$E$5:$E$1504,"&lt;="&amp;$E1355)=0),"لا يوجد تسليم قبل الحركة دي",""))))))</f>
        <v/>
      </c>
    </row>
    <row r="1356" customFormat="false" ht="15" hidden="false" customHeight="false" outlineLevel="0" collapsed="false">
      <c r="A1356" s="20"/>
      <c r="B1356" s="35" t="str">
        <f aca="false">IF($A1356="","",IFERROR(INDEX(مخرج_البند,MATCH($A1356,قائمة_المخرجات,0)),""))</f>
        <v/>
      </c>
      <c r="C1356" s="30" t="str">
        <f aca="false">IF($A1356="","",IFERROR(INDEX(مخرج_الوصف,MATCH($A1356,قائمة_المخرجات,0)),""))</f>
        <v/>
      </c>
      <c r="D1356" s="20"/>
      <c r="E1356" s="31"/>
      <c r="F1356" s="22"/>
      <c r="G1356" s="36" t="str">
        <f aca="false">IF(OR($A1356="",$D1356&lt;&gt;"تسليم",NOT(ISNUMBER($E1356))),"",COUNTIFS($A$5:$A$1504,$A1356,$D$5:$D$1504,"تسليم",$E$5:$E$1504,"&lt;"&amp;$E1356)+1)</f>
        <v/>
      </c>
      <c r="H1356" s="33" t="str">
        <f aca="false">IF($G1356="","",_xlfn.MINIFS($E$5:$E$1504,$A$5:$A$1504,$A1356,$D$5:$D$1504,"&lt;&gt;تسليم",$E$5:$E$1504,"&gt;="&amp;$E1356))</f>
        <v/>
      </c>
      <c r="I1356" s="33" t="str">
        <f aca="false">IF($G1356="","",_xlfn.MINIFS($E$5:$E$1504,$A$5:$A$1504,$A1356,$D$5:$D$1504,"تسليم",$E$5:$E$1504,"&gt;"&amp;$E1356))</f>
        <v/>
      </c>
      <c r="J1356" s="33" t="str">
        <f aca="false">IF($G1356="","",IF(H1356&gt;0,IF(I1356&gt;0,MIN(H1356,I1356),H1356),IF(I1356&gt;0,I1356,تاريخ_الاحتساب)))</f>
        <v/>
      </c>
      <c r="K1356" s="34" t="str">
        <f aca="false">IF($G1356="","",IF(AND(H1356=0,I1356=0),"جارية","مغلقة"))</f>
        <v/>
      </c>
      <c r="L1356" s="26" t="str">
        <f aca="false">IF($G1356="","",MAX(0,NETWORKDAYS.INTL($E1356,J1356,رمز_العطلة,أيام_الأجازات)-1))</f>
        <v/>
      </c>
      <c r="M1356" s="26" t="str">
        <f aca="false">IF($G1356="","",MAX(0,L1356-مهلة_المراجعة))</f>
        <v/>
      </c>
      <c r="N1356" s="30" t="str">
        <f aca="false">IF($A1356="",IF(OR($D1356&lt;&gt;"",$E1356&lt;&gt;""),"رقم المخرج ناقص",""),IF(ISNA(MATCH($A1356,قائمة_المخرجات,0)),"رقم مخرج غير موجود",IF($D1356="","نوع الحركة ناقص",IF(NOT(ISNUMBER($E1356)),"التاريخ ناقص",IF($E1356&gt;تاريخ_الاحتساب,"تاريخ بعد تاريخ الاحتساب",IF(AND($D1356&lt;&gt;"تسليم",COUNTIFS($A$5:$A$1504,$A1356,$D$5:$D$1504,"تسليم",$E$5:$E$1504,"&lt;="&amp;$E1356)=0),"لا يوجد تسليم قبل الحركة دي",""))))))</f>
        <v/>
      </c>
    </row>
    <row r="1357" customFormat="false" ht="15" hidden="false" customHeight="false" outlineLevel="0" collapsed="false">
      <c r="A1357" s="20"/>
      <c r="B1357" s="35" t="str">
        <f aca="false">IF($A1357="","",IFERROR(INDEX(مخرج_البند,MATCH($A1357,قائمة_المخرجات,0)),""))</f>
        <v/>
      </c>
      <c r="C1357" s="30" t="str">
        <f aca="false">IF($A1357="","",IFERROR(INDEX(مخرج_الوصف,MATCH($A1357,قائمة_المخرجات,0)),""))</f>
        <v/>
      </c>
      <c r="D1357" s="20"/>
      <c r="E1357" s="31"/>
      <c r="F1357" s="22"/>
      <c r="G1357" s="36" t="str">
        <f aca="false">IF(OR($A1357="",$D1357&lt;&gt;"تسليم",NOT(ISNUMBER($E1357))),"",COUNTIFS($A$5:$A$1504,$A1357,$D$5:$D$1504,"تسليم",$E$5:$E$1504,"&lt;"&amp;$E1357)+1)</f>
        <v/>
      </c>
      <c r="H1357" s="33" t="str">
        <f aca="false">IF($G1357="","",_xlfn.MINIFS($E$5:$E$1504,$A$5:$A$1504,$A1357,$D$5:$D$1504,"&lt;&gt;تسليم",$E$5:$E$1504,"&gt;="&amp;$E1357))</f>
        <v/>
      </c>
      <c r="I1357" s="33" t="str">
        <f aca="false">IF($G1357="","",_xlfn.MINIFS($E$5:$E$1504,$A$5:$A$1504,$A1357,$D$5:$D$1504,"تسليم",$E$5:$E$1504,"&gt;"&amp;$E1357))</f>
        <v/>
      </c>
      <c r="J1357" s="33" t="str">
        <f aca="false">IF($G1357="","",IF(H1357&gt;0,IF(I1357&gt;0,MIN(H1357,I1357),H1357),IF(I1357&gt;0,I1357,تاريخ_الاحتساب)))</f>
        <v/>
      </c>
      <c r="K1357" s="34" t="str">
        <f aca="false">IF($G1357="","",IF(AND(H1357=0,I1357=0),"جارية","مغلقة"))</f>
        <v/>
      </c>
      <c r="L1357" s="26" t="str">
        <f aca="false">IF($G1357="","",MAX(0,NETWORKDAYS.INTL($E1357,J1357,رمز_العطلة,أيام_الأجازات)-1))</f>
        <v/>
      </c>
      <c r="M1357" s="26" t="str">
        <f aca="false">IF($G1357="","",MAX(0,L1357-مهلة_المراجعة))</f>
        <v/>
      </c>
      <c r="N1357" s="30" t="str">
        <f aca="false">IF($A1357="",IF(OR($D1357&lt;&gt;"",$E1357&lt;&gt;""),"رقم المخرج ناقص",""),IF(ISNA(MATCH($A1357,قائمة_المخرجات,0)),"رقم مخرج غير موجود",IF($D1357="","نوع الحركة ناقص",IF(NOT(ISNUMBER($E1357)),"التاريخ ناقص",IF($E1357&gt;تاريخ_الاحتساب,"تاريخ بعد تاريخ الاحتساب",IF(AND($D1357&lt;&gt;"تسليم",COUNTIFS($A$5:$A$1504,$A1357,$D$5:$D$1504,"تسليم",$E$5:$E$1504,"&lt;="&amp;$E1357)=0),"لا يوجد تسليم قبل الحركة دي",""))))))</f>
        <v/>
      </c>
    </row>
    <row r="1358" customFormat="false" ht="15" hidden="false" customHeight="false" outlineLevel="0" collapsed="false">
      <c r="A1358" s="20"/>
      <c r="B1358" s="35" t="str">
        <f aca="false">IF($A1358="","",IFERROR(INDEX(مخرج_البند,MATCH($A1358,قائمة_المخرجات,0)),""))</f>
        <v/>
      </c>
      <c r="C1358" s="30" t="str">
        <f aca="false">IF($A1358="","",IFERROR(INDEX(مخرج_الوصف,MATCH($A1358,قائمة_المخرجات,0)),""))</f>
        <v/>
      </c>
      <c r="D1358" s="20"/>
      <c r="E1358" s="31"/>
      <c r="F1358" s="22"/>
      <c r="G1358" s="36" t="str">
        <f aca="false">IF(OR($A1358="",$D1358&lt;&gt;"تسليم",NOT(ISNUMBER($E1358))),"",COUNTIFS($A$5:$A$1504,$A1358,$D$5:$D$1504,"تسليم",$E$5:$E$1504,"&lt;"&amp;$E1358)+1)</f>
        <v/>
      </c>
      <c r="H1358" s="33" t="str">
        <f aca="false">IF($G1358="","",_xlfn.MINIFS($E$5:$E$1504,$A$5:$A$1504,$A1358,$D$5:$D$1504,"&lt;&gt;تسليم",$E$5:$E$1504,"&gt;="&amp;$E1358))</f>
        <v/>
      </c>
      <c r="I1358" s="33" t="str">
        <f aca="false">IF($G1358="","",_xlfn.MINIFS($E$5:$E$1504,$A$5:$A$1504,$A1358,$D$5:$D$1504,"تسليم",$E$5:$E$1504,"&gt;"&amp;$E1358))</f>
        <v/>
      </c>
      <c r="J1358" s="33" t="str">
        <f aca="false">IF($G1358="","",IF(H1358&gt;0,IF(I1358&gt;0,MIN(H1358,I1358),H1358),IF(I1358&gt;0,I1358,تاريخ_الاحتساب)))</f>
        <v/>
      </c>
      <c r="K1358" s="34" t="str">
        <f aca="false">IF($G1358="","",IF(AND(H1358=0,I1358=0),"جارية","مغلقة"))</f>
        <v/>
      </c>
      <c r="L1358" s="26" t="str">
        <f aca="false">IF($G1358="","",MAX(0,NETWORKDAYS.INTL($E1358,J1358,رمز_العطلة,أيام_الأجازات)-1))</f>
        <v/>
      </c>
      <c r="M1358" s="26" t="str">
        <f aca="false">IF($G1358="","",MAX(0,L1358-مهلة_المراجعة))</f>
        <v/>
      </c>
      <c r="N1358" s="30" t="str">
        <f aca="false">IF($A1358="",IF(OR($D1358&lt;&gt;"",$E1358&lt;&gt;""),"رقم المخرج ناقص",""),IF(ISNA(MATCH($A1358,قائمة_المخرجات,0)),"رقم مخرج غير موجود",IF($D1358="","نوع الحركة ناقص",IF(NOT(ISNUMBER($E1358)),"التاريخ ناقص",IF($E1358&gt;تاريخ_الاحتساب,"تاريخ بعد تاريخ الاحتساب",IF(AND($D1358&lt;&gt;"تسليم",COUNTIFS($A$5:$A$1504,$A1358,$D$5:$D$1504,"تسليم",$E$5:$E$1504,"&lt;="&amp;$E1358)=0),"لا يوجد تسليم قبل الحركة دي",""))))))</f>
        <v/>
      </c>
    </row>
    <row r="1359" customFormat="false" ht="15" hidden="false" customHeight="false" outlineLevel="0" collapsed="false">
      <c r="A1359" s="20"/>
      <c r="B1359" s="35" t="str">
        <f aca="false">IF($A1359="","",IFERROR(INDEX(مخرج_البند,MATCH($A1359,قائمة_المخرجات,0)),""))</f>
        <v/>
      </c>
      <c r="C1359" s="30" t="str">
        <f aca="false">IF($A1359="","",IFERROR(INDEX(مخرج_الوصف,MATCH($A1359,قائمة_المخرجات,0)),""))</f>
        <v/>
      </c>
      <c r="D1359" s="20"/>
      <c r="E1359" s="31"/>
      <c r="F1359" s="22"/>
      <c r="G1359" s="36" t="str">
        <f aca="false">IF(OR($A1359="",$D1359&lt;&gt;"تسليم",NOT(ISNUMBER($E1359))),"",COUNTIFS($A$5:$A$1504,$A1359,$D$5:$D$1504,"تسليم",$E$5:$E$1504,"&lt;"&amp;$E1359)+1)</f>
        <v/>
      </c>
      <c r="H1359" s="33" t="str">
        <f aca="false">IF($G1359="","",_xlfn.MINIFS($E$5:$E$1504,$A$5:$A$1504,$A1359,$D$5:$D$1504,"&lt;&gt;تسليم",$E$5:$E$1504,"&gt;="&amp;$E1359))</f>
        <v/>
      </c>
      <c r="I1359" s="33" t="str">
        <f aca="false">IF($G1359="","",_xlfn.MINIFS($E$5:$E$1504,$A$5:$A$1504,$A1359,$D$5:$D$1504,"تسليم",$E$5:$E$1504,"&gt;"&amp;$E1359))</f>
        <v/>
      </c>
      <c r="J1359" s="33" t="str">
        <f aca="false">IF($G1359="","",IF(H1359&gt;0,IF(I1359&gt;0,MIN(H1359,I1359),H1359),IF(I1359&gt;0,I1359,تاريخ_الاحتساب)))</f>
        <v/>
      </c>
      <c r="K1359" s="34" t="str">
        <f aca="false">IF($G1359="","",IF(AND(H1359=0,I1359=0),"جارية","مغلقة"))</f>
        <v/>
      </c>
      <c r="L1359" s="26" t="str">
        <f aca="false">IF($G1359="","",MAX(0,NETWORKDAYS.INTL($E1359,J1359,رمز_العطلة,أيام_الأجازات)-1))</f>
        <v/>
      </c>
      <c r="M1359" s="26" t="str">
        <f aca="false">IF($G1359="","",MAX(0,L1359-مهلة_المراجعة))</f>
        <v/>
      </c>
      <c r="N1359" s="30" t="str">
        <f aca="false">IF($A1359="",IF(OR($D1359&lt;&gt;"",$E1359&lt;&gt;""),"رقم المخرج ناقص",""),IF(ISNA(MATCH($A1359,قائمة_المخرجات,0)),"رقم مخرج غير موجود",IF($D1359="","نوع الحركة ناقص",IF(NOT(ISNUMBER($E1359)),"التاريخ ناقص",IF($E1359&gt;تاريخ_الاحتساب,"تاريخ بعد تاريخ الاحتساب",IF(AND($D1359&lt;&gt;"تسليم",COUNTIFS($A$5:$A$1504,$A1359,$D$5:$D$1504,"تسليم",$E$5:$E$1504,"&lt;="&amp;$E1359)=0),"لا يوجد تسليم قبل الحركة دي",""))))))</f>
        <v/>
      </c>
    </row>
    <row r="1360" customFormat="false" ht="15" hidden="false" customHeight="false" outlineLevel="0" collapsed="false">
      <c r="A1360" s="20"/>
      <c r="B1360" s="35" t="str">
        <f aca="false">IF($A1360="","",IFERROR(INDEX(مخرج_البند,MATCH($A1360,قائمة_المخرجات,0)),""))</f>
        <v/>
      </c>
      <c r="C1360" s="30" t="str">
        <f aca="false">IF($A1360="","",IFERROR(INDEX(مخرج_الوصف,MATCH($A1360,قائمة_المخرجات,0)),""))</f>
        <v/>
      </c>
      <c r="D1360" s="20"/>
      <c r="E1360" s="31"/>
      <c r="F1360" s="22"/>
      <c r="G1360" s="36" t="str">
        <f aca="false">IF(OR($A1360="",$D1360&lt;&gt;"تسليم",NOT(ISNUMBER($E1360))),"",COUNTIFS($A$5:$A$1504,$A1360,$D$5:$D$1504,"تسليم",$E$5:$E$1504,"&lt;"&amp;$E1360)+1)</f>
        <v/>
      </c>
      <c r="H1360" s="33" t="str">
        <f aca="false">IF($G1360="","",_xlfn.MINIFS($E$5:$E$1504,$A$5:$A$1504,$A1360,$D$5:$D$1504,"&lt;&gt;تسليم",$E$5:$E$1504,"&gt;="&amp;$E1360))</f>
        <v/>
      </c>
      <c r="I1360" s="33" t="str">
        <f aca="false">IF($G1360="","",_xlfn.MINIFS($E$5:$E$1504,$A$5:$A$1504,$A1360,$D$5:$D$1504,"تسليم",$E$5:$E$1504,"&gt;"&amp;$E1360))</f>
        <v/>
      </c>
      <c r="J1360" s="33" t="str">
        <f aca="false">IF($G1360="","",IF(H1360&gt;0,IF(I1360&gt;0,MIN(H1360,I1360),H1360),IF(I1360&gt;0,I1360,تاريخ_الاحتساب)))</f>
        <v/>
      </c>
      <c r="K1360" s="34" t="str">
        <f aca="false">IF($G1360="","",IF(AND(H1360=0,I1360=0),"جارية","مغلقة"))</f>
        <v/>
      </c>
      <c r="L1360" s="26" t="str">
        <f aca="false">IF($G1360="","",MAX(0,NETWORKDAYS.INTL($E1360,J1360,رمز_العطلة,أيام_الأجازات)-1))</f>
        <v/>
      </c>
      <c r="M1360" s="26" t="str">
        <f aca="false">IF($G1360="","",MAX(0,L1360-مهلة_المراجعة))</f>
        <v/>
      </c>
      <c r="N1360" s="30" t="str">
        <f aca="false">IF($A1360="",IF(OR($D1360&lt;&gt;"",$E1360&lt;&gt;""),"رقم المخرج ناقص",""),IF(ISNA(MATCH($A1360,قائمة_المخرجات,0)),"رقم مخرج غير موجود",IF($D1360="","نوع الحركة ناقص",IF(NOT(ISNUMBER($E1360)),"التاريخ ناقص",IF($E1360&gt;تاريخ_الاحتساب,"تاريخ بعد تاريخ الاحتساب",IF(AND($D1360&lt;&gt;"تسليم",COUNTIFS($A$5:$A$1504,$A1360,$D$5:$D$1504,"تسليم",$E$5:$E$1504,"&lt;="&amp;$E1360)=0),"لا يوجد تسليم قبل الحركة دي",""))))))</f>
        <v/>
      </c>
    </row>
    <row r="1361" customFormat="false" ht="15" hidden="false" customHeight="false" outlineLevel="0" collapsed="false">
      <c r="A1361" s="20"/>
      <c r="B1361" s="35" t="str">
        <f aca="false">IF($A1361="","",IFERROR(INDEX(مخرج_البند,MATCH($A1361,قائمة_المخرجات,0)),""))</f>
        <v/>
      </c>
      <c r="C1361" s="30" t="str">
        <f aca="false">IF($A1361="","",IFERROR(INDEX(مخرج_الوصف,MATCH($A1361,قائمة_المخرجات,0)),""))</f>
        <v/>
      </c>
      <c r="D1361" s="20"/>
      <c r="E1361" s="31"/>
      <c r="F1361" s="22"/>
      <c r="G1361" s="36" t="str">
        <f aca="false">IF(OR($A1361="",$D1361&lt;&gt;"تسليم",NOT(ISNUMBER($E1361))),"",COUNTIFS($A$5:$A$1504,$A1361,$D$5:$D$1504,"تسليم",$E$5:$E$1504,"&lt;"&amp;$E1361)+1)</f>
        <v/>
      </c>
      <c r="H1361" s="33" t="str">
        <f aca="false">IF($G1361="","",_xlfn.MINIFS($E$5:$E$1504,$A$5:$A$1504,$A1361,$D$5:$D$1504,"&lt;&gt;تسليم",$E$5:$E$1504,"&gt;="&amp;$E1361))</f>
        <v/>
      </c>
      <c r="I1361" s="33" t="str">
        <f aca="false">IF($G1361="","",_xlfn.MINIFS($E$5:$E$1504,$A$5:$A$1504,$A1361,$D$5:$D$1504,"تسليم",$E$5:$E$1504,"&gt;"&amp;$E1361))</f>
        <v/>
      </c>
      <c r="J1361" s="33" t="str">
        <f aca="false">IF($G1361="","",IF(H1361&gt;0,IF(I1361&gt;0,MIN(H1361,I1361),H1361),IF(I1361&gt;0,I1361,تاريخ_الاحتساب)))</f>
        <v/>
      </c>
      <c r="K1361" s="34" t="str">
        <f aca="false">IF($G1361="","",IF(AND(H1361=0,I1361=0),"جارية","مغلقة"))</f>
        <v/>
      </c>
      <c r="L1361" s="26" t="str">
        <f aca="false">IF($G1361="","",MAX(0,NETWORKDAYS.INTL($E1361,J1361,رمز_العطلة,أيام_الأجازات)-1))</f>
        <v/>
      </c>
      <c r="M1361" s="26" t="str">
        <f aca="false">IF($G1361="","",MAX(0,L1361-مهلة_المراجعة))</f>
        <v/>
      </c>
      <c r="N1361" s="30" t="str">
        <f aca="false">IF($A1361="",IF(OR($D1361&lt;&gt;"",$E1361&lt;&gt;""),"رقم المخرج ناقص",""),IF(ISNA(MATCH($A1361,قائمة_المخرجات,0)),"رقم مخرج غير موجود",IF($D1361="","نوع الحركة ناقص",IF(NOT(ISNUMBER($E1361)),"التاريخ ناقص",IF($E1361&gt;تاريخ_الاحتساب,"تاريخ بعد تاريخ الاحتساب",IF(AND($D1361&lt;&gt;"تسليم",COUNTIFS($A$5:$A$1504,$A1361,$D$5:$D$1504,"تسليم",$E$5:$E$1504,"&lt;="&amp;$E1361)=0),"لا يوجد تسليم قبل الحركة دي",""))))))</f>
        <v/>
      </c>
    </row>
    <row r="1362" customFormat="false" ht="15" hidden="false" customHeight="false" outlineLevel="0" collapsed="false">
      <c r="A1362" s="20"/>
      <c r="B1362" s="35" t="str">
        <f aca="false">IF($A1362="","",IFERROR(INDEX(مخرج_البند,MATCH($A1362,قائمة_المخرجات,0)),""))</f>
        <v/>
      </c>
      <c r="C1362" s="30" t="str">
        <f aca="false">IF($A1362="","",IFERROR(INDEX(مخرج_الوصف,MATCH($A1362,قائمة_المخرجات,0)),""))</f>
        <v/>
      </c>
      <c r="D1362" s="20"/>
      <c r="E1362" s="31"/>
      <c r="F1362" s="22"/>
      <c r="G1362" s="36" t="str">
        <f aca="false">IF(OR($A1362="",$D1362&lt;&gt;"تسليم",NOT(ISNUMBER($E1362))),"",COUNTIFS($A$5:$A$1504,$A1362,$D$5:$D$1504,"تسليم",$E$5:$E$1504,"&lt;"&amp;$E1362)+1)</f>
        <v/>
      </c>
      <c r="H1362" s="33" t="str">
        <f aca="false">IF($G1362="","",_xlfn.MINIFS($E$5:$E$1504,$A$5:$A$1504,$A1362,$D$5:$D$1504,"&lt;&gt;تسليم",$E$5:$E$1504,"&gt;="&amp;$E1362))</f>
        <v/>
      </c>
      <c r="I1362" s="33" t="str">
        <f aca="false">IF($G1362="","",_xlfn.MINIFS($E$5:$E$1504,$A$5:$A$1504,$A1362,$D$5:$D$1504,"تسليم",$E$5:$E$1504,"&gt;"&amp;$E1362))</f>
        <v/>
      </c>
      <c r="J1362" s="33" t="str">
        <f aca="false">IF($G1362="","",IF(H1362&gt;0,IF(I1362&gt;0,MIN(H1362,I1362),H1362),IF(I1362&gt;0,I1362,تاريخ_الاحتساب)))</f>
        <v/>
      </c>
      <c r="K1362" s="34" t="str">
        <f aca="false">IF($G1362="","",IF(AND(H1362=0,I1362=0),"جارية","مغلقة"))</f>
        <v/>
      </c>
      <c r="L1362" s="26" t="str">
        <f aca="false">IF($G1362="","",MAX(0,NETWORKDAYS.INTL($E1362,J1362,رمز_العطلة,أيام_الأجازات)-1))</f>
        <v/>
      </c>
      <c r="M1362" s="26" t="str">
        <f aca="false">IF($G1362="","",MAX(0,L1362-مهلة_المراجعة))</f>
        <v/>
      </c>
      <c r="N1362" s="30" t="str">
        <f aca="false">IF($A1362="",IF(OR($D1362&lt;&gt;"",$E1362&lt;&gt;""),"رقم المخرج ناقص",""),IF(ISNA(MATCH($A1362,قائمة_المخرجات,0)),"رقم مخرج غير موجود",IF($D1362="","نوع الحركة ناقص",IF(NOT(ISNUMBER($E1362)),"التاريخ ناقص",IF($E1362&gt;تاريخ_الاحتساب,"تاريخ بعد تاريخ الاحتساب",IF(AND($D1362&lt;&gt;"تسليم",COUNTIFS($A$5:$A$1504,$A1362,$D$5:$D$1504,"تسليم",$E$5:$E$1504,"&lt;="&amp;$E1362)=0),"لا يوجد تسليم قبل الحركة دي",""))))))</f>
        <v/>
      </c>
    </row>
    <row r="1363" customFormat="false" ht="15" hidden="false" customHeight="false" outlineLevel="0" collapsed="false">
      <c r="A1363" s="20"/>
      <c r="B1363" s="35" t="str">
        <f aca="false">IF($A1363="","",IFERROR(INDEX(مخرج_البند,MATCH($A1363,قائمة_المخرجات,0)),""))</f>
        <v/>
      </c>
      <c r="C1363" s="30" t="str">
        <f aca="false">IF($A1363="","",IFERROR(INDEX(مخرج_الوصف,MATCH($A1363,قائمة_المخرجات,0)),""))</f>
        <v/>
      </c>
      <c r="D1363" s="20"/>
      <c r="E1363" s="31"/>
      <c r="F1363" s="22"/>
      <c r="G1363" s="36" t="str">
        <f aca="false">IF(OR($A1363="",$D1363&lt;&gt;"تسليم",NOT(ISNUMBER($E1363))),"",COUNTIFS($A$5:$A$1504,$A1363,$D$5:$D$1504,"تسليم",$E$5:$E$1504,"&lt;"&amp;$E1363)+1)</f>
        <v/>
      </c>
      <c r="H1363" s="33" t="str">
        <f aca="false">IF($G1363="","",_xlfn.MINIFS($E$5:$E$1504,$A$5:$A$1504,$A1363,$D$5:$D$1504,"&lt;&gt;تسليم",$E$5:$E$1504,"&gt;="&amp;$E1363))</f>
        <v/>
      </c>
      <c r="I1363" s="33" t="str">
        <f aca="false">IF($G1363="","",_xlfn.MINIFS($E$5:$E$1504,$A$5:$A$1504,$A1363,$D$5:$D$1504,"تسليم",$E$5:$E$1504,"&gt;"&amp;$E1363))</f>
        <v/>
      </c>
      <c r="J1363" s="33" t="str">
        <f aca="false">IF($G1363="","",IF(H1363&gt;0,IF(I1363&gt;0,MIN(H1363,I1363),H1363),IF(I1363&gt;0,I1363,تاريخ_الاحتساب)))</f>
        <v/>
      </c>
      <c r="K1363" s="34" t="str">
        <f aca="false">IF($G1363="","",IF(AND(H1363=0,I1363=0),"جارية","مغلقة"))</f>
        <v/>
      </c>
      <c r="L1363" s="26" t="str">
        <f aca="false">IF($G1363="","",MAX(0,NETWORKDAYS.INTL($E1363,J1363,رمز_العطلة,أيام_الأجازات)-1))</f>
        <v/>
      </c>
      <c r="M1363" s="26" t="str">
        <f aca="false">IF($G1363="","",MAX(0,L1363-مهلة_المراجعة))</f>
        <v/>
      </c>
      <c r="N1363" s="30" t="str">
        <f aca="false">IF($A1363="",IF(OR($D1363&lt;&gt;"",$E1363&lt;&gt;""),"رقم المخرج ناقص",""),IF(ISNA(MATCH($A1363,قائمة_المخرجات,0)),"رقم مخرج غير موجود",IF($D1363="","نوع الحركة ناقص",IF(NOT(ISNUMBER($E1363)),"التاريخ ناقص",IF($E1363&gt;تاريخ_الاحتساب,"تاريخ بعد تاريخ الاحتساب",IF(AND($D1363&lt;&gt;"تسليم",COUNTIFS($A$5:$A$1504,$A1363,$D$5:$D$1504,"تسليم",$E$5:$E$1504,"&lt;="&amp;$E1363)=0),"لا يوجد تسليم قبل الحركة دي",""))))))</f>
        <v/>
      </c>
    </row>
    <row r="1364" customFormat="false" ht="15" hidden="false" customHeight="false" outlineLevel="0" collapsed="false">
      <c r="A1364" s="20"/>
      <c r="B1364" s="35" t="str">
        <f aca="false">IF($A1364="","",IFERROR(INDEX(مخرج_البند,MATCH($A1364,قائمة_المخرجات,0)),""))</f>
        <v/>
      </c>
      <c r="C1364" s="30" t="str">
        <f aca="false">IF($A1364="","",IFERROR(INDEX(مخرج_الوصف,MATCH($A1364,قائمة_المخرجات,0)),""))</f>
        <v/>
      </c>
      <c r="D1364" s="20"/>
      <c r="E1364" s="31"/>
      <c r="F1364" s="22"/>
      <c r="G1364" s="36" t="str">
        <f aca="false">IF(OR($A1364="",$D1364&lt;&gt;"تسليم",NOT(ISNUMBER($E1364))),"",COUNTIFS($A$5:$A$1504,$A1364,$D$5:$D$1504,"تسليم",$E$5:$E$1504,"&lt;"&amp;$E1364)+1)</f>
        <v/>
      </c>
      <c r="H1364" s="33" t="str">
        <f aca="false">IF($G1364="","",_xlfn.MINIFS($E$5:$E$1504,$A$5:$A$1504,$A1364,$D$5:$D$1504,"&lt;&gt;تسليم",$E$5:$E$1504,"&gt;="&amp;$E1364))</f>
        <v/>
      </c>
      <c r="I1364" s="33" t="str">
        <f aca="false">IF($G1364="","",_xlfn.MINIFS($E$5:$E$1504,$A$5:$A$1504,$A1364,$D$5:$D$1504,"تسليم",$E$5:$E$1504,"&gt;"&amp;$E1364))</f>
        <v/>
      </c>
      <c r="J1364" s="33" t="str">
        <f aca="false">IF($G1364="","",IF(H1364&gt;0,IF(I1364&gt;0,MIN(H1364,I1364),H1364),IF(I1364&gt;0,I1364,تاريخ_الاحتساب)))</f>
        <v/>
      </c>
      <c r="K1364" s="34" t="str">
        <f aca="false">IF($G1364="","",IF(AND(H1364=0,I1364=0),"جارية","مغلقة"))</f>
        <v/>
      </c>
      <c r="L1364" s="26" t="str">
        <f aca="false">IF($G1364="","",MAX(0,NETWORKDAYS.INTL($E1364,J1364,رمز_العطلة,أيام_الأجازات)-1))</f>
        <v/>
      </c>
      <c r="M1364" s="26" t="str">
        <f aca="false">IF($G1364="","",MAX(0,L1364-مهلة_المراجعة))</f>
        <v/>
      </c>
      <c r="N1364" s="30" t="str">
        <f aca="false">IF($A1364="",IF(OR($D1364&lt;&gt;"",$E1364&lt;&gt;""),"رقم المخرج ناقص",""),IF(ISNA(MATCH($A1364,قائمة_المخرجات,0)),"رقم مخرج غير موجود",IF($D1364="","نوع الحركة ناقص",IF(NOT(ISNUMBER($E1364)),"التاريخ ناقص",IF($E1364&gt;تاريخ_الاحتساب,"تاريخ بعد تاريخ الاحتساب",IF(AND($D1364&lt;&gt;"تسليم",COUNTIFS($A$5:$A$1504,$A1364,$D$5:$D$1504,"تسليم",$E$5:$E$1504,"&lt;="&amp;$E1364)=0),"لا يوجد تسليم قبل الحركة دي",""))))))</f>
        <v/>
      </c>
    </row>
    <row r="1365" customFormat="false" ht="15" hidden="false" customHeight="false" outlineLevel="0" collapsed="false">
      <c r="A1365" s="20"/>
      <c r="B1365" s="35" t="str">
        <f aca="false">IF($A1365="","",IFERROR(INDEX(مخرج_البند,MATCH($A1365,قائمة_المخرجات,0)),""))</f>
        <v/>
      </c>
      <c r="C1365" s="30" t="str">
        <f aca="false">IF($A1365="","",IFERROR(INDEX(مخرج_الوصف,MATCH($A1365,قائمة_المخرجات,0)),""))</f>
        <v/>
      </c>
      <c r="D1365" s="20"/>
      <c r="E1365" s="31"/>
      <c r="F1365" s="22"/>
      <c r="G1365" s="36" t="str">
        <f aca="false">IF(OR($A1365="",$D1365&lt;&gt;"تسليم",NOT(ISNUMBER($E1365))),"",COUNTIFS($A$5:$A$1504,$A1365,$D$5:$D$1504,"تسليم",$E$5:$E$1504,"&lt;"&amp;$E1365)+1)</f>
        <v/>
      </c>
      <c r="H1365" s="33" t="str">
        <f aca="false">IF($G1365="","",_xlfn.MINIFS($E$5:$E$1504,$A$5:$A$1504,$A1365,$D$5:$D$1504,"&lt;&gt;تسليم",$E$5:$E$1504,"&gt;="&amp;$E1365))</f>
        <v/>
      </c>
      <c r="I1365" s="33" t="str">
        <f aca="false">IF($G1365="","",_xlfn.MINIFS($E$5:$E$1504,$A$5:$A$1504,$A1365,$D$5:$D$1504,"تسليم",$E$5:$E$1504,"&gt;"&amp;$E1365))</f>
        <v/>
      </c>
      <c r="J1365" s="33" t="str">
        <f aca="false">IF($G1365="","",IF(H1365&gt;0,IF(I1365&gt;0,MIN(H1365,I1365),H1365),IF(I1365&gt;0,I1365,تاريخ_الاحتساب)))</f>
        <v/>
      </c>
      <c r="K1365" s="34" t="str">
        <f aca="false">IF($G1365="","",IF(AND(H1365=0,I1365=0),"جارية","مغلقة"))</f>
        <v/>
      </c>
      <c r="L1365" s="26" t="str">
        <f aca="false">IF($G1365="","",MAX(0,NETWORKDAYS.INTL($E1365,J1365,رمز_العطلة,أيام_الأجازات)-1))</f>
        <v/>
      </c>
      <c r="M1365" s="26" t="str">
        <f aca="false">IF($G1365="","",MAX(0,L1365-مهلة_المراجعة))</f>
        <v/>
      </c>
      <c r="N1365" s="30" t="str">
        <f aca="false">IF($A1365="",IF(OR($D1365&lt;&gt;"",$E1365&lt;&gt;""),"رقم المخرج ناقص",""),IF(ISNA(MATCH($A1365,قائمة_المخرجات,0)),"رقم مخرج غير موجود",IF($D1365="","نوع الحركة ناقص",IF(NOT(ISNUMBER($E1365)),"التاريخ ناقص",IF($E1365&gt;تاريخ_الاحتساب,"تاريخ بعد تاريخ الاحتساب",IF(AND($D1365&lt;&gt;"تسليم",COUNTIFS($A$5:$A$1504,$A1365,$D$5:$D$1504,"تسليم",$E$5:$E$1504,"&lt;="&amp;$E1365)=0),"لا يوجد تسليم قبل الحركة دي",""))))))</f>
        <v/>
      </c>
    </row>
    <row r="1366" customFormat="false" ht="15" hidden="false" customHeight="false" outlineLevel="0" collapsed="false">
      <c r="A1366" s="20"/>
      <c r="B1366" s="35" t="str">
        <f aca="false">IF($A1366="","",IFERROR(INDEX(مخرج_البند,MATCH($A1366,قائمة_المخرجات,0)),""))</f>
        <v/>
      </c>
      <c r="C1366" s="30" t="str">
        <f aca="false">IF($A1366="","",IFERROR(INDEX(مخرج_الوصف,MATCH($A1366,قائمة_المخرجات,0)),""))</f>
        <v/>
      </c>
      <c r="D1366" s="20"/>
      <c r="E1366" s="31"/>
      <c r="F1366" s="22"/>
      <c r="G1366" s="36" t="str">
        <f aca="false">IF(OR($A1366="",$D1366&lt;&gt;"تسليم",NOT(ISNUMBER($E1366))),"",COUNTIFS($A$5:$A$1504,$A1366,$D$5:$D$1504,"تسليم",$E$5:$E$1504,"&lt;"&amp;$E1366)+1)</f>
        <v/>
      </c>
      <c r="H1366" s="33" t="str">
        <f aca="false">IF($G1366="","",_xlfn.MINIFS($E$5:$E$1504,$A$5:$A$1504,$A1366,$D$5:$D$1504,"&lt;&gt;تسليم",$E$5:$E$1504,"&gt;="&amp;$E1366))</f>
        <v/>
      </c>
      <c r="I1366" s="33" t="str">
        <f aca="false">IF($G1366="","",_xlfn.MINIFS($E$5:$E$1504,$A$5:$A$1504,$A1366,$D$5:$D$1504,"تسليم",$E$5:$E$1504,"&gt;"&amp;$E1366))</f>
        <v/>
      </c>
      <c r="J1366" s="33" t="str">
        <f aca="false">IF($G1366="","",IF(H1366&gt;0,IF(I1366&gt;0,MIN(H1366,I1366),H1366),IF(I1366&gt;0,I1366,تاريخ_الاحتساب)))</f>
        <v/>
      </c>
      <c r="K1366" s="34" t="str">
        <f aca="false">IF($G1366="","",IF(AND(H1366=0,I1366=0),"جارية","مغلقة"))</f>
        <v/>
      </c>
      <c r="L1366" s="26" t="str">
        <f aca="false">IF($G1366="","",MAX(0,NETWORKDAYS.INTL($E1366,J1366,رمز_العطلة,أيام_الأجازات)-1))</f>
        <v/>
      </c>
      <c r="M1366" s="26" t="str">
        <f aca="false">IF($G1366="","",MAX(0,L1366-مهلة_المراجعة))</f>
        <v/>
      </c>
      <c r="N1366" s="30" t="str">
        <f aca="false">IF($A1366="",IF(OR($D1366&lt;&gt;"",$E1366&lt;&gt;""),"رقم المخرج ناقص",""),IF(ISNA(MATCH($A1366,قائمة_المخرجات,0)),"رقم مخرج غير موجود",IF($D1366="","نوع الحركة ناقص",IF(NOT(ISNUMBER($E1366)),"التاريخ ناقص",IF($E1366&gt;تاريخ_الاحتساب,"تاريخ بعد تاريخ الاحتساب",IF(AND($D1366&lt;&gt;"تسليم",COUNTIFS($A$5:$A$1504,$A1366,$D$5:$D$1504,"تسليم",$E$5:$E$1504,"&lt;="&amp;$E1366)=0),"لا يوجد تسليم قبل الحركة دي",""))))))</f>
        <v/>
      </c>
    </row>
    <row r="1367" customFormat="false" ht="15" hidden="false" customHeight="false" outlineLevel="0" collapsed="false">
      <c r="A1367" s="20"/>
      <c r="B1367" s="35" t="str">
        <f aca="false">IF($A1367="","",IFERROR(INDEX(مخرج_البند,MATCH($A1367,قائمة_المخرجات,0)),""))</f>
        <v/>
      </c>
      <c r="C1367" s="30" t="str">
        <f aca="false">IF($A1367="","",IFERROR(INDEX(مخرج_الوصف,MATCH($A1367,قائمة_المخرجات,0)),""))</f>
        <v/>
      </c>
      <c r="D1367" s="20"/>
      <c r="E1367" s="31"/>
      <c r="F1367" s="22"/>
      <c r="G1367" s="36" t="str">
        <f aca="false">IF(OR($A1367="",$D1367&lt;&gt;"تسليم",NOT(ISNUMBER($E1367))),"",COUNTIFS($A$5:$A$1504,$A1367,$D$5:$D$1504,"تسليم",$E$5:$E$1504,"&lt;"&amp;$E1367)+1)</f>
        <v/>
      </c>
      <c r="H1367" s="33" t="str">
        <f aca="false">IF($G1367="","",_xlfn.MINIFS($E$5:$E$1504,$A$5:$A$1504,$A1367,$D$5:$D$1504,"&lt;&gt;تسليم",$E$5:$E$1504,"&gt;="&amp;$E1367))</f>
        <v/>
      </c>
      <c r="I1367" s="33" t="str">
        <f aca="false">IF($G1367="","",_xlfn.MINIFS($E$5:$E$1504,$A$5:$A$1504,$A1367,$D$5:$D$1504,"تسليم",$E$5:$E$1504,"&gt;"&amp;$E1367))</f>
        <v/>
      </c>
      <c r="J1367" s="33" t="str">
        <f aca="false">IF($G1367="","",IF(H1367&gt;0,IF(I1367&gt;0,MIN(H1367,I1367),H1367),IF(I1367&gt;0,I1367,تاريخ_الاحتساب)))</f>
        <v/>
      </c>
      <c r="K1367" s="34" t="str">
        <f aca="false">IF($G1367="","",IF(AND(H1367=0,I1367=0),"جارية","مغلقة"))</f>
        <v/>
      </c>
      <c r="L1367" s="26" t="str">
        <f aca="false">IF($G1367="","",MAX(0,NETWORKDAYS.INTL($E1367,J1367,رمز_العطلة,أيام_الأجازات)-1))</f>
        <v/>
      </c>
      <c r="M1367" s="26" t="str">
        <f aca="false">IF($G1367="","",MAX(0,L1367-مهلة_المراجعة))</f>
        <v/>
      </c>
      <c r="N1367" s="30" t="str">
        <f aca="false">IF($A1367="",IF(OR($D1367&lt;&gt;"",$E1367&lt;&gt;""),"رقم المخرج ناقص",""),IF(ISNA(MATCH($A1367,قائمة_المخرجات,0)),"رقم مخرج غير موجود",IF($D1367="","نوع الحركة ناقص",IF(NOT(ISNUMBER($E1367)),"التاريخ ناقص",IF($E1367&gt;تاريخ_الاحتساب,"تاريخ بعد تاريخ الاحتساب",IF(AND($D1367&lt;&gt;"تسليم",COUNTIFS($A$5:$A$1504,$A1367,$D$5:$D$1504,"تسليم",$E$5:$E$1504,"&lt;="&amp;$E1367)=0),"لا يوجد تسليم قبل الحركة دي",""))))))</f>
        <v/>
      </c>
    </row>
    <row r="1368" customFormat="false" ht="15" hidden="false" customHeight="false" outlineLevel="0" collapsed="false">
      <c r="A1368" s="20"/>
      <c r="B1368" s="35" t="str">
        <f aca="false">IF($A1368="","",IFERROR(INDEX(مخرج_البند,MATCH($A1368,قائمة_المخرجات,0)),""))</f>
        <v/>
      </c>
      <c r="C1368" s="30" t="str">
        <f aca="false">IF($A1368="","",IFERROR(INDEX(مخرج_الوصف,MATCH($A1368,قائمة_المخرجات,0)),""))</f>
        <v/>
      </c>
      <c r="D1368" s="20"/>
      <c r="E1368" s="31"/>
      <c r="F1368" s="22"/>
      <c r="G1368" s="36" t="str">
        <f aca="false">IF(OR($A1368="",$D1368&lt;&gt;"تسليم",NOT(ISNUMBER($E1368))),"",COUNTIFS($A$5:$A$1504,$A1368,$D$5:$D$1504,"تسليم",$E$5:$E$1504,"&lt;"&amp;$E1368)+1)</f>
        <v/>
      </c>
      <c r="H1368" s="33" t="str">
        <f aca="false">IF($G1368="","",_xlfn.MINIFS($E$5:$E$1504,$A$5:$A$1504,$A1368,$D$5:$D$1504,"&lt;&gt;تسليم",$E$5:$E$1504,"&gt;="&amp;$E1368))</f>
        <v/>
      </c>
      <c r="I1368" s="33" t="str">
        <f aca="false">IF($G1368="","",_xlfn.MINIFS($E$5:$E$1504,$A$5:$A$1504,$A1368,$D$5:$D$1504,"تسليم",$E$5:$E$1504,"&gt;"&amp;$E1368))</f>
        <v/>
      </c>
      <c r="J1368" s="33" t="str">
        <f aca="false">IF($G1368="","",IF(H1368&gt;0,IF(I1368&gt;0,MIN(H1368,I1368),H1368),IF(I1368&gt;0,I1368,تاريخ_الاحتساب)))</f>
        <v/>
      </c>
      <c r="K1368" s="34" t="str">
        <f aca="false">IF($G1368="","",IF(AND(H1368=0,I1368=0),"جارية","مغلقة"))</f>
        <v/>
      </c>
      <c r="L1368" s="26" t="str">
        <f aca="false">IF($G1368="","",MAX(0,NETWORKDAYS.INTL($E1368,J1368,رمز_العطلة,أيام_الأجازات)-1))</f>
        <v/>
      </c>
      <c r="M1368" s="26" t="str">
        <f aca="false">IF($G1368="","",MAX(0,L1368-مهلة_المراجعة))</f>
        <v/>
      </c>
      <c r="N1368" s="30" t="str">
        <f aca="false">IF($A1368="",IF(OR($D1368&lt;&gt;"",$E1368&lt;&gt;""),"رقم المخرج ناقص",""),IF(ISNA(MATCH($A1368,قائمة_المخرجات,0)),"رقم مخرج غير موجود",IF($D1368="","نوع الحركة ناقص",IF(NOT(ISNUMBER($E1368)),"التاريخ ناقص",IF($E1368&gt;تاريخ_الاحتساب,"تاريخ بعد تاريخ الاحتساب",IF(AND($D1368&lt;&gt;"تسليم",COUNTIFS($A$5:$A$1504,$A1368,$D$5:$D$1504,"تسليم",$E$5:$E$1504,"&lt;="&amp;$E1368)=0),"لا يوجد تسليم قبل الحركة دي",""))))))</f>
        <v/>
      </c>
    </row>
    <row r="1369" customFormat="false" ht="15" hidden="false" customHeight="false" outlineLevel="0" collapsed="false">
      <c r="A1369" s="20"/>
      <c r="B1369" s="35" t="str">
        <f aca="false">IF($A1369="","",IFERROR(INDEX(مخرج_البند,MATCH($A1369,قائمة_المخرجات,0)),""))</f>
        <v/>
      </c>
      <c r="C1369" s="30" t="str">
        <f aca="false">IF($A1369="","",IFERROR(INDEX(مخرج_الوصف,MATCH($A1369,قائمة_المخرجات,0)),""))</f>
        <v/>
      </c>
      <c r="D1369" s="20"/>
      <c r="E1369" s="31"/>
      <c r="F1369" s="22"/>
      <c r="G1369" s="36" t="str">
        <f aca="false">IF(OR($A1369="",$D1369&lt;&gt;"تسليم",NOT(ISNUMBER($E1369))),"",COUNTIFS($A$5:$A$1504,$A1369,$D$5:$D$1504,"تسليم",$E$5:$E$1504,"&lt;"&amp;$E1369)+1)</f>
        <v/>
      </c>
      <c r="H1369" s="33" t="str">
        <f aca="false">IF($G1369="","",_xlfn.MINIFS($E$5:$E$1504,$A$5:$A$1504,$A1369,$D$5:$D$1504,"&lt;&gt;تسليم",$E$5:$E$1504,"&gt;="&amp;$E1369))</f>
        <v/>
      </c>
      <c r="I1369" s="33" t="str">
        <f aca="false">IF($G1369="","",_xlfn.MINIFS($E$5:$E$1504,$A$5:$A$1504,$A1369,$D$5:$D$1504,"تسليم",$E$5:$E$1504,"&gt;"&amp;$E1369))</f>
        <v/>
      </c>
      <c r="J1369" s="33" t="str">
        <f aca="false">IF($G1369="","",IF(H1369&gt;0,IF(I1369&gt;0,MIN(H1369,I1369),H1369),IF(I1369&gt;0,I1369,تاريخ_الاحتساب)))</f>
        <v/>
      </c>
      <c r="K1369" s="34" t="str">
        <f aca="false">IF($G1369="","",IF(AND(H1369=0,I1369=0),"جارية","مغلقة"))</f>
        <v/>
      </c>
      <c r="L1369" s="26" t="str">
        <f aca="false">IF($G1369="","",MAX(0,NETWORKDAYS.INTL($E1369,J1369,رمز_العطلة,أيام_الأجازات)-1))</f>
        <v/>
      </c>
      <c r="M1369" s="26" t="str">
        <f aca="false">IF($G1369="","",MAX(0,L1369-مهلة_المراجعة))</f>
        <v/>
      </c>
      <c r="N1369" s="30" t="str">
        <f aca="false">IF($A1369="",IF(OR($D1369&lt;&gt;"",$E1369&lt;&gt;""),"رقم المخرج ناقص",""),IF(ISNA(MATCH($A1369,قائمة_المخرجات,0)),"رقم مخرج غير موجود",IF($D1369="","نوع الحركة ناقص",IF(NOT(ISNUMBER($E1369)),"التاريخ ناقص",IF($E1369&gt;تاريخ_الاحتساب,"تاريخ بعد تاريخ الاحتساب",IF(AND($D1369&lt;&gt;"تسليم",COUNTIFS($A$5:$A$1504,$A1369,$D$5:$D$1504,"تسليم",$E$5:$E$1504,"&lt;="&amp;$E1369)=0),"لا يوجد تسليم قبل الحركة دي",""))))))</f>
        <v/>
      </c>
    </row>
    <row r="1370" customFormat="false" ht="15" hidden="false" customHeight="false" outlineLevel="0" collapsed="false">
      <c r="A1370" s="20"/>
      <c r="B1370" s="35" t="str">
        <f aca="false">IF($A1370="","",IFERROR(INDEX(مخرج_البند,MATCH($A1370,قائمة_المخرجات,0)),""))</f>
        <v/>
      </c>
      <c r="C1370" s="30" t="str">
        <f aca="false">IF($A1370="","",IFERROR(INDEX(مخرج_الوصف,MATCH($A1370,قائمة_المخرجات,0)),""))</f>
        <v/>
      </c>
      <c r="D1370" s="20"/>
      <c r="E1370" s="31"/>
      <c r="F1370" s="22"/>
      <c r="G1370" s="36" t="str">
        <f aca="false">IF(OR($A1370="",$D1370&lt;&gt;"تسليم",NOT(ISNUMBER($E1370))),"",COUNTIFS($A$5:$A$1504,$A1370,$D$5:$D$1504,"تسليم",$E$5:$E$1504,"&lt;"&amp;$E1370)+1)</f>
        <v/>
      </c>
      <c r="H1370" s="33" t="str">
        <f aca="false">IF($G1370="","",_xlfn.MINIFS($E$5:$E$1504,$A$5:$A$1504,$A1370,$D$5:$D$1504,"&lt;&gt;تسليم",$E$5:$E$1504,"&gt;="&amp;$E1370))</f>
        <v/>
      </c>
      <c r="I1370" s="33" t="str">
        <f aca="false">IF($G1370="","",_xlfn.MINIFS($E$5:$E$1504,$A$5:$A$1504,$A1370,$D$5:$D$1504,"تسليم",$E$5:$E$1504,"&gt;"&amp;$E1370))</f>
        <v/>
      </c>
      <c r="J1370" s="33" t="str">
        <f aca="false">IF($G1370="","",IF(H1370&gt;0,IF(I1370&gt;0,MIN(H1370,I1370),H1370),IF(I1370&gt;0,I1370,تاريخ_الاحتساب)))</f>
        <v/>
      </c>
      <c r="K1370" s="34" t="str">
        <f aca="false">IF($G1370="","",IF(AND(H1370=0,I1370=0),"جارية","مغلقة"))</f>
        <v/>
      </c>
      <c r="L1370" s="26" t="str">
        <f aca="false">IF($G1370="","",MAX(0,NETWORKDAYS.INTL($E1370,J1370,رمز_العطلة,أيام_الأجازات)-1))</f>
        <v/>
      </c>
      <c r="M1370" s="26" t="str">
        <f aca="false">IF($G1370="","",MAX(0,L1370-مهلة_المراجعة))</f>
        <v/>
      </c>
      <c r="N1370" s="30" t="str">
        <f aca="false">IF($A1370="",IF(OR($D1370&lt;&gt;"",$E1370&lt;&gt;""),"رقم المخرج ناقص",""),IF(ISNA(MATCH($A1370,قائمة_المخرجات,0)),"رقم مخرج غير موجود",IF($D1370="","نوع الحركة ناقص",IF(NOT(ISNUMBER($E1370)),"التاريخ ناقص",IF($E1370&gt;تاريخ_الاحتساب,"تاريخ بعد تاريخ الاحتساب",IF(AND($D1370&lt;&gt;"تسليم",COUNTIFS($A$5:$A$1504,$A1370,$D$5:$D$1504,"تسليم",$E$5:$E$1504,"&lt;="&amp;$E1370)=0),"لا يوجد تسليم قبل الحركة دي",""))))))</f>
        <v/>
      </c>
    </row>
    <row r="1371" customFormat="false" ht="15" hidden="false" customHeight="false" outlineLevel="0" collapsed="false">
      <c r="A1371" s="20"/>
      <c r="B1371" s="35" t="str">
        <f aca="false">IF($A1371="","",IFERROR(INDEX(مخرج_البند,MATCH($A1371,قائمة_المخرجات,0)),""))</f>
        <v/>
      </c>
      <c r="C1371" s="30" t="str">
        <f aca="false">IF($A1371="","",IFERROR(INDEX(مخرج_الوصف,MATCH($A1371,قائمة_المخرجات,0)),""))</f>
        <v/>
      </c>
      <c r="D1371" s="20"/>
      <c r="E1371" s="31"/>
      <c r="F1371" s="22"/>
      <c r="G1371" s="36" t="str">
        <f aca="false">IF(OR($A1371="",$D1371&lt;&gt;"تسليم",NOT(ISNUMBER($E1371))),"",COUNTIFS($A$5:$A$1504,$A1371,$D$5:$D$1504,"تسليم",$E$5:$E$1504,"&lt;"&amp;$E1371)+1)</f>
        <v/>
      </c>
      <c r="H1371" s="33" t="str">
        <f aca="false">IF($G1371="","",_xlfn.MINIFS($E$5:$E$1504,$A$5:$A$1504,$A1371,$D$5:$D$1504,"&lt;&gt;تسليم",$E$5:$E$1504,"&gt;="&amp;$E1371))</f>
        <v/>
      </c>
      <c r="I1371" s="33" t="str">
        <f aca="false">IF($G1371="","",_xlfn.MINIFS($E$5:$E$1504,$A$5:$A$1504,$A1371,$D$5:$D$1504,"تسليم",$E$5:$E$1504,"&gt;"&amp;$E1371))</f>
        <v/>
      </c>
      <c r="J1371" s="33" t="str">
        <f aca="false">IF($G1371="","",IF(H1371&gt;0,IF(I1371&gt;0,MIN(H1371,I1371),H1371),IF(I1371&gt;0,I1371,تاريخ_الاحتساب)))</f>
        <v/>
      </c>
      <c r="K1371" s="34" t="str">
        <f aca="false">IF($G1371="","",IF(AND(H1371=0,I1371=0),"جارية","مغلقة"))</f>
        <v/>
      </c>
      <c r="L1371" s="26" t="str">
        <f aca="false">IF($G1371="","",MAX(0,NETWORKDAYS.INTL($E1371,J1371,رمز_العطلة,أيام_الأجازات)-1))</f>
        <v/>
      </c>
      <c r="M1371" s="26" t="str">
        <f aca="false">IF($G1371="","",MAX(0,L1371-مهلة_المراجعة))</f>
        <v/>
      </c>
      <c r="N1371" s="30" t="str">
        <f aca="false">IF($A1371="",IF(OR($D1371&lt;&gt;"",$E1371&lt;&gt;""),"رقم المخرج ناقص",""),IF(ISNA(MATCH($A1371,قائمة_المخرجات,0)),"رقم مخرج غير موجود",IF($D1371="","نوع الحركة ناقص",IF(NOT(ISNUMBER($E1371)),"التاريخ ناقص",IF($E1371&gt;تاريخ_الاحتساب,"تاريخ بعد تاريخ الاحتساب",IF(AND($D1371&lt;&gt;"تسليم",COUNTIFS($A$5:$A$1504,$A1371,$D$5:$D$1504,"تسليم",$E$5:$E$1504,"&lt;="&amp;$E1371)=0),"لا يوجد تسليم قبل الحركة دي",""))))))</f>
        <v/>
      </c>
    </row>
    <row r="1372" customFormat="false" ht="15" hidden="false" customHeight="false" outlineLevel="0" collapsed="false">
      <c r="A1372" s="20"/>
      <c r="B1372" s="35" t="str">
        <f aca="false">IF($A1372="","",IFERROR(INDEX(مخرج_البند,MATCH($A1372,قائمة_المخرجات,0)),""))</f>
        <v/>
      </c>
      <c r="C1372" s="30" t="str">
        <f aca="false">IF($A1372="","",IFERROR(INDEX(مخرج_الوصف,MATCH($A1372,قائمة_المخرجات,0)),""))</f>
        <v/>
      </c>
      <c r="D1372" s="20"/>
      <c r="E1372" s="31"/>
      <c r="F1372" s="22"/>
      <c r="G1372" s="36" t="str">
        <f aca="false">IF(OR($A1372="",$D1372&lt;&gt;"تسليم",NOT(ISNUMBER($E1372))),"",COUNTIFS($A$5:$A$1504,$A1372,$D$5:$D$1504,"تسليم",$E$5:$E$1504,"&lt;"&amp;$E1372)+1)</f>
        <v/>
      </c>
      <c r="H1372" s="33" t="str">
        <f aca="false">IF($G1372="","",_xlfn.MINIFS($E$5:$E$1504,$A$5:$A$1504,$A1372,$D$5:$D$1504,"&lt;&gt;تسليم",$E$5:$E$1504,"&gt;="&amp;$E1372))</f>
        <v/>
      </c>
      <c r="I1372" s="33" t="str">
        <f aca="false">IF($G1372="","",_xlfn.MINIFS($E$5:$E$1504,$A$5:$A$1504,$A1372,$D$5:$D$1504,"تسليم",$E$5:$E$1504,"&gt;"&amp;$E1372))</f>
        <v/>
      </c>
      <c r="J1372" s="33" t="str">
        <f aca="false">IF($G1372="","",IF(H1372&gt;0,IF(I1372&gt;0,MIN(H1372,I1372),H1372),IF(I1372&gt;0,I1372,تاريخ_الاحتساب)))</f>
        <v/>
      </c>
      <c r="K1372" s="34" t="str">
        <f aca="false">IF($G1372="","",IF(AND(H1372=0,I1372=0),"جارية","مغلقة"))</f>
        <v/>
      </c>
      <c r="L1372" s="26" t="str">
        <f aca="false">IF($G1372="","",MAX(0,NETWORKDAYS.INTL($E1372,J1372,رمز_العطلة,أيام_الأجازات)-1))</f>
        <v/>
      </c>
      <c r="M1372" s="26" t="str">
        <f aca="false">IF($G1372="","",MAX(0,L1372-مهلة_المراجعة))</f>
        <v/>
      </c>
      <c r="N1372" s="30" t="str">
        <f aca="false">IF($A1372="",IF(OR($D1372&lt;&gt;"",$E1372&lt;&gt;""),"رقم المخرج ناقص",""),IF(ISNA(MATCH($A1372,قائمة_المخرجات,0)),"رقم مخرج غير موجود",IF($D1372="","نوع الحركة ناقص",IF(NOT(ISNUMBER($E1372)),"التاريخ ناقص",IF($E1372&gt;تاريخ_الاحتساب,"تاريخ بعد تاريخ الاحتساب",IF(AND($D1372&lt;&gt;"تسليم",COUNTIFS($A$5:$A$1504,$A1372,$D$5:$D$1504,"تسليم",$E$5:$E$1504,"&lt;="&amp;$E1372)=0),"لا يوجد تسليم قبل الحركة دي",""))))))</f>
        <v/>
      </c>
    </row>
    <row r="1373" customFormat="false" ht="15" hidden="false" customHeight="false" outlineLevel="0" collapsed="false">
      <c r="A1373" s="20"/>
      <c r="B1373" s="35" t="str">
        <f aca="false">IF($A1373="","",IFERROR(INDEX(مخرج_البند,MATCH($A1373,قائمة_المخرجات,0)),""))</f>
        <v/>
      </c>
      <c r="C1373" s="30" t="str">
        <f aca="false">IF($A1373="","",IFERROR(INDEX(مخرج_الوصف,MATCH($A1373,قائمة_المخرجات,0)),""))</f>
        <v/>
      </c>
      <c r="D1373" s="20"/>
      <c r="E1373" s="31"/>
      <c r="F1373" s="22"/>
      <c r="G1373" s="36" t="str">
        <f aca="false">IF(OR($A1373="",$D1373&lt;&gt;"تسليم",NOT(ISNUMBER($E1373))),"",COUNTIFS($A$5:$A$1504,$A1373,$D$5:$D$1504,"تسليم",$E$5:$E$1504,"&lt;"&amp;$E1373)+1)</f>
        <v/>
      </c>
      <c r="H1373" s="33" t="str">
        <f aca="false">IF($G1373="","",_xlfn.MINIFS($E$5:$E$1504,$A$5:$A$1504,$A1373,$D$5:$D$1504,"&lt;&gt;تسليم",$E$5:$E$1504,"&gt;="&amp;$E1373))</f>
        <v/>
      </c>
      <c r="I1373" s="33" t="str">
        <f aca="false">IF($G1373="","",_xlfn.MINIFS($E$5:$E$1504,$A$5:$A$1504,$A1373,$D$5:$D$1504,"تسليم",$E$5:$E$1504,"&gt;"&amp;$E1373))</f>
        <v/>
      </c>
      <c r="J1373" s="33" t="str">
        <f aca="false">IF($G1373="","",IF(H1373&gt;0,IF(I1373&gt;0,MIN(H1373,I1373),H1373),IF(I1373&gt;0,I1373,تاريخ_الاحتساب)))</f>
        <v/>
      </c>
      <c r="K1373" s="34" t="str">
        <f aca="false">IF($G1373="","",IF(AND(H1373=0,I1373=0),"جارية","مغلقة"))</f>
        <v/>
      </c>
      <c r="L1373" s="26" t="str">
        <f aca="false">IF($G1373="","",MAX(0,NETWORKDAYS.INTL($E1373,J1373,رمز_العطلة,أيام_الأجازات)-1))</f>
        <v/>
      </c>
      <c r="M1373" s="26" t="str">
        <f aca="false">IF($G1373="","",MAX(0,L1373-مهلة_المراجعة))</f>
        <v/>
      </c>
      <c r="N1373" s="30" t="str">
        <f aca="false">IF($A1373="",IF(OR($D1373&lt;&gt;"",$E1373&lt;&gt;""),"رقم المخرج ناقص",""),IF(ISNA(MATCH($A1373,قائمة_المخرجات,0)),"رقم مخرج غير موجود",IF($D1373="","نوع الحركة ناقص",IF(NOT(ISNUMBER($E1373)),"التاريخ ناقص",IF($E1373&gt;تاريخ_الاحتساب,"تاريخ بعد تاريخ الاحتساب",IF(AND($D1373&lt;&gt;"تسليم",COUNTIFS($A$5:$A$1504,$A1373,$D$5:$D$1504,"تسليم",$E$5:$E$1504,"&lt;="&amp;$E1373)=0),"لا يوجد تسليم قبل الحركة دي",""))))))</f>
        <v/>
      </c>
    </row>
    <row r="1374" customFormat="false" ht="15" hidden="false" customHeight="false" outlineLevel="0" collapsed="false">
      <c r="A1374" s="20"/>
      <c r="B1374" s="35" t="str">
        <f aca="false">IF($A1374="","",IFERROR(INDEX(مخرج_البند,MATCH($A1374,قائمة_المخرجات,0)),""))</f>
        <v/>
      </c>
      <c r="C1374" s="30" t="str">
        <f aca="false">IF($A1374="","",IFERROR(INDEX(مخرج_الوصف,MATCH($A1374,قائمة_المخرجات,0)),""))</f>
        <v/>
      </c>
      <c r="D1374" s="20"/>
      <c r="E1374" s="31"/>
      <c r="F1374" s="22"/>
      <c r="G1374" s="36" t="str">
        <f aca="false">IF(OR($A1374="",$D1374&lt;&gt;"تسليم",NOT(ISNUMBER($E1374))),"",COUNTIFS($A$5:$A$1504,$A1374,$D$5:$D$1504,"تسليم",$E$5:$E$1504,"&lt;"&amp;$E1374)+1)</f>
        <v/>
      </c>
      <c r="H1374" s="33" t="str">
        <f aca="false">IF($G1374="","",_xlfn.MINIFS($E$5:$E$1504,$A$5:$A$1504,$A1374,$D$5:$D$1504,"&lt;&gt;تسليم",$E$5:$E$1504,"&gt;="&amp;$E1374))</f>
        <v/>
      </c>
      <c r="I1374" s="33" t="str">
        <f aca="false">IF($G1374="","",_xlfn.MINIFS($E$5:$E$1504,$A$5:$A$1504,$A1374,$D$5:$D$1504,"تسليم",$E$5:$E$1504,"&gt;"&amp;$E1374))</f>
        <v/>
      </c>
      <c r="J1374" s="33" t="str">
        <f aca="false">IF($G1374="","",IF(H1374&gt;0,IF(I1374&gt;0,MIN(H1374,I1374),H1374),IF(I1374&gt;0,I1374,تاريخ_الاحتساب)))</f>
        <v/>
      </c>
      <c r="K1374" s="34" t="str">
        <f aca="false">IF($G1374="","",IF(AND(H1374=0,I1374=0),"جارية","مغلقة"))</f>
        <v/>
      </c>
      <c r="L1374" s="26" t="str">
        <f aca="false">IF($G1374="","",MAX(0,NETWORKDAYS.INTL($E1374,J1374,رمز_العطلة,أيام_الأجازات)-1))</f>
        <v/>
      </c>
      <c r="M1374" s="26" t="str">
        <f aca="false">IF($G1374="","",MAX(0,L1374-مهلة_المراجعة))</f>
        <v/>
      </c>
      <c r="N1374" s="30" t="str">
        <f aca="false">IF($A1374="",IF(OR($D1374&lt;&gt;"",$E1374&lt;&gt;""),"رقم المخرج ناقص",""),IF(ISNA(MATCH($A1374,قائمة_المخرجات,0)),"رقم مخرج غير موجود",IF($D1374="","نوع الحركة ناقص",IF(NOT(ISNUMBER($E1374)),"التاريخ ناقص",IF($E1374&gt;تاريخ_الاحتساب,"تاريخ بعد تاريخ الاحتساب",IF(AND($D1374&lt;&gt;"تسليم",COUNTIFS($A$5:$A$1504,$A1374,$D$5:$D$1504,"تسليم",$E$5:$E$1504,"&lt;="&amp;$E1374)=0),"لا يوجد تسليم قبل الحركة دي",""))))))</f>
        <v/>
      </c>
    </row>
    <row r="1375" customFormat="false" ht="15" hidden="false" customHeight="false" outlineLevel="0" collapsed="false">
      <c r="A1375" s="20"/>
      <c r="B1375" s="35" t="str">
        <f aca="false">IF($A1375="","",IFERROR(INDEX(مخرج_البند,MATCH($A1375,قائمة_المخرجات,0)),""))</f>
        <v/>
      </c>
      <c r="C1375" s="30" t="str">
        <f aca="false">IF($A1375="","",IFERROR(INDEX(مخرج_الوصف,MATCH($A1375,قائمة_المخرجات,0)),""))</f>
        <v/>
      </c>
      <c r="D1375" s="20"/>
      <c r="E1375" s="31"/>
      <c r="F1375" s="22"/>
      <c r="G1375" s="36" t="str">
        <f aca="false">IF(OR($A1375="",$D1375&lt;&gt;"تسليم",NOT(ISNUMBER($E1375))),"",COUNTIFS($A$5:$A$1504,$A1375,$D$5:$D$1504,"تسليم",$E$5:$E$1504,"&lt;"&amp;$E1375)+1)</f>
        <v/>
      </c>
      <c r="H1375" s="33" t="str">
        <f aca="false">IF($G1375="","",_xlfn.MINIFS($E$5:$E$1504,$A$5:$A$1504,$A1375,$D$5:$D$1504,"&lt;&gt;تسليم",$E$5:$E$1504,"&gt;="&amp;$E1375))</f>
        <v/>
      </c>
      <c r="I1375" s="33" t="str">
        <f aca="false">IF($G1375="","",_xlfn.MINIFS($E$5:$E$1504,$A$5:$A$1504,$A1375,$D$5:$D$1504,"تسليم",$E$5:$E$1504,"&gt;"&amp;$E1375))</f>
        <v/>
      </c>
      <c r="J1375" s="33" t="str">
        <f aca="false">IF($G1375="","",IF(H1375&gt;0,IF(I1375&gt;0,MIN(H1375,I1375),H1375),IF(I1375&gt;0,I1375,تاريخ_الاحتساب)))</f>
        <v/>
      </c>
      <c r="K1375" s="34" t="str">
        <f aca="false">IF($G1375="","",IF(AND(H1375=0,I1375=0),"جارية","مغلقة"))</f>
        <v/>
      </c>
      <c r="L1375" s="26" t="str">
        <f aca="false">IF($G1375="","",MAX(0,NETWORKDAYS.INTL($E1375,J1375,رمز_العطلة,أيام_الأجازات)-1))</f>
        <v/>
      </c>
      <c r="M1375" s="26" t="str">
        <f aca="false">IF($G1375="","",MAX(0,L1375-مهلة_المراجعة))</f>
        <v/>
      </c>
      <c r="N1375" s="30" t="str">
        <f aca="false">IF($A1375="",IF(OR($D1375&lt;&gt;"",$E1375&lt;&gt;""),"رقم المخرج ناقص",""),IF(ISNA(MATCH($A1375,قائمة_المخرجات,0)),"رقم مخرج غير موجود",IF($D1375="","نوع الحركة ناقص",IF(NOT(ISNUMBER($E1375)),"التاريخ ناقص",IF($E1375&gt;تاريخ_الاحتساب,"تاريخ بعد تاريخ الاحتساب",IF(AND($D1375&lt;&gt;"تسليم",COUNTIFS($A$5:$A$1504,$A1375,$D$5:$D$1504,"تسليم",$E$5:$E$1504,"&lt;="&amp;$E1375)=0),"لا يوجد تسليم قبل الحركة دي",""))))))</f>
        <v/>
      </c>
    </row>
    <row r="1376" customFormat="false" ht="15" hidden="false" customHeight="false" outlineLevel="0" collapsed="false">
      <c r="A1376" s="20"/>
      <c r="B1376" s="35" t="str">
        <f aca="false">IF($A1376="","",IFERROR(INDEX(مخرج_البند,MATCH($A1376,قائمة_المخرجات,0)),""))</f>
        <v/>
      </c>
      <c r="C1376" s="30" t="str">
        <f aca="false">IF($A1376="","",IFERROR(INDEX(مخرج_الوصف,MATCH($A1376,قائمة_المخرجات,0)),""))</f>
        <v/>
      </c>
      <c r="D1376" s="20"/>
      <c r="E1376" s="31"/>
      <c r="F1376" s="22"/>
      <c r="G1376" s="36" t="str">
        <f aca="false">IF(OR($A1376="",$D1376&lt;&gt;"تسليم",NOT(ISNUMBER($E1376))),"",COUNTIFS($A$5:$A$1504,$A1376,$D$5:$D$1504,"تسليم",$E$5:$E$1504,"&lt;"&amp;$E1376)+1)</f>
        <v/>
      </c>
      <c r="H1376" s="33" t="str">
        <f aca="false">IF($G1376="","",_xlfn.MINIFS($E$5:$E$1504,$A$5:$A$1504,$A1376,$D$5:$D$1504,"&lt;&gt;تسليم",$E$5:$E$1504,"&gt;="&amp;$E1376))</f>
        <v/>
      </c>
      <c r="I1376" s="33" t="str">
        <f aca="false">IF($G1376="","",_xlfn.MINIFS($E$5:$E$1504,$A$5:$A$1504,$A1376,$D$5:$D$1504,"تسليم",$E$5:$E$1504,"&gt;"&amp;$E1376))</f>
        <v/>
      </c>
      <c r="J1376" s="33" t="str">
        <f aca="false">IF($G1376="","",IF(H1376&gt;0,IF(I1376&gt;0,MIN(H1376,I1376),H1376),IF(I1376&gt;0,I1376,تاريخ_الاحتساب)))</f>
        <v/>
      </c>
      <c r="K1376" s="34" t="str">
        <f aca="false">IF($G1376="","",IF(AND(H1376=0,I1376=0),"جارية","مغلقة"))</f>
        <v/>
      </c>
      <c r="L1376" s="26" t="str">
        <f aca="false">IF($G1376="","",MAX(0,NETWORKDAYS.INTL($E1376,J1376,رمز_العطلة,أيام_الأجازات)-1))</f>
        <v/>
      </c>
      <c r="M1376" s="26" t="str">
        <f aca="false">IF($G1376="","",MAX(0,L1376-مهلة_المراجعة))</f>
        <v/>
      </c>
      <c r="N1376" s="30" t="str">
        <f aca="false">IF($A1376="",IF(OR($D1376&lt;&gt;"",$E1376&lt;&gt;""),"رقم المخرج ناقص",""),IF(ISNA(MATCH($A1376,قائمة_المخرجات,0)),"رقم مخرج غير موجود",IF($D1376="","نوع الحركة ناقص",IF(NOT(ISNUMBER($E1376)),"التاريخ ناقص",IF($E1376&gt;تاريخ_الاحتساب,"تاريخ بعد تاريخ الاحتساب",IF(AND($D1376&lt;&gt;"تسليم",COUNTIFS($A$5:$A$1504,$A1376,$D$5:$D$1504,"تسليم",$E$5:$E$1504,"&lt;="&amp;$E1376)=0),"لا يوجد تسليم قبل الحركة دي",""))))))</f>
        <v/>
      </c>
    </row>
    <row r="1377" customFormat="false" ht="15" hidden="false" customHeight="false" outlineLevel="0" collapsed="false">
      <c r="A1377" s="20"/>
      <c r="B1377" s="35" t="str">
        <f aca="false">IF($A1377="","",IFERROR(INDEX(مخرج_البند,MATCH($A1377,قائمة_المخرجات,0)),""))</f>
        <v/>
      </c>
      <c r="C1377" s="30" t="str">
        <f aca="false">IF($A1377="","",IFERROR(INDEX(مخرج_الوصف,MATCH($A1377,قائمة_المخرجات,0)),""))</f>
        <v/>
      </c>
      <c r="D1377" s="20"/>
      <c r="E1377" s="31"/>
      <c r="F1377" s="22"/>
      <c r="G1377" s="36" t="str">
        <f aca="false">IF(OR($A1377="",$D1377&lt;&gt;"تسليم",NOT(ISNUMBER($E1377))),"",COUNTIFS($A$5:$A$1504,$A1377,$D$5:$D$1504,"تسليم",$E$5:$E$1504,"&lt;"&amp;$E1377)+1)</f>
        <v/>
      </c>
      <c r="H1377" s="33" t="str">
        <f aca="false">IF($G1377="","",_xlfn.MINIFS($E$5:$E$1504,$A$5:$A$1504,$A1377,$D$5:$D$1504,"&lt;&gt;تسليم",$E$5:$E$1504,"&gt;="&amp;$E1377))</f>
        <v/>
      </c>
      <c r="I1377" s="33" t="str">
        <f aca="false">IF($G1377="","",_xlfn.MINIFS($E$5:$E$1504,$A$5:$A$1504,$A1377,$D$5:$D$1504,"تسليم",$E$5:$E$1504,"&gt;"&amp;$E1377))</f>
        <v/>
      </c>
      <c r="J1377" s="33" t="str">
        <f aca="false">IF($G1377="","",IF(H1377&gt;0,IF(I1377&gt;0,MIN(H1377,I1377),H1377),IF(I1377&gt;0,I1377,تاريخ_الاحتساب)))</f>
        <v/>
      </c>
      <c r="K1377" s="34" t="str">
        <f aca="false">IF($G1377="","",IF(AND(H1377=0,I1377=0),"جارية","مغلقة"))</f>
        <v/>
      </c>
      <c r="L1377" s="26" t="str">
        <f aca="false">IF($G1377="","",MAX(0,NETWORKDAYS.INTL($E1377,J1377,رمز_العطلة,أيام_الأجازات)-1))</f>
        <v/>
      </c>
      <c r="M1377" s="26" t="str">
        <f aca="false">IF($G1377="","",MAX(0,L1377-مهلة_المراجعة))</f>
        <v/>
      </c>
      <c r="N1377" s="30" t="str">
        <f aca="false">IF($A1377="",IF(OR($D1377&lt;&gt;"",$E1377&lt;&gt;""),"رقم المخرج ناقص",""),IF(ISNA(MATCH($A1377,قائمة_المخرجات,0)),"رقم مخرج غير موجود",IF($D1377="","نوع الحركة ناقص",IF(NOT(ISNUMBER($E1377)),"التاريخ ناقص",IF($E1377&gt;تاريخ_الاحتساب,"تاريخ بعد تاريخ الاحتساب",IF(AND($D1377&lt;&gt;"تسليم",COUNTIFS($A$5:$A$1504,$A1377,$D$5:$D$1504,"تسليم",$E$5:$E$1504,"&lt;="&amp;$E1377)=0),"لا يوجد تسليم قبل الحركة دي",""))))))</f>
        <v/>
      </c>
    </row>
    <row r="1378" customFormat="false" ht="15" hidden="false" customHeight="false" outlineLevel="0" collapsed="false">
      <c r="A1378" s="20"/>
      <c r="B1378" s="35" t="str">
        <f aca="false">IF($A1378="","",IFERROR(INDEX(مخرج_البند,MATCH($A1378,قائمة_المخرجات,0)),""))</f>
        <v/>
      </c>
      <c r="C1378" s="30" t="str">
        <f aca="false">IF($A1378="","",IFERROR(INDEX(مخرج_الوصف,MATCH($A1378,قائمة_المخرجات,0)),""))</f>
        <v/>
      </c>
      <c r="D1378" s="20"/>
      <c r="E1378" s="31"/>
      <c r="F1378" s="22"/>
      <c r="G1378" s="36" t="str">
        <f aca="false">IF(OR($A1378="",$D1378&lt;&gt;"تسليم",NOT(ISNUMBER($E1378))),"",COUNTIFS($A$5:$A$1504,$A1378,$D$5:$D$1504,"تسليم",$E$5:$E$1504,"&lt;"&amp;$E1378)+1)</f>
        <v/>
      </c>
      <c r="H1378" s="33" t="str">
        <f aca="false">IF($G1378="","",_xlfn.MINIFS($E$5:$E$1504,$A$5:$A$1504,$A1378,$D$5:$D$1504,"&lt;&gt;تسليم",$E$5:$E$1504,"&gt;="&amp;$E1378))</f>
        <v/>
      </c>
      <c r="I1378" s="33" t="str">
        <f aca="false">IF($G1378="","",_xlfn.MINIFS($E$5:$E$1504,$A$5:$A$1504,$A1378,$D$5:$D$1504,"تسليم",$E$5:$E$1504,"&gt;"&amp;$E1378))</f>
        <v/>
      </c>
      <c r="J1378" s="33" t="str">
        <f aca="false">IF($G1378="","",IF(H1378&gt;0,IF(I1378&gt;0,MIN(H1378,I1378),H1378),IF(I1378&gt;0,I1378,تاريخ_الاحتساب)))</f>
        <v/>
      </c>
      <c r="K1378" s="34" t="str">
        <f aca="false">IF($G1378="","",IF(AND(H1378=0,I1378=0),"جارية","مغلقة"))</f>
        <v/>
      </c>
      <c r="L1378" s="26" t="str">
        <f aca="false">IF($G1378="","",MAX(0,NETWORKDAYS.INTL($E1378,J1378,رمز_العطلة,أيام_الأجازات)-1))</f>
        <v/>
      </c>
      <c r="M1378" s="26" t="str">
        <f aca="false">IF($G1378="","",MAX(0,L1378-مهلة_المراجعة))</f>
        <v/>
      </c>
      <c r="N1378" s="30" t="str">
        <f aca="false">IF($A1378="",IF(OR($D1378&lt;&gt;"",$E1378&lt;&gt;""),"رقم المخرج ناقص",""),IF(ISNA(MATCH($A1378,قائمة_المخرجات,0)),"رقم مخرج غير موجود",IF($D1378="","نوع الحركة ناقص",IF(NOT(ISNUMBER($E1378)),"التاريخ ناقص",IF($E1378&gt;تاريخ_الاحتساب,"تاريخ بعد تاريخ الاحتساب",IF(AND($D1378&lt;&gt;"تسليم",COUNTIFS($A$5:$A$1504,$A1378,$D$5:$D$1504,"تسليم",$E$5:$E$1504,"&lt;="&amp;$E1378)=0),"لا يوجد تسليم قبل الحركة دي",""))))))</f>
        <v/>
      </c>
    </row>
    <row r="1379" customFormat="false" ht="15" hidden="false" customHeight="false" outlineLevel="0" collapsed="false">
      <c r="A1379" s="20"/>
      <c r="B1379" s="35" t="str">
        <f aca="false">IF($A1379="","",IFERROR(INDEX(مخرج_البند,MATCH($A1379,قائمة_المخرجات,0)),""))</f>
        <v/>
      </c>
      <c r="C1379" s="30" t="str">
        <f aca="false">IF($A1379="","",IFERROR(INDEX(مخرج_الوصف,MATCH($A1379,قائمة_المخرجات,0)),""))</f>
        <v/>
      </c>
      <c r="D1379" s="20"/>
      <c r="E1379" s="31"/>
      <c r="F1379" s="22"/>
      <c r="G1379" s="36" t="str">
        <f aca="false">IF(OR($A1379="",$D1379&lt;&gt;"تسليم",NOT(ISNUMBER($E1379))),"",COUNTIFS($A$5:$A$1504,$A1379,$D$5:$D$1504,"تسليم",$E$5:$E$1504,"&lt;"&amp;$E1379)+1)</f>
        <v/>
      </c>
      <c r="H1379" s="33" t="str">
        <f aca="false">IF($G1379="","",_xlfn.MINIFS($E$5:$E$1504,$A$5:$A$1504,$A1379,$D$5:$D$1504,"&lt;&gt;تسليم",$E$5:$E$1504,"&gt;="&amp;$E1379))</f>
        <v/>
      </c>
      <c r="I1379" s="33" t="str">
        <f aca="false">IF($G1379="","",_xlfn.MINIFS($E$5:$E$1504,$A$5:$A$1504,$A1379,$D$5:$D$1504,"تسليم",$E$5:$E$1504,"&gt;"&amp;$E1379))</f>
        <v/>
      </c>
      <c r="J1379" s="33" t="str">
        <f aca="false">IF($G1379="","",IF(H1379&gt;0,IF(I1379&gt;0,MIN(H1379,I1379),H1379),IF(I1379&gt;0,I1379,تاريخ_الاحتساب)))</f>
        <v/>
      </c>
      <c r="K1379" s="34" t="str">
        <f aca="false">IF($G1379="","",IF(AND(H1379=0,I1379=0),"جارية","مغلقة"))</f>
        <v/>
      </c>
      <c r="L1379" s="26" t="str">
        <f aca="false">IF($G1379="","",MAX(0,NETWORKDAYS.INTL($E1379,J1379,رمز_العطلة,أيام_الأجازات)-1))</f>
        <v/>
      </c>
      <c r="M1379" s="26" t="str">
        <f aca="false">IF($G1379="","",MAX(0,L1379-مهلة_المراجعة))</f>
        <v/>
      </c>
      <c r="N1379" s="30" t="str">
        <f aca="false">IF($A1379="",IF(OR($D1379&lt;&gt;"",$E1379&lt;&gt;""),"رقم المخرج ناقص",""),IF(ISNA(MATCH($A1379,قائمة_المخرجات,0)),"رقم مخرج غير موجود",IF($D1379="","نوع الحركة ناقص",IF(NOT(ISNUMBER($E1379)),"التاريخ ناقص",IF($E1379&gt;تاريخ_الاحتساب,"تاريخ بعد تاريخ الاحتساب",IF(AND($D1379&lt;&gt;"تسليم",COUNTIFS($A$5:$A$1504,$A1379,$D$5:$D$1504,"تسليم",$E$5:$E$1504,"&lt;="&amp;$E1379)=0),"لا يوجد تسليم قبل الحركة دي",""))))))</f>
        <v/>
      </c>
    </row>
    <row r="1380" customFormat="false" ht="15" hidden="false" customHeight="false" outlineLevel="0" collapsed="false">
      <c r="A1380" s="20"/>
      <c r="B1380" s="35" t="str">
        <f aca="false">IF($A1380="","",IFERROR(INDEX(مخرج_البند,MATCH($A1380,قائمة_المخرجات,0)),""))</f>
        <v/>
      </c>
      <c r="C1380" s="30" t="str">
        <f aca="false">IF($A1380="","",IFERROR(INDEX(مخرج_الوصف,MATCH($A1380,قائمة_المخرجات,0)),""))</f>
        <v/>
      </c>
      <c r="D1380" s="20"/>
      <c r="E1380" s="31"/>
      <c r="F1380" s="22"/>
      <c r="G1380" s="36" t="str">
        <f aca="false">IF(OR($A1380="",$D1380&lt;&gt;"تسليم",NOT(ISNUMBER($E1380))),"",COUNTIFS($A$5:$A$1504,$A1380,$D$5:$D$1504,"تسليم",$E$5:$E$1504,"&lt;"&amp;$E1380)+1)</f>
        <v/>
      </c>
      <c r="H1380" s="33" t="str">
        <f aca="false">IF($G1380="","",_xlfn.MINIFS($E$5:$E$1504,$A$5:$A$1504,$A1380,$D$5:$D$1504,"&lt;&gt;تسليم",$E$5:$E$1504,"&gt;="&amp;$E1380))</f>
        <v/>
      </c>
      <c r="I1380" s="33" t="str">
        <f aca="false">IF($G1380="","",_xlfn.MINIFS($E$5:$E$1504,$A$5:$A$1504,$A1380,$D$5:$D$1504,"تسليم",$E$5:$E$1504,"&gt;"&amp;$E1380))</f>
        <v/>
      </c>
      <c r="J1380" s="33" t="str">
        <f aca="false">IF($G1380="","",IF(H1380&gt;0,IF(I1380&gt;0,MIN(H1380,I1380),H1380),IF(I1380&gt;0,I1380,تاريخ_الاحتساب)))</f>
        <v/>
      </c>
      <c r="K1380" s="34" t="str">
        <f aca="false">IF($G1380="","",IF(AND(H1380=0,I1380=0),"جارية","مغلقة"))</f>
        <v/>
      </c>
      <c r="L1380" s="26" t="str">
        <f aca="false">IF($G1380="","",MAX(0,NETWORKDAYS.INTL($E1380,J1380,رمز_العطلة,أيام_الأجازات)-1))</f>
        <v/>
      </c>
      <c r="M1380" s="26" t="str">
        <f aca="false">IF($G1380="","",MAX(0,L1380-مهلة_المراجعة))</f>
        <v/>
      </c>
      <c r="N1380" s="30" t="str">
        <f aca="false">IF($A1380="",IF(OR($D1380&lt;&gt;"",$E1380&lt;&gt;""),"رقم المخرج ناقص",""),IF(ISNA(MATCH($A1380,قائمة_المخرجات,0)),"رقم مخرج غير موجود",IF($D1380="","نوع الحركة ناقص",IF(NOT(ISNUMBER($E1380)),"التاريخ ناقص",IF($E1380&gt;تاريخ_الاحتساب,"تاريخ بعد تاريخ الاحتساب",IF(AND($D1380&lt;&gt;"تسليم",COUNTIFS($A$5:$A$1504,$A1380,$D$5:$D$1504,"تسليم",$E$5:$E$1504,"&lt;="&amp;$E1380)=0),"لا يوجد تسليم قبل الحركة دي",""))))))</f>
        <v/>
      </c>
    </row>
    <row r="1381" customFormat="false" ht="15" hidden="false" customHeight="false" outlineLevel="0" collapsed="false">
      <c r="A1381" s="20"/>
      <c r="B1381" s="35" t="str">
        <f aca="false">IF($A1381="","",IFERROR(INDEX(مخرج_البند,MATCH($A1381,قائمة_المخرجات,0)),""))</f>
        <v/>
      </c>
      <c r="C1381" s="30" t="str">
        <f aca="false">IF($A1381="","",IFERROR(INDEX(مخرج_الوصف,MATCH($A1381,قائمة_المخرجات,0)),""))</f>
        <v/>
      </c>
      <c r="D1381" s="20"/>
      <c r="E1381" s="31"/>
      <c r="F1381" s="22"/>
      <c r="G1381" s="36" t="str">
        <f aca="false">IF(OR($A1381="",$D1381&lt;&gt;"تسليم",NOT(ISNUMBER($E1381))),"",COUNTIFS($A$5:$A$1504,$A1381,$D$5:$D$1504,"تسليم",$E$5:$E$1504,"&lt;"&amp;$E1381)+1)</f>
        <v/>
      </c>
      <c r="H1381" s="33" t="str">
        <f aca="false">IF($G1381="","",_xlfn.MINIFS($E$5:$E$1504,$A$5:$A$1504,$A1381,$D$5:$D$1504,"&lt;&gt;تسليم",$E$5:$E$1504,"&gt;="&amp;$E1381))</f>
        <v/>
      </c>
      <c r="I1381" s="33" t="str">
        <f aca="false">IF($G1381="","",_xlfn.MINIFS($E$5:$E$1504,$A$5:$A$1504,$A1381,$D$5:$D$1504,"تسليم",$E$5:$E$1504,"&gt;"&amp;$E1381))</f>
        <v/>
      </c>
      <c r="J1381" s="33" t="str">
        <f aca="false">IF($G1381="","",IF(H1381&gt;0,IF(I1381&gt;0,MIN(H1381,I1381),H1381),IF(I1381&gt;0,I1381,تاريخ_الاحتساب)))</f>
        <v/>
      </c>
      <c r="K1381" s="34" t="str">
        <f aca="false">IF($G1381="","",IF(AND(H1381=0,I1381=0),"جارية","مغلقة"))</f>
        <v/>
      </c>
      <c r="L1381" s="26" t="str">
        <f aca="false">IF($G1381="","",MAX(0,NETWORKDAYS.INTL($E1381,J1381,رمز_العطلة,أيام_الأجازات)-1))</f>
        <v/>
      </c>
      <c r="M1381" s="26" t="str">
        <f aca="false">IF($G1381="","",MAX(0,L1381-مهلة_المراجعة))</f>
        <v/>
      </c>
      <c r="N1381" s="30" t="str">
        <f aca="false">IF($A1381="",IF(OR($D1381&lt;&gt;"",$E1381&lt;&gt;""),"رقم المخرج ناقص",""),IF(ISNA(MATCH($A1381,قائمة_المخرجات,0)),"رقم مخرج غير موجود",IF($D1381="","نوع الحركة ناقص",IF(NOT(ISNUMBER($E1381)),"التاريخ ناقص",IF($E1381&gt;تاريخ_الاحتساب,"تاريخ بعد تاريخ الاحتساب",IF(AND($D1381&lt;&gt;"تسليم",COUNTIFS($A$5:$A$1504,$A1381,$D$5:$D$1504,"تسليم",$E$5:$E$1504,"&lt;="&amp;$E1381)=0),"لا يوجد تسليم قبل الحركة دي",""))))))</f>
        <v/>
      </c>
    </row>
    <row r="1382" customFormat="false" ht="15" hidden="false" customHeight="false" outlineLevel="0" collapsed="false">
      <c r="A1382" s="20"/>
      <c r="B1382" s="35" t="str">
        <f aca="false">IF($A1382="","",IFERROR(INDEX(مخرج_البند,MATCH($A1382,قائمة_المخرجات,0)),""))</f>
        <v/>
      </c>
      <c r="C1382" s="30" t="str">
        <f aca="false">IF($A1382="","",IFERROR(INDEX(مخرج_الوصف,MATCH($A1382,قائمة_المخرجات,0)),""))</f>
        <v/>
      </c>
      <c r="D1382" s="20"/>
      <c r="E1382" s="31"/>
      <c r="F1382" s="22"/>
      <c r="G1382" s="36" t="str">
        <f aca="false">IF(OR($A1382="",$D1382&lt;&gt;"تسليم",NOT(ISNUMBER($E1382))),"",COUNTIFS($A$5:$A$1504,$A1382,$D$5:$D$1504,"تسليم",$E$5:$E$1504,"&lt;"&amp;$E1382)+1)</f>
        <v/>
      </c>
      <c r="H1382" s="33" t="str">
        <f aca="false">IF($G1382="","",_xlfn.MINIFS($E$5:$E$1504,$A$5:$A$1504,$A1382,$D$5:$D$1504,"&lt;&gt;تسليم",$E$5:$E$1504,"&gt;="&amp;$E1382))</f>
        <v/>
      </c>
      <c r="I1382" s="33" t="str">
        <f aca="false">IF($G1382="","",_xlfn.MINIFS($E$5:$E$1504,$A$5:$A$1504,$A1382,$D$5:$D$1504,"تسليم",$E$5:$E$1504,"&gt;"&amp;$E1382))</f>
        <v/>
      </c>
      <c r="J1382" s="33" t="str">
        <f aca="false">IF($G1382="","",IF(H1382&gt;0,IF(I1382&gt;0,MIN(H1382,I1382),H1382),IF(I1382&gt;0,I1382,تاريخ_الاحتساب)))</f>
        <v/>
      </c>
      <c r="K1382" s="34" t="str">
        <f aca="false">IF($G1382="","",IF(AND(H1382=0,I1382=0),"جارية","مغلقة"))</f>
        <v/>
      </c>
      <c r="L1382" s="26" t="str">
        <f aca="false">IF($G1382="","",MAX(0,NETWORKDAYS.INTL($E1382,J1382,رمز_العطلة,أيام_الأجازات)-1))</f>
        <v/>
      </c>
      <c r="M1382" s="26" t="str">
        <f aca="false">IF($G1382="","",MAX(0,L1382-مهلة_المراجعة))</f>
        <v/>
      </c>
      <c r="N1382" s="30" t="str">
        <f aca="false">IF($A1382="",IF(OR($D1382&lt;&gt;"",$E1382&lt;&gt;""),"رقم المخرج ناقص",""),IF(ISNA(MATCH($A1382,قائمة_المخرجات,0)),"رقم مخرج غير موجود",IF($D1382="","نوع الحركة ناقص",IF(NOT(ISNUMBER($E1382)),"التاريخ ناقص",IF($E1382&gt;تاريخ_الاحتساب,"تاريخ بعد تاريخ الاحتساب",IF(AND($D1382&lt;&gt;"تسليم",COUNTIFS($A$5:$A$1504,$A1382,$D$5:$D$1504,"تسليم",$E$5:$E$1504,"&lt;="&amp;$E1382)=0),"لا يوجد تسليم قبل الحركة دي",""))))))</f>
        <v/>
      </c>
    </row>
    <row r="1383" customFormat="false" ht="15" hidden="false" customHeight="false" outlineLevel="0" collapsed="false">
      <c r="A1383" s="20"/>
      <c r="B1383" s="35" t="str">
        <f aca="false">IF($A1383="","",IFERROR(INDEX(مخرج_البند,MATCH($A1383,قائمة_المخرجات,0)),""))</f>
        <v/>
      </c>
      <c r="C1383" s="30" t="str">
        <f aca="false">IF($A1383="","",IFERROR(INDEX(مخرج_الوصف,MATCH($A1383,قائمة_المخرجات,0)),""))</f>
        <v/>
      </c>
      <c r="D1383" s="20"/>
      <c r="E1383" s="31"/>
      <c r="F1383" s="22"/>
      <c r="G1383" s="36" t="str">
        <f aca="false">IF(OR($A1383="",$D1383&lt;&gt;"تسليم",NOT(ISNUMBER($E1383))),"",COUNTIFS($A$5:$A$1504,$A1383,$D$5:$D$1504,"تسليم",$E$5:$E$1504,"&lt;"&amp;$E1383)+1)</f>
        <v/>
      </c>
      <c r="H1383" s="33" t="str">
        <f aca="false">IF($G1383="","",_xlfn.MINIFS($E$5:$E$1504,$A$5:$A$1504,$A1383,$D$5:$D$1504,"&lt;&gt;تسليم",$E$5:$E$1504,"&gt;="&amp;$E1383))</f>
        <v/>
      </c>
      <c r="I1383" s="33" t="str">
        <f aca="false">IF($G1383="","",_xlfn.MINIFS($E$5:$E$1504,$A$5:$A$1504,$A1383,$D$5:$D$1504,"تسليم",$E$5:$E$1504,"&gt;"&amp;$E1383))</f>
        <v/>
      </c>
      <c r="J1383" s="33" t="str">
        <f aca="false">IF($G1383="","",IF(H1383&gt;0,IF(I1383&gt;0,MIN(H1383,I1383),H1383),IF(I1383&gt;0,I1383,تاريخ_الاحتساب)))</f>
        <v/>
      </c>
      <c r="K1383" s="34" t="str">
        <f aca="false">IF($G1383="","",IF(AND(H1383=0,I1383=0),"جارية","مغلقة"))</f>
        <v/>
      </c>
      <c r="L1383" s="26" t="str">
        <f aca="false">IF($G1383="","",MAX(0,NETWORKDAYS.INTL($E1383,J1383,رمز_العطلة,أيام_الأجازات)-1))</f>
        <v/>
      </c>
      <c r="M1383" s="26" t="str">
        <f aca="false">IF($G1383="","",MAX(0,L1383-مهلة_المراجعة))</f>
        <v/>
      </c>
      <c r="N1383" s="30" t="str">
        <f aca="false">IF($A1383="",IF(OR($D1383&lt;&gt;"",$E1383&lt;&gt;""),"رقم المخرج ناقص",""),IF(ISNA(MATCH($A1383,قائمة_المخرجات,0)),"رقم مخرج غير موجود",IF($D1383="","نوع الحركة ناقص",IF(NOT(ISNUMBER($E1383)),"التاريخ ناقص",IF($E1383&gt;تاريخ_الاحتساب,"تاريخ بعد تاريخ الاحتساب",IF(AND($D1383&lt;&gt;"تسليم",COUNTIFS($A$5:$A$1504,$A1383,$D$5:$D$1504,"تسليم",$E$5:$E$1504,"&lt;="&amp;$E1383)=0),"لا يوجد تسليم قبل الحركة دي",""))))))</f>
        <v/>
      </c>
    </row>
    <row r="1384" customFormat="false" ht="15" hidden="false" customHeight="false" outlineLevel="0" collapsed="false">
      <c r="A1384" s="20"/>
      <c r="B1384" s="35" t="str">
        <f aca="false">IF($A1384="","",IFERROR(INDEX(مخرج_البند,MATCH($A1384,قائمة_المخرجات,0)),""))</f>
        <v/>
      </c>
      <c r="C1384" s="30" t="str">
        <f aca="false">IF($A1384="","",IFERROR(INDEX(مخرج_الوصف,MATCH($A1384,قائمة_المخرجات,0)),""))</f>
        <v/>
      </c>
      <c r="D1384" s="20"/>
      <c r="E1384" s="31"/>
      <c r="F1384" s="22"/>
      <c r="G1384" s="36" t="str">
        <f aca="false">IF(OR($A1384="",$D1384&lt;&gt;"تسليم",NOT(ISNUMBER($E1384))),"",COUNTIFS($A$5:$A$1504,$A1384,$D$5:$D$1504,"تسليم",$E$5:$E$1504,"&lt;"&amp;$E1384)+1)</f>
        <v/>
      </c>
      <c r="H1384" s="33" t="str">
        <f aca="false">IF($G1384="","",_xlfn.MINIFS($E$5:$E$1504,$A$5:$A$1504,$A1384,$D$5:$D$1504,"&lt;&gt;تسليم",$E$5:$E$1504,"&gt;="&amp;$E1384))</f>
        <v/>
      </c>
      <c r="I1384" s="33" t="str">
        <f aca="false">IF($G1384="","",_xlfn.MINIFS($E$5:$E$1504,$A$5:$A$1504,$A1384,$D$5:$D$1504,"تسليم",$E$5:$E$1504,"&gt;"&amp;$E1384))</f>
        <v/>
      </c>
      <c r="J1384" s="33" t="str">
        <f aca="false">IF($G1384="","",IF(H1384&gt;0,IF(I1384&gt;0,MIN(H1384,I1384),H1384),IF(I1384&gt;0,I1384,تاريخ_الاحتساب)))</f>
        <v/>
      </c>
      <c r="K1384" s="34" t="str">
        <f aca="false">IF($G1384="","",IF(AND(H1384=0,I1384=0),"جارية","مغلقة"))</f>
        <v/>
      </c>
      <c r="L1384" s="26" t="str">
        <f aca="false">IF($G1384="","",MAX(0,NETWORKDAYS.INTL($E1384,J1384,رمز_العطلة,أيام_الأجازات)-1))</f>
        <v/>
      </c>
      <c r="M1384" s="26" t="str">
        <f aca="false">IF($G1384="","",MAX(0,L1384-مهلة_المراجعة))</f>
        <v/>
      </c>
      <c r="N1384" s="30" t="str">
        <f aca="false">IF($A1384="",IF(OR($D1384&lt;&gt;"",$E1384&lt;&gt;""),"رقم المخرج ناقص",""),IF(ISNA(MATCH($A1384,قائمة_المخرجات,0)),"رقم مخرج غير موجود",IF($D1384="","نوع الحركة ناقص",IF(NOT(ISNUMBER($E1384)),"التاريخ ناقص",IF($E1384&gt;تاريخ_الاحتساب,"تاريخ بعد تاريخ الاحتساب",IF(AND($D1384&lt;&gt;"تسليم",COUNTIFS($A$5:$A$1504,$A1384,$D$5:$D$1504,"تسليم",$E$5:$E$1504,"&lt;="&amp;$E1384)=0),"لا يوجد تسليم قبل الحركة دي",""))))))</f>
        <v/>
      </c>
    </row>
    <row r="1385" customFormat="false" ht="15" hidden="false" customHeight="false" outlineLevel="0" collapsed="false">
      <c r="A1385" s="20"/>
      <c r="B1385" s="35" t="str">
        <f aca="false">IF($A1385="","",IFERROR(INDEX(مخرج_البند,MATCH($A1385,قائمة_المخرجات,0)),""))</f>
        <v/>
      </c>
      <c r="C1385" s="30" t="str">
        <f aca="false">IF($A1385="","",IFERROR(INDEX(مخرج_الوصف,MATCH($A1385,قائمة_المخرجات,0)),""))</f>
        <v/>
      </c>
      <c r="D1385" s="20"/>
      <c r="E1385" s="31"/>
      <c r="F1385" s="22"/>
      <c r="G1385" s="36" t="str">
        <f aca="false">IF(OR($A1385="",$D1385&lt;&gt;"تسليم",NOT(ISNUMBER($E1385))),"",COUNTIFS($A$5:$A$1504,$A1385,$D$5:$D$1504,"تسليم",$E$5:$E$1504,"&lt;"&amp;$E1385)+1)</f>
        <v/>
      </c>
      <c r="H1385" s="33" t="str">
        <f aca="false">IF($G1385="","",_xlfn.MINIFS($E$5:$E$1504,$A$5:$A$1504,$A1385,$D$5:$D$1504,"&lt;&gt;تسليم",$E$5:$E$1504,"&gt;="&amp;$E1385))</f>
        <v/>
      </c>
      <c r="I1385" s="33" t="str">
        <f aca="false">IF($G1385="","",_xlfn.MINIFS($E$5:$E$1504,$A$5:$A$1504,$A1385,$D$5:$D$1504,"تسليم",$E$5:$E$1504,"&gt;"&amp;$E1385))</f>
        <v/>
      </c>
      <c r="J1385" s="33" t="str">
        <f aca="false">IF($G1385="","",IF(H1385&gt;0,IF(I1385&gt;0,MIN(H1385,I1385),H1385),IF(I1385&gt;0,I1385,تاريخ_الاحتساب)))</f>
        <v/>
      </c>
      <c r="K1385" s="34" t="str">
        <f aca="false">IF($G1385="","",IF(AND(H1385=0,I1385=0),"جارية","مغلقة"))</f>
        <v/>
      </c>
      <c r="L1385" s="26" t="str">
        <f aca="false">IF($G1385="","",MAX(0,NETWORKDAYS.INTL($E1385,J1385,رمز_العطلة,أيام_الأجازات)-1))</f>
        <v/>
      </c>
      <c r="M1385" s="26" t="str">
        <f aca="false">IF($G1385="","",MAX(0,L1385-مهلة_المراجعة))</f>
        <v/>
      </c>
      <c r="N1385" s="30" t="str">
        <f aca="false">IF($A1385="",IF(OR($D1385&lt;&gt;"",$E1385&lt;&gt;""),"رقم المخرج ناقص",""),IF(ISNA(MATCH($A1385,قائمة_المخرجات,0)),"رقم مخرج غير موجود",IF($D1385="","نوع الحركة ناقص",IF(NOT(ISNUMBER($E1385)),"التاريخ ناقص",IF($E1385&gt;تاريخ_الاحتساب,"تاريخ بعد تاريخ الاحتساب",IF(AND($D1385&lt;&gt;"تسليم",COUNTIFS($A$5:$A$1504,$A1385,$D$5:$D$1504,"تسليم",$E$5:$E$1504,"&lt;="&amp;$E1385)=0),"لا يوجد تسليم قبل الحركة دي",""))))))</f>
        <v/>
      </c>
    </row>
    <row r="1386" customFormat="false" ht="15" hidden="false" customHeight="false" outlineLevel="0" collapsed="false">
      <c r="A1386" s="20"/>
      <c r="B1386" s="35" t="str">
        <f aca="false">IF($A1386="","",IFERROR(INDEX(مخرج_البند,MATCH($A1386,قائمة_المخرجات,0)),""))</f>
        <v/>
      </c>
      <c r="C1386" s="30" t="str">
        <f aca="false">IF($A1386="","",IFERROR(INDEX(مخرج_الوصف,MATCH($A1386,قائمة_المخرجات,0)),""))</f>
        <v/>
      </c>
      <c r="D1386" s="20"/>
      <c r="E1386" s="31"/>
      <c r="F1386" s="22"/>
      <c r="G1386" s="36" t="str">
        <f aca="false">IF(OR($A1386="",$D1386&lt;&gt;"تسليم",NOT(ISNUMBER($E1386))),"",COUNTIFS($A$5:$A$1504,$A1386,$D$5:$D$1504,"تسليم",$E$5:$E$1504,"&lt;"&amp;$E1386)+1)</f>
        <v/>
      </c>
      <c r="H1386" s="33" t="str">
        <f aca="false">IF($G1386="","",_xlfn.MINIFS($E$5:$E$1504,$A$5:$A$1504,$A1386,$D$5:$D$1504,"&lt;&gt;تسليم",$E$5:$E$1504,"&gt;="&amp;$E1386))</f>
        <v/>
      </c>
      <c r="I1386" s="33" t="str">
        <f aca="false">IF($G1386="","",_xlfn.MINIFS($E$5:$E$1504,$A$5:$A$1504,$A1386,$D$5:$D$1504,"تسليم",$E$5:$E$1504,"&gt;"&amp;$E1386))</f>
        <v/>
      </c>
      <c r="J1386" s="33" t="str">
        <f aca="false">IF($G1386="","",IF(H1386&gt;0,IF(I1386&gt;0,MIN(H1386,I1386),H1386),IF(I1386&gt;0,I1386,تاريخ_الاحتساب)))</f>
        <v/>
      </c>
      <c r="K1386" s="34" t="str">
        <f aca="false">IF($G1386="","",IF(AND(H1386=0,I1386=0),"جارية","مغلقة"))</f>
        <v/>
      </c>
      <c r="L1386" s="26" t="str">
        <f aca="false">IF($G1386="","",MAX(0,NETWORKDAYS.INTL($E1386,J1386,رمز_العطلة,أيام_الأجازات)-1))</f>
        <v/>
      </c>
      <c r="M1386" s="26" t="str">
        <f aca="false">IF($G1386="","",MAX(0,L1386-مهلة_المراجعة))</f>
        <v/>
      </c>
      <c r="N1386" s="30" t="str">
        <f aca="false">IF($A1386="",IF(OR($D1386&lt;&gt;"",$E1386&lt;&gt;""),"رقم المخرج ناقص",""),IF(ISNA(MATCH($A1386,قائمة_المخرجات,0)),"رقم مخرج غير موجود",IF($D1386="","نوع الحركة ناقص",IF(NOT(ISNUMBER($E1386)),"التاريخ ناقص",IF($E1386&gt;تاريخ_الاحتساب,"تاريخ بعد تاريخ الاحتساب",IF(AND($D1386&lt;&gt;"تسليم",COUNTIFS($A$5:$A$1504,$A1386,$D$5:$D$1504,"تسليم",$E$5:$E$1504,"&lt;="&amp;$E1386)=0),"لا يوجد تسليم قبل الحركة دي",""))))))</f>
        <v/>
      </c>
    </row>
    <row r="1387" customFormat="false" ht="15" hidden="false" customHeight="false" outlineLevel="0" collapsed="false">
      <c r="A1387" s="20"/>
      <c r="B1387" s="35" t="str">
        <f aca="false">IF($A1387="","",IFERROR(INDEX(مخرج_البند,MATCH($A1387,قائمة_المخرجات,0)),""))</f>
        <v/>
      </c>
      <c r="C1387" s="30" t="str">
        <f aca="false">IF($A1387="","",IFERROR(INDEX(مخرج_الوصف,MATCH($A1387,قائمة_المخرجات,0)),""))</f>
        <v/>
      </c>
      <c r="D1387" s="20"/>
      <c r="E1387" s="31"/>
      <c r="F1387" s="22"/>
      <c r="G1387" s="36" t="str">
        <f aca="false">IF(OR($A1387="",$D1387&lt;&gt;"تسليم",NOT(ISNUMBER($E1387))),"",COUNTIFS($A$5:$A$1504,$A1387,$D$5:$D$1504,"تسليم",$E$5:$E$1504,"&lt;"&amp;$E1387)+1)</f>
        <v/>
      </c>
      <c r="H1387" s="33" t="str">
        <f aca="false">IF($G1387="","",_xlfn.MINIFS($E$5:$E$1504,$A$5:$A$1504,$A1387,$D$5:$D$1504,"&lt;&gt;تسليم",$E$5:$E$1504,"&gt;="&amp;$E1387))</f>
        <v/>
      </c>
      <c r="I1387" s="33" t="str">
        <f aca="false">IF($G1387="","",_xlfn.MINIFS($E$5:$E$1504,$A$5:$A$1504,$A1387,$D$5:$D$1504,"تسليم",$E$5:$E$1504,"&gt;"&amp;$E1387))</f>
        <v/>
      </c>
      <c r="J1387" s="33" t="str">
        <f aca="false">IF($G1387="","",IF(H1387&gt;0,IF(I1387&gt;0,MIN(H1387,I1387),H1387),IF(I1387&gt;0,I1387,تاريخ_الاحتساب)))</f>
        <v/>
      </c>
      <c r="K1387" s="34" t="str">
        <f aca="false">IF($G1387="","",IF(AND(H1387=0,I1387=0),"جارية","مغلقة"))</f>
        <v/>
      </c>
      <c r="L1387" s="26" t="str">
        <f aca="false">IF($G1387="","",MAX(0,NETWORKDAYS.INTL($E1387,J1387,رمز_العطلة,أيام_الأجازات)-1))</f>
        <v/>
      </c>
      <c r="M1387" s="26" t="str">
        <f aca="false">IF($G1387="","",MAX(0,L1387-مهلة_المراجعة))</f>
        <v/>
      </c>
      <c r="N1387" s="30" t="str">
        <f aca="false">IF($A1387="",IF(OR($D1387&lt;&gt;"",$E1387&lt;&gt;""),"رقم المخرج ناقص",""),IF(ISNA(MATCH($A1387,قائمة_المخرجات,0)),"رقم مخرج غير موجود",IF($D1387="","نوع الحركة ناقص",IF(NOT(ISNUMBER($E1387)),"التاريخ ناقص",IF($E1387&gt;تاريخ_الاحتساب,"تاريخ بعد تاريخ الاحتساب",IF(AND($D1387&lt;&gt;"تسليم",COUNTIFS($A$5:$A$1504,$A1387,$D$5:$D$1504,"تسليم",$E$5:$E$1504,"&lt;="&amp;$E1387)=0),"لا يوجد تسليم قبل الحركة دي",""))))))</f>
        <v/>
      </c>
    </row>
    <row r="1388" customFormat="false" ht="15" hidden="false" customHeight="false" outlineLevel="0" collapsed="false">
      <c r="A1388" s="20"/>
      <c r="B1388" s="35" t="str">
        <f aca="false">IF($A1388="","",IFERROR(INDEX(مخرج_البند,MATCH($A1388,قائمة_المخرجات,0)),""))</f>
        <v/>
      </c>
      <c r="C1388" s="30" t="str">
        <f aca="false">IF($A1388="","",IFERROR(INDEX(مخرج_الوصف,MATCH($A1388,قائمة_المخرجات,0)),""))</f>
        <v/>
      </c>
      <c r="D1388" s="20"/>
      <c r="E1388" s="31"/>
      <c r="F1388" s="22"/>
      <c r="G1388" s="36" t="str">
        <f aca="false">IF(OR($A1388="",$D1388&lt;&gt;"تسليم",NOT(ISNUMBER($E1388))),"",COUNTIFS($A$5:$A$1504,$A1388,$D$5:$D$1504,"تسليم",$E$5:$E$1504,"&lt;"&amp;$E1388)+1)</f>
        <v/>
      </c>
      <c r="H1388" s="33" t="str">
        <f aca="false">IF($G1388="","",_xlfn.MINIFS($E$5:$E$1504,$A$5:$A$1504,$A1388,$D$5:$D$1504,"&lt;&gt;تسليم",$E$5:$E$1504,"&gt;="&amp;$E1388))</f>
        <v/>
      </c>
      <c r="I1388" s="33" t="str">
        <f aca="false">IF($G1388="","",_xlfn.MINIFS($E$5:$E$1504,$A$5:$A$1504,$A1388,$D$5:$D$1504,"تسليم",$E$5:$E$1504,"&gt;"&amp;$E1388))</f>
        <v/>
      </c>
      <c r="J1388" s="33" t="str">
        <f aca="false">IF($G1388="","",IF(H1388&gt;0,IF(I1388&gt;0,MIN(H1388,I1388),H1388),IF(I1388&gt;0,I1388,تاريخ_الاحتساب)))</f>
        <v/>
      </c>
      <c r="K1388" s="34" t="str">
        <f aca="false">IF($G1388="","",IF(AND(H1388=0,I1388=0),"جارية","مغلقة"))</f>
        <v/>
      </c>
      <c r="L1388" s="26" t="str">
        <f aca="false">IF($G1388="","",MAX(0,NETWORKDAYS.INTL($E1388,J1388,رمز_العطلة,أيام_الأجازات)-1))</f>
        <v/>
      </c>
      <c r="M1388" s="26" t="str">
        <f aca="false">IF($G1388="","",MAX(0,L1388-مهلة_المراجعة))</f>
        <v/>
      </c>
      <c r="N1388" s="30" t="str">
        <f aca="false">IF($A1388="",IF(OR($D1388&lt;&gt;"",$E1388&lt;&gt;""),"رقم المخرج ناقص",""),IF(ISNA(MATCH($A1388,قائمة_المخرجات,0)),"رقم مخرج غير موجود",IF($D1388="","نوع الحركة ناقص",IF(NOT(ISNUMBER($E1388)),"التاريخ ناقص",IF($E1388&gt;تاريخ_الاحتساب,"تاريخ بعد تاريخ الاحتساب",IF(AND($D1388&lt;&gt;"تسليم",COUNTIFS($A$5:$A$1504,$A1388,$D$5:$D$1504,"تسليم",$E$5:$E$1504,"&lt;="&amp;$E1388)=0),"لا يوجد تسليم قبل الحركة دي",""))))))</f>
        <v/>
      </c>
    </row>
    <row r="1389" customFormat="false" ht="15" hidden="false" customHeight="false" outlineLevel="0" collapsed="false">
      <c r="A1389" s="20"/>
      <c r="B1389" s="35" t="str">
        <f aca="false">IF($A1389="","",IFERROR(INDEX(مخرج_البند,MATCH($A1389,قائمة_المخرجات,0)),""))</f>
        <v/>
      </c>
      <c r="C1389" s="30" t="str">
        <f aca="false">IF($A1389="","",IFERROR(INDEX(مخرج_الوصف,MATCH($A1389,قائمة_المخرجات,0)),""))</f>
        <v/>
      </c>
      <c r="D1389" s="20"/>
      <c r="E1389" s="31"/>
      <c r="F1389" s="22"/>
      <c r="G1389" s="36" t="str">
        <f aca="false">IF(OR($A1389="",$D1389&lt;&gt;"تسليم",NOT(ISNUMBER($E1389))),"",COUNTIFS($A$5:$A$1504,$A1389,$D$5:$D$1504,"تسليم",$E$5:$E$1504,"&lt;"&amp;$E1389)+1)</f>
        <v/>
      </c>
      <c r="H1389" s="33" t="str">
        <f aca="false">IF($G1389="","",_xlfn.MINIFS($E$5:$E$1504,$A$5:$A$1504,$A1389,$D$5:$D$1504,"&lt;&gt;تسليم",$E$5:$E$1504,"&gt;="&amp;$E1389))</f>
        <v/>
      </c>
      <c r="I1389" s="33" t="str">
        <f aca="false">IF($G1389="","",_xlfn.MINIFS($E$5:$E$1504,$A$5:$A$1504,$A1389,$D$5:$D$1504,"تسليم",$E$5:$E$1504,"&gt;"&amp;$E1389))</f>
        <v/>
      </c>
      <c r="J1389" s="33" t="str">
        <f aca="false">IF($G1389="","",IF(H1389&gt;0,IF(I1389&gt;0,MIN(H1389,I1389),H1389),IF(I1389&gt;0,I1389,تاريخ_الاحتساب)))</f>
        <v/>
      </c>
      <c r="K1389" s="34" t="str">
        <f aca="false">IF($G1389="","",IF(AND(H1389=0,I1389=0),"جارية","مغلقة"))</f>
        <v/>
      </c>
      <c r="L1389" s="26" t="str">
        <f aca="false">IF($G1389="","",MAX(0,NETWORKDAYS.INTL($E1389,J1389,رمز_العطلة,أيام_الأجازات)-1))</f>
        <v/>
      </c>
      <c r="M1389" s="26" t="str">
        <f aca="false">IF($G1389="","",MAX(0,L1389-مهلة_المراجعة))</f>
        <v/>
      </c>
      <c r="N1389" s="30" t="str">
        <f aca="false">IF($A1389="",IF(OR($D1389&lt;&gt;"",$E1389&lt;&gt;""),"رقم المخرج ناقص",""),IF(ISNA(MATCH($A1389,قائمة_المخرجات,0)),"رقم مخرج غير موجود",IF($D1389="","نوع الحركة ناقص",IF(NOT(ISNUMBER($E1389)),"التاريخ ناقص",IF($E1389&gt;تاريخ_الاحتساب,"تاريخ بعد تاريخ الاحتساب",IF(AND($D1389&lt;&gt;"تسليم",COUNTIFS($A$5:$A$1504,$A1389,$D$5:$D$1504,"تسليم",$E$5:$E$1504,"&lt;="&amp;$E1389)=0),"لا يوجد تسليم قبل الحركة دي",""))))))</f>
        <v/>
      </c>
    </row>
    <row r="1390" customFormat="false" ht="15" hidden="false" customHeight="false" outlineLevel="0" collapsed="false">
      <c r="A1390" s="20"/>
      <c r="B1390" s="35" t="str">
        <f aca="false">IF($A1390="","",IFERROR(INDEX(مخرج_البند,MATCH($A1390,قائمة_المخرجات,0)),""))</f>
        <v/>
      </c>
      <c r="C1390" s="30" t="str">
        <f aca="false">IF($A1390="","",IFERROR(INDEX(مخرج_الوصف,MATCH($A1390,قائمة_المخرجات,0)),""))</f>
        <v/>
      </c>
      <c r="D1390" s="20"/>
      <c r="E1390" s="31"/>
      <c r="F1390" s="22"/>
      <c r="G1390" s="36" t="str">
        <f aca="false">IF(OR($A1390="",$D1390&lt;&gt;"تسليم",NOT(ISNUMBER($E1390))),"",COUNTIFS($A$5:$A$1504,$A1390,$D$5:$D$1504,"تسليم",$E$5:$E$1504,"&lt;"&amp;$E1390)+1)</f>
        <v/>
      </c>
      <c r="H1390" s="33" t="str">
        <f aca="false">IF($G1390="","",_xlfn.MINIFS($E$5:$E$1504,$A$5:$A$1504,$A1390,$D$5:$D$1504,"&lt;&gt;تسليم",$E$5:$E$1504,"&gt;="&amp;$E1390))</f>
        <v/>
      </c>
      <c r="I1390" s="33" t="str">
        <f aca="false">IF($G1390="","",_xlfn.MINIFS($E$5:$E$1504,$A$5:$A$1504,$A1390,$D$5:$D$1504,"تسليم",$E$5:$E$1504,"&gt;"&amp;$E1390))</f>
        <v/>
      </c>
      <c r="J1390" s="33" t="str">
        <f aca="false">IF($G1390="","",IF(H1390&gt;0,IF(I1390&gt;0,MIN(H1390,I1390),H1390),IF(I1390&gt;0,I1390,تاريخ_الاحتساب)))</f>
        <v/>
      </c>
      <c r="K1390" s="34" t="str">
        <f aca="false">IF($G1390="","",IF(AND(H1390=0,I1390=0),"جارية","مغلقة"))</f>
        <v/>
      </c>
      <c r="L1390" s="26" t="str">
        <f aca="false">IF($G1390="","",MAX(0,NETWORKDAYS.INTL($E1390,J1390,رمز_العطلة,أيام_الأجازات)-1))</f>
        <v/>
      </c>
      <c r="M1390" s="26" t="str">
        <f aca="false">IF($G1390="","",MAX(0,L1390-مهلة_المراجعة))</f>
        <v/>
      </c>
      <c r="N1390" s="30" t="str">
        <f aca="false">IF($A1390="",IF(OR($D1390&lt;&gt;"",$E1390&lt;&gt;""),"رقم المخرج ناقص",""),IF(ISNA(MATCH($A1390,قائمة_المخرجات,0)),"رقم مخرج غير موجود",IF($D1390="","نوع الحركة ناقص",IF(NOT(ISNUMBER($E1390)),"التاريخ ناقص",IF($E1390&gt;تاريخ_الاحتساب,"تاريخ بعد تاريخ الاحتساب",IF(AND($D1390&lt;&gt;"تسليم",COUNTIFS($A$5:$A$1504,$A1390,$D$5:$D$1504,"تسليم",$E$5:$E$1504,"&lt;="&amp;$E1390)=0),"لا يوجد تسليم قبل الحركة دي",""))))))</f>
        <v/>
      </c>
    </row>
    <row r="1391" customFormat="false" ht="15" hidden="false" customHeight="false" outlineLevel="0" collapsed="false">
      <c r="A1391" s="20"/>
      <c r="B1391" s="35" t="str">
        <f aca="false">IF($A1391="","",IFERROR(INDEX(مخرج_البند,MATCH($A1391,قائمة_المخرجات,0)),""))</f>
        <v/>
      </c>
      <c r="C1391" s="30" t="str">
        <f aca="false">IF($A1391="","",IFERROR(INDEX(مخرج_الوصف,MATCH($A1391,قائمة_المخرجات,0)),""))</f>
        <v/>
      </c>
      <c r="D1391" s="20"/>
      <c r="E1391" s="31"/>
      <c r="F1391" s="22"/>
      <c r="G1391" s="36" t="str">
        <f aca="false">IF(OR($A1391="",$D1391&lt;&gt;"تسليم",NOT(ISNUMBER($E1391))),"",COUNTIFS($A$5:$A$1504,$A1391,$D$5:$D$1504,"تسليم",$E$5:$E$1504,"&lt;"&amp;$E1391)+1)</f>
        <v/>
      </c>
      <c r="H1391" s="33" t="str">
        <f aca="false">IF($G1391="","",_xlfn.MINIFS($E$5:$E$1504,$A$5:$A$1504,$A1391,$D$5:$D$1504,"&lt;&gt;تسليم",$E$5:$E$1504,"&gt;="&amp;$E1391))</f>
        <v/>
      </c>
      <c r="I1391" s="33" t="str">
        <f aca="false">IF($G1391="","",_xlfn.MINIFS($E$5:$E$1504,$A$5:$A$1504,$A1391,$D$5:$D$1504,"تسليم",$E$5:$E$1504,"&gt;"&amp;$E1391))</f>
        <v/>
      </c>
      <c r="J1391" s="33" t="str">
        <f aca="false">IF($G1391="","",IF(H1391&gt;0,IF(I1391&gt;0,MIN(H1391,I1391),H1391),IF(I1391&gt;0,I1391,تاريخ_الاحتساب)))</f>
        <v/>
      </c>
      <c r="K1391" s="34" t="str">
        <f aca="false">IF($G1391="","",IF(AND(H1391=0,I1391=0),"جارية","مغلقة"))</f>
        <v/>
      </c>
      <c r="L1391" s="26" t="str">
        <f aca="false">IF($G1391="","",MAX(0,NETWORKDAYS.INTL($E1391,J1391,رمز_العطلة,أيام_الأجازات)-1))</f>
        <v/>
      </c>
      <c r="M1391" s="26" t="str">
        <f aca="false">IF($G1391="","",MAX(0,L1391-مهلة_المراجعة))</f>
        <v/>
      </c>
      <c r="N1391" s="30" t="str">
        <f aca="false">IF($A1391="",IF(OR($D1391&lt;&gt;"",$E1391&lt;&gt;""),"رقم المخرج ناقص",""),IF(ISNA(MATCH($A1391,قائمة_المخرجات,0)),"رقم مخرج غير موجود",IF($D1391="","نوع الحركة ناقص",IF(NOT(ISNUMBER($E1391)),"التاريخ ناقص",IF($E1391&gt;تاريخ_الاحتساب,"تاريخ بعد تاريخ الاحتساب",IF(AND($D1391&lt;&gt;"تسليم",COUNTIFS($A$5:$A$1504,$A1391,$D$5:$D$1504,"تسليم",$E$5:$E$1504,"&lt;="&amp;$E1391)=0),"لا يوجد تسليم قبل الحركة دي",""))))))</f>
        <v/>
      </c>
    </row>
    <row r="1392" customFormat="false" ht="15" hidden="false" customHeight="false" outlineLevel="0" collapsed="false">
      <c r="A1392" s="20"/>
      <c r="B1392" s="35" t="str">
        <f aca="false">IF($A1392="","",IFERROR(INDEX(مخرج_البند,MATCH($A1392,قائمة_المخرجات,0)),""))</f>
        <v/>
      </c>
      <c r="C1392" s="30" t="str">
        <f aca="false">IF($A1392="","",IFERROR(INDEX(مخرج_الوصف,MATCH($A1392,قائمة_المخرجات,0)),""))</f>
        <v/>
      </c>
      <c r="D1392" s="20"/>
      <c r="E1392" s="31"/>
      <c r="F1392" s="22"/>
      <c r="G1392" s="36" t="str">
        <f aca="false">IF(OR($A1392="",$D1392&lt;&gt;"تسليم",NOT(ISNUMBER($E1392))),"",COUNTIFS($A$5:$A$1504,$A1392,$D$5:$D$1504,"تسليم",$E$5:$E$1504,"&lt;"&amp;$E1392)+1)</f>
        <v/>
      </c>
      <c r="H1392" s="33" t="str">
        <f aca="false">IF($G1392="","",_xlfn.MINIFS($E$5:$E$1504,$A$5:$A$1504,$A1392,$D$5:$D$1504,"&lt;&gt;تسليم",$E$5:$E$1504,"&gt;="&amp;$E1392))</f>
        <v/>
      </c>
      <c r="I1392" s="33" t="str">
        <f aca="false">IF($G1392="","",_xlfn.MINIFS($E$5:$E$1504,$A$5:$A$1504,$A1392,$D$5:$D$1504,"تسليم",$E$5:$E$1504,"&gt;"&amp;$E1392))</f>
        <v/>
      </c>
      <c r="J1392" s="33" t="str">
        <f aca="false">IF($G1392="","",IF(H1392&gt;0,IF(I1392&gt;0,MIN(H1392,I1392),H1392),IF(I1392&gt;0,I1392,تاريخ_الاحتساب)))</f>
        <v/>
      </c>
      <c r="K1392" s="34" t="str">
        <f aca="false">IF($G1392="","",IF(AND(H1392=0,I1392=0),"جارية","مغلقة"))</f>
        <v/>
      </c>
      <c r="L1392" s="26" t="str">
        <f aca="false">IF($G1392="","",MAX(0,NETWORKDAYS.INTL($E1392,J1392,رمز_العطلة,أيام_الأجازات)-1))</f>
        <v/>
      </c>
      <c r="M1392" s="26" t="str">
        <f aca="false">IF($G1392="","",MAX(0,L1392-مهلة_المراجعة))</f>
        <v/>
      </c>
      <c r="N1392" s="30" t="str">
        <f aca="false">IF($A1392="",IF(OR($D1392&lt;&gt;"",$E1392&lt;&gt;""),"رقم المخرج ناقص",""),IF(ISNA(MATCH($A1392,قائمة_المخرجات,0)),"رقم مخرج غير موجود",IF($D1392="","نوع الحركة ناقص",IF(NOT(ISNUMBER($E1392)),"التاريخ ناقص",IF($E1392&gt;تاريخ_الاحتساب,"تاريخ بعد تاريخ الاحتساب",IF(AND($D1392&lt;&gt;"تسليم",COUNTIFS($A$5:$A$1504,$A1392,$D$5:$D$1504,"تسليم",$E$5:$E$1504,"&lt;="&amp;$E1392)=0),"لا يوجد تسليم قبل الحركة دي",""))))))</f>
        <v/>
      </c>
    </row>
    <row r="1393" customFormat="false" ht="15" hidden="false" customHeight="false" outlineLevel="0" collapsed="false">
      <c r="A1393" s="20"/>
      <c r="B1393" s="35" t="str">
        <f aca="false">IF($A1393="","",IFERROR(INDEX(مخرج_البند,MATCH($A1393,قائمة_المخرجات,0)),""))</f>
        <v/>
      </c>
      <c r="C1393" s="30" t="str">
        <f aca="false">IF($A1393="","",IFERROR(INDEX(مخرج_الوصف,MATCH($A1393,قائمة_المخرجات,0)),""))</f>
        <v/>
      </c>
      <c r="D1393" s="20"/>
      <c r="E1393" s="31"/>
      <c r="F1393" s="22"/>
      <c r="G1393" s="36" t="str">
        <f aca="false">IF(OR($A1393="",$D1393&lt;&gt;"تسليم",NOT(ISNUMBER($E1393))),"",COUNTIFS($A$5:$A$1504,$A1393,$D$5:$D$1504,"تسليم",$E$5:$E$1504,"&lt;"&amp;$E1393)+1)</f>
        <v/>
      </c>
      <c r="H1393" s="33" t="str">
        <f aca="false">IF($G1393="","",_xlfn.MINIFS($E$5:$E$1504,$A$5:$A$1504,$A1393,$D$5:$D$1504,"&lt;&gt;تسليم",$E$5:$E$1504,"&gt;="&amp;$E1393))</f>
        <v/>
      </c>
      <c r="I1393" s="33" t="str">
        <f aca="false">IF($G1393="","",_xlfn.MINIFS($E$5:$E$1504,$A$5:$A$1504,$A1393,$D$5:$D$1504,"تسليم",$E$5:$E$1504,"&gt;"&amp;$E1393))</f>
        <v/>
      </c>
      <c r="J1393" s="33" t="str">
        <f aca="false">IF($G1393="","",IF(H1393&gt;0,IF(I1393&gt;0,MIN(H1393,I1393),H1393),IF(I1393&gt;0,I1393,تاريخ_الاحتساب)))</f>
        <v/>
      </c>
      <c r="K1393" s="34" t="str">
        <f aca="false">IF($G1393="","",IF(AND(H1393=0,I1393=0),"جارية","مغلقة"))</f>
        <v/>
      </c>
      <c r="L1393" s="26" t="str">
        <f aca="false">IF($G1393="","",MAX(0,NETWORKDAYS.INTL($E1393,J1393,رمز_العطلة,أيام_الأجازات)-1))</f>
        <v/>
      </c>
      <c r="M1393" s="26" t="str">
        <f aca="false">IF($G1393="","",MAX(0,L1393-مهلة_المراجعة))</f>
        <v/>
      </c>
      <c r="N1393" s="30" t="str">
        <f aca="false">IF($A1393="",IF(OR($D1393&lt;&gt;"",$E1393&lt;&gt;""),"رقم المخرج ناقص",""),IF(ISNA(MATCH($A1393,قائمة_المخرجات,0)),"رقم مخرج غير موجود",IF($D1393="","نوع الحركة ناقص",IF(NOT(ISNUMBER($E1393)),"التاريخ ناقص",IF($E1393&gt;تاريخ_الاحتساب,"تاريخ بعد تاريخ الاحتساب",IF(AND($D1393&lt;&gt;"تسليم",COUNTIFS($A$5:$A$1504,$A1393,$D$5:$D$1504,"تسليم",$E$5:$E$1504,"&lt;="&amp;$E1393)=0),"لا يوجد تسليم قبل الحركة دي",""))))))</f>
        <v/>
      </c>
    </row>
    <row r="1394" customFormat="false" ht="15" hidden="false" customHeight="false" outlineLevel="0" collapsed="false">
      <c r="A1394" s="20"/>
      <c r="B1394" s="35" t="str">
        <f aca="false">IF($A1394="","",IFERROR(INDEX(مخرج_البند,MATCH($A1394,قائمة_المخرجات,0)),""))</f>
        <v/>
      </c>
      <c r="C1394" s="30" t="str">
        <f aca="false">IF($A1394="","",IFERROR(INDEX(مخرج_الوصف,MATCH($A1394,قائمة_المخرجات,0)),""))</f>
        <v/>
      </c>
      <c r="D1394" s="20"/>
      <c r="E1394" s="31"/>
      <c r="F1394" s="22"/>
      <c r="G1394" s="36" t="str">
        <f aca="false">IF(OR($A1394="",$D1394&lt;&gt;"تسليم",NOT(ISNUMBER($E1394))),"",COUNTIFS($A$5:$A$1504,$A1394,$D$5:$D$1504,"تسليم",$E$5:$E$1504,"&lt;"&amp;$E1394)+1)</f>
        <v/>
      </c>
      <c r="H1394" s="33" t="str">
        <f aca="false">IF($G1394="","",_xlfn.MINIFS($E$5:$E$1504,$A$5:$A$1504,$A1394,$D$5:$D$1504,"&lt;&gt;تسليم",$E$5:$E$1504,"&gt;="&amp;$E1394))</f>
        <v/>
      </c>
      <c r="I1394" s="33" t="str">
        <f aca="false">IF($G1394="","",_xlfn.MINIFS($E$5:$E$1504,$A$5:$A$1504,$A1394,$D$5:$D$1504,"تسليم",$E$5:$E$1504,"&gt;"&amp;$E1394))</f>
        <v/>
      </c>
      <c r="J1394" s="33" t="str">
        <f aca="false">IF($G1394="","",IF(H1394&gt;0,IF(I1394&gt;0,MIN(H1394,I1394),H1394),IF(I1394&gt;0,I1394,تاريخ_الاحتساب)))</f>
        <v/>
      </c>
      <c r="K1394" s="34" t="str">
        <f aca="false">IF($G1394="","",IF(AND(H1394=0,I1394=0),"جارية","مغلقة"))</f>
        <v/>
      </c>
      <c r="L1394" s="26" t="str">
        <f aca="false">IF($G1394="","",MAX(0,NETWORKDAYS.INTL($E1394,J1394,رمز_العطلة,أيام_الأجازات)-1))</f>
        <v/>
      </c>
      <c r="M1394" s="26" t="str">
        <f aca="false">IF($G1394="","",MAX(0,L1394-مهلة_المراجعة))</f>
        <v/>
      </c>
      <c r="N1394" s="30" t="str">
        <f aca="false">IF($A1394="",IF(OR($D1394&lt;&gt;"",$E1394&lt;&gt;""),"رقم المخرج ناقص",""),IF(ISNA(MATCH($A1394,قائمة_المخرجات,0)),"رقم مخرج غير موجود",IF($D1394="","نوع الحركة ناقص",IF(NOT(ISNUMBER($E1394)),"التاريخ ناقص",IF($E1394&gt;تاريخ_الاحتساب,"تاريخ بعد تاريخ الاحتساب",IF(AND($D1394&lt;&gt;"تسليم",COUNTIFS($A$5:$A$1504,$A1394,$D$5:$D$1504,"تسليم",$E$5:$E$1504,"&lt;="&amp;$E1394)=0),"لا يوجد تسليم قبل الحركة دي",""))))))</f>
        <v/>
      </c>
    </row>
    <row r="1395" customFormat="false" ht="15" hidden="false" customHeight="false" outlineLevel="0" collapsed="false">
      <c r="A1395" s="20"/>
      <c r="B1395" s="35" t="str">
        <f aca="false">IF($A1395="","",IFERROR(INDEX(مخرج_البند,MATCH($A1395,قائمة_المخرجات,0)),""))</f>
        <v/>
      </c>
      <c r="C1395" s="30" t="str">
        <f aca="false">IF($A1395="","",IFERROR(INDEX(مخرج_الوصف,MATCH($A1395,قائمة_المخرجات,0)),""))</f>
        <v/>
      </c>
      <c r="D1395" s="20"/>
      <c r="E1395" s="31"/>
      <c r="F1395" s="22"/>
      <c r="G1395" s="36" t="str">
        <f aca="false">IF(OR($A1395="",$D1395&lt;&gt;"تسليم",NOT(ISNUMBER($E1395))),"",COUNTIFS($A$5:$A$1504,$A1395,$D$5:$D$1504,"تسليم",$E$5:$E$1504,"&lt;"&amp;$E1395)+1)</f>
        <v/>
      </c>
      <c r="H1395" s="33" t="str">
        <f aca="false">IF($G1395="","",_xlfn.MINIFS($E$5:$E$1504,$A$5:$A$1504,$A1395,$D$5:$D$1504,"&lt;&gt;تسليم",$E$5:$E$1504,"&gt;="&amp;$E1395))</f>
        <v/>
      </c>
      <c r="I1395" s="33" t="str">
        <f aca="false">IF($G1395="","",_xlfn.MINIFS($E$5:$E$1504,$A$5:$A$1504,$A1395,$D$5:$D$1504,"تسليم",$E$5:$E$1504,"&gt;"&amp;$E1395))</f>
        <v/>
      </c>
      <c r="J1395" s="33" t="str">
        <f aca="false">IF($G1395="","",IF(H1395&gt;0,IF(I1395&gt;0,MIN(H1395,I1395),H1395),IF(I1395&gt;0,I1395,تاريخ_الاحتساب)))</f>
        <v/>
      </c>
      <c r="K1395" s="34" t="str">
        <f aca="false">IF($G1395="","",IF(AND(H1395=0,I1395=0),"جارية","مغلقة"))</f>
        <v/>
      </c>
      <c r="L1395" s="26" t="str">
        <f aca="false">IF($G1395="","",MAX(0,NETWORKDAYS.INTL($E1395,J1395,رمز_العطلة,أيام_الأجازات)-1))</f>
        <v/>
      </c>
      <c r="M1395" s="26" t="str">
        <f aca="false">IF($G1395="","",MAX(0,L1395-مهلة_المراجعة))</f>
        <v/>
      </c>
      <c r="N1395" s="30" t="str">
        <f aca="false">IF($A1395="",IF(OR($D1395&lt;&gt;"",$E1395&lt;&gt;""),"رقم المخرج ناقص",""),IF(ISNA(MATCH($A1395,قائمة_المخرجات,0)),"رقم مخرج غير موجود",IF($D1395="","نوع الحركة ناقص",IF(NOT(ISNUMBER($E1395)),"التاريخ ناقص",IF($E1395&gt;تاريخ_الاحتساب,"تاريخ بعد تاريخ الاحتساب",IF(AND($D1395&lt;&gt;"تسليم",COUNTIFS($A$5:$A$1504,$A1395,$D$5:$D$1504,"تسليم",$E$5:$E$1504,"&lt;="&amp;$E1395)=0),"لا يوجد تسليم قبل الحركة دي",""))))))</f>
        <v/>
      </c>
    </row>
    <row r="1396" customFormat="false" ht="15" hidden="false" customHeight="false" outlineLevel="0" collapsed="false">
      <c r="A1396" s="20"/>
      <c r="B1396" s="35" t="str">
        <f aca="false">IF($A1396="","",IFERROR(INDEX(مخرج_البند,MATCH($A1396,قائمة_المخرجات,0)),""))</f>
        <v/>
      </c>
      <c r="C1396" s="30" t="str">
        <f aca="false">IF($A1396="","",IFERROR(INDEX(مخرج_الوصف,MATCH($A1396,قائمة_المخرجات,0)),""))</f>
        <v/>
      </c>
      <c r="D1396" s="20"/>
      <c r="E1396" s="31"/>
      <c r="F1396" s="22"/>
      <c r="G1396" s="36" t="str">
        <f aca="false">IF(OR($A1396="",$D1396&lt;&gt;"تسليم",NOT(ISNUMBER($E1396))),"",COUNTIFS($A$5:$A$1504,$A1396,$D$5:$D$1504,"تسليم",$E$5:$E$1504,"&lt;"&amp;$E1396)+1)</f>
        <v/>
      </c>
      <c r="H1396" s="33" t="str">
        <f aca="false">IF($G1396="","",_xlfn.MINIFS($E$5:$E$1504,$A$5:$A$1504,$A1396,$D$5:$D$1504,"&lt;&gt;تسليم",$E$5:$E$1504,"&gt;="&amp;$E1396))</f>
        <v/>
      </c>
      <c r="I1396" s="33" t="str">
        <f aca="false">IF($G1396="","",_xlfn.MINIFS($E$5:$E$1504,$A$5:$A$1504,$A1396,$D$5:$D$1504,"تسليم",$E$5:$E$1504,"&gt;"&amp;$E1396))</f>
        <v/>
      </c>
      <c r="J1396" s="33" t="str">
        <f aca="false">IF($G1396="","",IF(H1396&gt;0,IF(I1396&gt;0,MIN(H1396,I1396),H1396),IF(I1396&gt;0,I1396,تاريخ_الاحتساب)))</f>
        <v/>
      </c>
      <c r="K1396" s="34" t="str">
        <f aca="false">IF($G1396="","",IF(AND(H1396=0,I1396=0),"جارية","مغلقة"))</f>
        <v/>
      </c>
      <c r="L1396" s="26" t="str">
        <f aca="false">IF($G1396="","",MAX(0,NETWORKDAYS.INTL($E1396,J1396,رمز_العطلة,أيام_الأجازات)-1))</f>
        <v/>
      </c>
      <c r="M1396" s="26" t="str">
        <f aca="false">IF($G1396="","",MAX(0,L1396-مهلة_المراجعة))</f>
        <v/>
      </c>
      <c r="N1396" s="30" t="str">
        <f aca="false">IF($A1396="",IF(OR($D1396&lt;&gt;"",$E1396&lt;&gt;""),"رقم المخرج ناقص",""),IF(ISNA(MATCH($A1396,قائمة_المخرجات,0)),"رقم مخرج غير موجود",IF($D1396="","نوع الحركة ناقص",IF(NOT(ISNUMBER($E1396)),"التاريخ ناقص",IF($E1396&gt;تاريخ_الاحتساب,"تاريخ بعد تاريخ الاحتساب",IF(AND($D1396&lt;&gt;"تسليم",COUNTIFS($A$5:$A$1504,$A1396,$D$5:$D$1504,"تسليم",$E$5:$E$1504,"&lt;="&amp;$E1396)=0),"لا يوجد تسليم قبل الحركة دي",""))))))</f>
        <v/>
      </c>
    </row>
    <row r="1397" customFormat="false" ht="15" hidden="false" customHeight="false" outlineLevel="0" collapsed="false">
      <c r="A1397" s="20"/>
      <c r="B1397" s="35" t="str">
        <f aca="false">IF($A1397="","",IFERROR(INDEX(مخرج_البند,MATCH($A1397,قائمة_المخرجات,0)),""))</f>
        <v/>
      </c>
      <c r="C1397" s="30" t="str">
        <f aca="false">IF($A1397="","",IFERROR(INDEX(مخرج_الوصف,MATCH($A1397,قائمة_المخرجات,0)),""))</f>
        <v/>
      </c>
      <c r="D1397" s="20"/>
      <c r="E1397" s="31"/>
      <c r="F1397" s="22"/>
      <c r="G1397" s="36" t="str">
        <f aca="false">IF(OR($A1397="",$D1397&lt;&gt;"تسليم",NOT(ISNUMBER($E1397))),"",COUNTIFS($A$5:$A$1504,$A1397,$D$5:$D$1504,"تسليم",$E$5:$E$1504,"&lt;"&amp;$E1397)+1)</f>
        <v/>
      </c>
      <c r="H1397" s="33" t="str">
        <f aca="false">IF($G1397="","",_xlfn.MINIFS($E$5:$E$1504,$A$5:$A$1504,$A1397,$D$5:$D$1504,"&lt;&gt;تسليم",$E$5:$E$1504,"&gt;="&amp;$E1397))</f>
        <v/>
      </c>
      <c r="I1397" s="33" t="str">
        <f aca="false">IF($G1397="","",_xlfn.MINIFS($E$5:$E$1504,$A$5:$A$1504,$A1397,$D$5:$D$1504,"تسليم",$E$5:$E$1504,"&gt;"&amp;$E1397))</f>
        <v/>
      </c>
      <c r="J1397" s="33" t="str">
        <f aca="false">IF($G1397="","",IF(H1397&gt;0,IF(I1397&gt;0,MIN(H1397,I1397),H1397),IF(I1397&gt;0,I1397,تاريخ_الاحتساب)))</f>
        <v/>
      </c>
      <c r="K1397" s="34" t="str">
        <f aca="false">IF($G1397="","",IF(AND(H1397=0,I1397=0),"جارية","مغلقة"))</f>
        <v/>
      </c>
      <c r="L1397" s="26" t="str">
        <f aca="false">IF($G1397="","",MAX(0,NETWORKDAYS.INTL($E1397,J1397,رمز_العطلة,أيام_الأجازات)-1))</f>
        <v/>
      </c>
      <c r="M1397" s="26" t="str">
        <f aca="false">IF($G1397="","",MAX(0,L1397-مهلة_المراجعة))</f>
        <v/>
      </c>
      <c r="N1397" s="30" t="str">
        <f aca="false">IF($A1397="",IF(OR($D1397&lt;&gt;"",$E1397&lt;&gt;""),"رقم المخرج ناقص",""),IF(ISNA(MATCH($A1397,قائمة_المخرجات,0)),"رقم مخرج غير موجود",IF($D1397="","نوع الحركة ناقص",IF(NOT(ISNUMBER($E1397)),"التاريخ ناقص",IF($E1397&gt;تاريخ_الاحتساب,"تاريخ بعد تاريخ الاحتساب",IF(AND($D1397&lt;&gt;"تسليم",COUNTIFS($A$5:$A$1504,$A1397,$D$5:$D$1504,"تسليم",$E$5:$E$1504,"&lt;="&amp;$E1397)=0),"لا يوجد تسليم قبل الحركة دي",""))))))</f>
        <v/>
      </c>
    </row>
    <row r="1398" customFormat="false" ht="15" hidden="false" customHeight="false" outlineLevel="0" collapsed="false">
      <c r="A1398" s="20"/>
      <c r="B1398" s="35" t="str">
        <f aca="false">IF($A1398="","",IFERROR(INDEX(مخرج_البند,MATCH($A1398,قائمة_المخرجات,0)),""))</f>
        <v/>
      </c>
      <c r="C1398" s="30" t="str">
        <f aca="false">IF($A1398="","",IFERROR(INDEX(مخرج_الوصف,MATCH($A1398,قائمة_المخرجات,0)),""))</f>
        <v/>
      </c>
      <c r="D1398" s="20"/>
      <c r="E1398" s="31"/>
      <c r="F1398" s="22"/>
      <c r="G1398" s="36" t="str">
        <f aca="false">IF(OR($A1398="",$D1398&lt;&gt;"تسليم",NOT(ISNUMBER($E1398))),"",COUNTIFS($A$5:$A$1504,$A1398,$D$5:$D$1504,"تسليم",$E$5:$E$1504,"&lt;"&amp;$E1398)+1)</f>
        <v/>
      </c>
      <c r="H1398" s="33" t="str">
        <f aca="false">IF($G1398="","",_xlfn.MINIFS($E$5:$E$1504,$A$5:$A$1504,$A1398,$D$5:$D$1504,"&lt;&gt;تسليم",$E$5:$E$1504,"&gt;="&amp;$E1398))</f>
        <v/>
      </c>
      <c r="I1398" s="33" t="str">
        <f aca="false">IF($G1398="","",_xlfn.MINIFS($E$5:$E$1504,$A$5:$A$1504,$A1398,$D$5:$D$1504,"تسليم",$E$5:$E$1504,"&gt;"&amp;$E1398))</f>
        <v/>
      </c>
      <c r="J1398" s="33" t="str">
        <f aca="false">IF($G1398="","",IF(H1398&gt;0,IF(I1398&gt;0,MIN(H1398,I1398),H1398),IF(I1398&gt;0,I1398,تاريخ_الاحتساب)))</f>
        <v/>
      </c>
      <c r="K1398" s="34" t="str">
        <f aca="false">IF($G1398="","",IF(AND(H1398=0,I1398=0),"جارية","مغلقة"))</f>
        <v/>
      </c>
      <c r="L1398" s="26" t="str">
        <f aca="false">IF($G1398="","",MAX(0,NETWORKDAYS.INTL($E1398,J1398,رمز_العطلة,أيام_الأجازات)-1))</f>
        <v/>
      </c>
      <c r="M1398" s="26" t="str">
        <f aca="false">IF($G1398="","",MAX(0,L1398-مهلة_المراجعة))</f>
        <v/>
      </c>
      <c r="N1398" s="30" t="str">
        <f aca="false">IF($A1398="",IF(OR($D1398&lt;&gt;"",$E1398&lt;&gt;""),"رقم المخرج ناقص",""),IF(ISNA(MATCH($A1398,قائمة_المخرجات,0)),"رقم مخرج غير موجود",IF($D1398="","نوع الحركة ناقص",IF(NOT(ISNUMBER($E1398)),"التاريخ ناقص",IF($E1398&gt;تاريخ_الاحتساب,"تاريخ بعد تاريخ الاحتساب",IF(AND($D1398&lt;&gt;"تسليم",COUNTIFS($A$5:$A$1504,$A1398,$D$5:$D$1504,"تسليم",$E$5:$E$1504,"&lt;="&amp;$E1398)=0),"لا يوجد تسليم قبل الحركة دي",""))))))</f>
        <v/>
      </c>
    </row>
    <row r="1399" customFormat="false" ht="15" hidden="false" customHeight="false" outlineLevel="0" collapsed="false">
      <c r="A1399" s="20"/>
      <c r="B1399" s="35" t="str">
        <f aca="false">IF($A1399="","",IFERROR(INDEX(مخرج_البند,MATCH($A1399,قائمة_المخرجات,0)),""))</f>
        <v/>
      </c>
      <c r="C1399" s="30" t="str">
        <f aca="false">IF($A1399="","",IFERROR(INDEX(مخرج_الوصف,MATCH($A1399,قائمة_المخرجات,0)),""))</f>
        <v/>
      </c>
      <c r="D1399" s="20"/>
      <c r="E1399" s="31"/>
      <c r="F1399" s="22"/>
      <c r="G1399" s="36" t="str">
        <f aca="false">IF(OR($A1399="",$D1399&lt;&gt;"تسليم",NOT(ISNUMBER($E1399))),"",COUNTIFS($A$5:$A$1504,$A1399,$D$5:$D$1504,"تسليم",$E$5:$E$1504,"&lt;"&amp;$E1399)+1)</f>
        <v/>
      </c>
      <c r="H1399" s="33" t="str">
        <f aca="false">IF($G1399="","",_xlfn.MINIFS($E$5:$E$1504,$A$5:$A$1504,$A1399,$D$5:$D$1504,"&lt;&gt;تسليم",$E$5:$E$1504,"&gt;="&amp;$E1399))</f>
        <v/>
      </c>
      <c r="I1399" s="33" t="str">
        <f aca="false">IF($G1399="","",_xlfn.MINIFS($E$5:$E$1504,$A$5:$A$1504,$A1399,$D$5:$D$1504,"تسليم",$E$5:$E$1504,"&gt;"&amp;$E1399))</f>
        <v/>
      </c>
      <c r="J1399" s="33" t="str">
        <f aca="false">IF($G1399="","",IF(H1399&gt;0,IF(I1399&gt;0,MIN(H1399,I1399),H1399),IF(I1399&gt;0,I1399,تاريخ_الاحتساب)))</f>
        <v/>
      </c>
      <c r="K1399" s="34" t="str">
        <f aca="false">IF($G1399="","",IF(AND(H1399=0,I1399=0),"جارية","مغلقة"))</f>
        <v/>
      </c>
      <c r="L1399" s="26" t="str">
        <f aca="false">IF($G1399="","",MAX(0,NETWORKDAYS.INTL($E1399,J1399,رمز_العطلة,أيام_الأجازات)-1))</f>
        <v/>
      </c>
      <c r="M1399" s="26" t="str">
        <f aca="false">IF($G1399="","",MAX(0,L1399-مهلة_المراجعة))</f>
        <v/>
      </c>
      <c r="N1399" s="30" t="str">
        <f aca="false">IF($A1399="",IF(OR($D1399&lt;&gt;"",$E1399&lt;&gt;""),"رقم المخرج ناقص",""),IF(ISNA(MATCH($A1399,قائمة_المخرجات,0)),"رقم مخرج غير موجود",IF($D1399="","نوع الحركة ناقص",IF(NOT(ISNUMBER($E1399)),"التاريخ ناقص",IF($E1399&gt;تاريخ_الاحتساب,"تاريخ بعد تاريخ الاحتساب",IF(AND($D1399&lt;&gt;"تسليم",COUNTIFS($A$5:$A$1504,$A1399,$D$5:$D$1504,"تسليم",$E$5:$E$1504,"&lt;="&amp;$E1399)=0),"لا يوجد تسليم قبل الحركة دي",""))))))</f>
        <v/>
      </c>
    </row>
    <row r="1400" customFormat="false" ht="15" hidden="false" customHeight="false" outlineLevel="0" collapsed="false">
      <c r="A1400" s="20"/>
      <c r="B1400" s="35" t="str">
        <f aca="false">IF($A1400="","",IFERROR(INDEX(مخرج_البند,MATCH($A1400,قائمة_المخرجات,0)),""))</f>
        <v/>
      </c>
      <c r="C1400" s="30" t="str">
        <f aca="false">IF($A1400="","",IFERROR(INDEX(مخرج_الوصف,MATCH($A1400,قائمة_المخرجات,0)),""))</f>
        <v/>
      </c>
      <c r="D1400" s="20"/>
      <c r="E1400" s="31"/>
      <c r="F1400" s="22"/>
      <c r="G1400" s="36" t="str">
        <f aca="false">IF(OR($A1400="",$D1400&lt;&gt;"تسليم",NOT(ISNUMBER($E1400))),"",COUNTIFS($A$5:$A$1504,$A1400,$D$5:$D$1504,"تسليم",$E$5:$E$1504,"&lt;"&amp;$E1400)+1)</f>
        <v/>
      </c>
      <c r="H1400" s="33" t="str">
        <f aca="false">IF($G1400="","",_xlfn.MINIFS($E$5:$E$1504,$A$5:$A$1504,$A1400,$D$5:$D$1504,"&lt;&gt;تسليم",$E$5:$E$1504,"&gt;="&amp;$E1400))</f>
        <v/>
      </c>
      <c r="I1400" s="33" t="str">
        <f aca="false">IF($G1400="","",_xlfn.MINIFS($E$5:$E$1504,$A$5:$A$1504,$A1400,$D$5:$D$1504,"تسليم",$E$5:$E$1504,"&gt;"&amp;$E1400))</f>
        <v/>
      </c>
      <c r="J1400" s="33" t="str">
        <f aca="false">IF($G1400="","",IF(H1400&gt;0,IF(I1400&gt;0,MIN(H1400,I1400),H1400),IF(I1400&gt;0,I1400,تاريخ_الاحتساب)))</f>
        <v/>
      </c>
      <c r="K1400" s="34" t="str">
        <f aca="false">IF($G1400="","",IF(AND(H1400=0,I1400=0),"جارية","مغلقة"))</f>
        <v/>
      </c>
      <c r="L1400" s="26" t="str">
        <f aca="false">IF($G1400="","",MAX(0,NETWORKDAYS.INTL($E1400,J1400,رمز_العطلة,أيام_الأجازات)-1))</f>
        <v/>
      </c>
      <c r="M1400" s="26" t="str">
        <f aca="false">IF($G1400="","",MAX(0,L1400-مهلة_المراجعة))</f>
        <v/>
      </c>
      <c r="N1400" s="30" t="str">
        <f aca="false">IF($A1400="",IF(OR($D1400&lt;&gt;"",$E1400&lt;&gt;""),"رقم المخرج ناقص",""),IF(ISNA(MATCH($A1400,قائمة_المخرجات,0)),"رقم مخرج غير موجود",IF($D1400="","نوع الحركة ناقص",IF(NOT(ISNUMBER($E1400)),"التاريخ ناقص",IF($E1400&gt;تاريخ_الاحتساب,"تاريخ بعد تاريخ الاحتساب",IF(AND($D1400&lt;&gt;"تسليم",COUNTIFS($A$5:$A$1504,$A1400,$D$5:$D$1504,"تسليم",$E$5:$E$1504,"&lt;="&amp;$E1400)=0),"لا يوجد تسليم قبل الحركة دي",""))))))</f>
        <v/>
      </c>
    </row>
    <row r="1401" customFormat="false" ht="15" hidden="false" customHeight="false" outlineLevel="0" collapsed="false">
      <c r="A1401" s="20"/>
      <c r="B1401" s="35" t="str">
        <f aca="false">IF($A1401="","",IFERROR(INDEX(مخرج_البند,MATCH($A1401,قائمة_المخرجات,0)),""))</f>
        <v/>
      </c>
      <c r="C1401" s="30" t="str">
        <f aca="false">IF($A1401="","",IFERROR(INDEX(مخرج_الوصف,MATCH($A1401,قائمة_المخرجات,0)),""))</f>
        <v/>
      </c>
      <c r="D1401" s="20"/>
      <c r="E1401" s="31"/>
      <c r="F1401" s="22"/>
      <c r="G1401" s="36" t="str">
        <f aca="false">IF(OR($A1401="",$D1401&lt;&gt;"تسليم",NOT(ISNUMBER($E1401))),"",COUNTIFS($A$5:$A$1504,$A1401,$D$5:$D$1504,"تسليم",$E$5:$E$1504,"&lt;"&amp;$E1401)+1)</f>
        <v/>
      </c>
      <c r="H1401" s="33" t="str">
        <f aca="false">IF($G1401="","",_xlfn.MINIFS($E$5:$E$1504,$A$5:$A$1504,$A1401,$D$5:$D$1504,"&lt;&gt;تسليم",$E$5:$E$1504,"&gt;="&amp;$E1401))</f>
        <v/>
      </c>
      <c r="I1401" s="33" t="str">
        <f aca="false">IF($G1401="","",_xlfn.MINIFS($E$5:$E$1504,$A$5:$A$1504,$A1401,$D$5:$D$1504,"تسليم",$E$5:$E$1504,"&gt;"&amp;$E1401))</f>
        <v/>
      </c>
      <c r="J1401" s="33" t="str">
        <f aca="false">IF($G1401="","",IF(H1401&gt;0,IF(I1401&gt;0,MIN(H1401,I1401),H1401),IF(I1401&gt;0,I1401,تاريخ_الاحتساب)))</f>
        <v/>
      </c>
      <c r="K1401" s="34" t="str">
        <f aca="false">IF($G1401="","",IF(AND(H1401=0,I1401=0),"جارية","مغلقة"))</f>
        <v/>
      </c>
      <c r="L1401" s="26" t="str">
        <f aca="false">IF($G1401="","",MAX(0,NETWORKDAYS.INTL($E1401,J1401,رمز_العطلة,أيام_الأجازات)-1))</f>
        <v/>
      </c>
      <c r="M1401" s="26" t="str">
        <f aca="false">IF($G1401="","",MAX(0,L1401-مهلة_المراجعة))</f>
        <v/>
      </c>
      <c r="N1401" s="30" t="str">
        <f aca="false">IF($A1401="",IF(OR($D1401&lt;&gt;"",$E1401&lt;&gt;""),"رقم المخرج ناقص",""),IF(ISNA(MATCH($A1401,قائمة_المخرجات,0)),"رقم مخرج غير موجود",IF($D1401="","نوع الحركة ناقص",IF(NOT(ISNUMBER($E1401)),"التاريخ ناقص",IF($E1401&gt;تاريخ_الاحتساب,"تاريخ بعد تاريخ الاحتساب",IF(AND($D1401&lt;&gt;"تسليم",COUNTIFS($A$5:$A$1504,$A1401,$D$5:$D$1504,"تسليم",$E$5:$E$1504,"&lt;="&amp;$E1401)=0),"لا يوجد تسليم قبل الحركة دي",""))))))</f>
        <v/>
      </c>
    </row>
    <row r="1402" customFormat="false" ht="15" hidden="false" customHeight="false" outlineLevel="0" collapsed="false">
      <c r="A1402" s="20"/>
      <c r="B1402" s="35" t="str">
        <f aca="false">IF($A1402="","",IFERROR(INDEX(مخرج_البند,MATCH($A1402,قائمة_المخرجات,0)),""))</f>
        <v/>
      </c>
      <c r="C1402" s="30" t="str">
        <f aca="false">IF($A1402="","",IFERROR(INDEX(مخرج_الوصف,MATCH($A1402,قائمة_المخرجات,0)),""))</f>
        <v/>
      </c>
      <c r="D1402" s="20"/>
      <c r="E1402" s="31"/>
      <c r="F1402" s="22"/>
      <c r="G1402" s="36" t="str">
        <f aca="false">IF(OR($A1402="",$D1402&lt;&gt;"تسليم",NOT(ISNUMBER($E1402))),"",COUNTIFS($A$5:$A$1504,$A1402,$D$5:$D$1504,"تسليم",$E$5:$E$1504,"&lt;"&amp;$E1402)+1)</f>
        <v/>
      </c>
      <c r="H1402" s="33" t="str">
        <f aca="false">IF($G1402="","",_xlfn.MINIFS($E$5:$E$1504,$A$5:$A$1504,$A1402,$D$5:$D$1504,"&lt;&gt;تسليم",$E$5:$E$1504,"&gt;="&amp;$E1402))</f>
        <v/>
      </c>
      <c r="I1402" s="33" t="str">
        <f aca="false">IF($G1402="","",_xlfn.MINIFS($E$5:$E$1504,$A$5:$A$1504,$A1402,$D$5:$D$1504,"تسليم",$E$5:$E$1504,"&gt;"&amp;$E1402))</f>
        <v/>
      </c>
      <c r="J1402" s="33" t="str">
        <f aca="false">IF($G1402="","",IF(H1402&gt;0,IF(I1402&gt;0,MIN(H1402,I1402),H1402),IF(I1402&gt;0,I1402,تاريخ_الاحتساب)))</f>
        <v/>
      </c>
      <c r="K1402" s="34" t="str">
        <f aca="false">IF($G1402="","",IF(AND(H1402=0,I1402=0),"جارية","مغلقة"))</f>
        <v/>
      </c>
      <c r="L1402" s="26" t="str">
        <f aca="false">IF($G1402="","",MAX(0,NETWORKDAYS.INTL($E1402,J1402,رمز_العطلة,أيام_الأجازات)-1))</f>
        <v/>
      </c>
      <c r="M1402" s="26" t="str">
        <f aca="false">IF($G1402="","",MAX(0,L1402-مهلة_المراجعة))</f>
        <v/>
      </c>
      <c r="N1402" s="30" t="str">
        <f aca="false">IF($A1402="",IF(OR($D1402&lt;&gt;"",$E1402&lt;&gt;""),"رقم المخرج ناقص",""),IF(ISNA(MATCH($A1402,قائمة_المخرجات,0)),"رقم مخرج غير موجود",IF($D1402="","نوع الحركة ناقص",IF(NOT(ISNUMBER($E1402)),"التاريخ ناقص",IF($E1402&gt;تاريخ_الاحتساب,"تاريخ بعد تاريخ الاحتساب",IF(AND($D1402&lt;&gt;"تسليم",COUNTIFS($A$5:$A$1504,$A1402,$D$5:$D$1504,"تسليم",$E$5:$E$1504,"&lt;="&amp;$E1402)=0),"لا يوجد تسليم قبل الحركة دي",""))))))</f>
        <v/>
      </c>
    </row>
    <row r="1403" customFormat="false" ht="15" hidden="false" customHeight="false" outlineLevel="0" collapsed="false">
      <c r="A1403" s="20"/>
      <c r="B1403" s="35" t="str">
        <f aca="false">IF($A1403="","",IFERROR(INDEX(مخرج_البند,MATCH($A1403,قائمة_المخرجات,0)),""))</f>
        <v/>
      </c>
      <c r="C1403" s="30" t="str">
        <f aca="false">IF($A1403="","",IFERROR(INDEX(مخرج_الوصف,MATCH($A1403,قائمة_المخرجات,0)),""))</f>
        <v/>
      </c>
      <c r="D1403" s="20"/>
      <c r="E1403" s="31"/>
      <c r="F1403" s="22"/>
      <c r="G1403" s="36" t="str">
        <f aca="false">IF(OR($A1403="",$D1403&lt;&gt;"تسليم",NOT(ISNUMBER($E1403))),"",COUNTIFS($A$5:$A$1504,$A1403,$D$5:$D$1504,"تسليم",$E$5:$E$1504,"&lt;"&amp;$E1403)+1)</f>
        <v/>
      </c>
      <c r="H1403" s="33" t="str">
        <f aca="false">IF($G1403="","",_xlfn.MINIFS($E$5:$E$1504,$A$5:$A$1504,$A1403,$D$5:$D$1504,"&lt;&gt;تسليم",$E$5:$E$1504,"&gt;="&amp;$E1403))</f>
        <v/>
      </c>
      <c r="I1403" s="33" t="str">
        <f aca="false">IF($G1403="","",_xlfn.MINIFS($E$5:$E$1504,$A$5:$A$1504,$A1403,$D$5:$D$1504,"تسليم",$E$5:$E$1504,"&gt;"&amp;$E1403))</f>
        <v/>
      </c>
      <c r="J1403" s="33" t="str">
        <f aca="false">IF($G1403="","",IF(H1403&gt;0,IF(I1403&gt;0,MIN(H1403,I1403),H1403),IF(I1403&gt;0,I1403,تاريخ_الاحتساب)))</f>
        <v/>
      </c>
      <c r="K1403" s="34" t="str">
        <f aca="false">IF($G1403="","",IF(AND(H1403=0,I1403=0),"جارية","مغلقة"))</f>
        <v/>
      </c>
      <c r="L1403" s="26" t="str">
        <f aca="false">IF($G1403="","",MAX(0,NETWORKDAYS.INTL($E1403,J1403,رمز_العطلة,أيام_الأجازات)-1))</f>
        <v/>
      </c>
      <c r="M1403" s="26" t="str">
        <f aca="false">IF($G1403="","",MAX(0,L1403-مهلة_المراجعة))</f>
        <v/>
      </c>
      <c r="N1403" s="30" t="str">
        <f aca="false">IF($A1403="",IF(OR($D1403&lt;&gt;"",$E1403&lt;&gt;""),"رقم المخرج ناقص",""),IF(ISNA(MATCH($A1403,قائمة_المخرجات,0)),"رقم مخرج غير موجود",IF($D1403="","نوع الحركة ناقص",IF(NOT(ISNUMBER($E1403)),"التاريخ ناقص",IF($E1403&gt;تاريخ_الاحتساب,"تاريخ بعد تاريخ الاحتساب",IF(AND($D1403&lt;&gt;"تسليم",COUNTIFS($A$5:$A$1504,$A1403,$D$5:$D$1504,"تسليم",$E$5:$E$1504,"&lt;="&amp;$E1403)=0),"لا يوجد تسليم قبل الحركة دي",""))))))</f>
        <v/>
      </c>
    </row>
    <row r="1404" customFormat="false" ht="15" hidden="false" customHeight="false" outlineLevel="0" collapsed="false">
      <c r="A1404" s="20"/>
      <c r="B1404" s="35" t="str">
        <f aca="false">IF($A1404="","",IFERROR(INDEX(مخرج_البند,MATCH($A1404,قائمة_المخرجات,0)),""))</f>
        <v/>
      </c>
      <c r="C1404" s="30" t="str">
        <f aca="false">IF($A1404="","",IFERROR(INDEX(مخرج_الوصف,MATCH($A1404,قائمة_المخرجات,0)),""))</f>
        <v/>
      </c>
      <c r="D1404" s="20"/>
      <c r="E1404" s="31"/>
      <c r="F1404" s="22"/>
      <c r="G1404" s="36" t="str">
        <f aca="false">IF(OR($A1404="",$D1404&lt;&gt;"تسليم",NOT(ISNUMBER($E1404))),"",COUNTIFS($A$5:$A$1504,$A1404,$D$5:$D$1504,"تسليم",$E$5:$E$1504,"&lt;"&amp;$E1404)+1)</f>
        <v/>
      </c>
      <c r="H1404" s="33" t="str">
        <f aca="false">IF($G1404="","",_xlfn.MINIFS($E$5:$E$1504,$A$5:$A$1504,$A1404,$D$5:$D$1504,"&lt;&gt;تسليم",$E$5:$E$1504,"&gt;="&amp;$E1404))</f>
        <v/>
      </c>
      <c r="I1404" s="33" t="str">
        <f aca="false">IF($G1404="","",_xlfn.MINIFS($E$5:$E$1504,$A$5:$A$1504,$A1404,$D$5:$D$1504,"تسليم",$E$5:$E$1504,"&gt;"&amp;$E1404))</f>
        <v/>
      </c>
      <c r="J1404" s="33" t="str">
        <f aca="false">IF($G1404="","",IF(H1404&gt;0,IF(I1404&gt;0,MIN(H1404,I1404),H1404),IF(I1404&gt;0,I1404,تاريخ_الاحتساب)))</f>
        <v/>
      </c>
      <c r="K1404" s="34" t="str">
        <f aca="false">IF($G1404="","",IF(AND(H1404=0,I1404=0),"جارية","مغلقة"))</f>
        <v/>
      </c>
      <c r="L1404" s="26" t="str">
        <f aca="false">IF($G1404="","",MAX(0,NETWORKDAYS.INTL($E1404,J1404,رمز_العطلة,أيام_الأجازات)-1))</f>
        <v/>
      </c>
      <c r="M1404" s="26" t="str">
        <f aca="false">IF($G1404="","",MAX(0,L1404-مهلة_المراجعة))</f>
        <v/>
      </c>
      <c r="N1404" s="30" t="str">
        <f aca="false">IF($A1404="",IF(OR($D1404&lt;&gt;"",$E1404&lt;&gt;""),"رقم المخرج ناقص",""),IF(ISNA(MATCH($A1404,قائمة_المخرجات,0)),"رقم مخرج غير موجود",IF($D1404="","نوع الحركة ناقص",IF(NOT(ISNUMBER($E1404)),"التاريخ ناقص",IF($E1404&gt;تاريخ_الاحتساب,"تاريخ بعد تاريخ الاحتساب",IF(AND($D1404&lt;&gt;"تسليم",COUNTIFS($A$5:$A$1504,$A1404,$D$5:$D$1504,"تسليم",$E$5:$E$1504,"&lt;="&amp;$E1404)=0),"لا يوجد تسليم قبل الحركة دي",""))))))</f>
        <v/>
      </c>
    </row>
    <row r="1405" customFormat="false" ht="15" hidden="false" customHeight="false" outlineLevel="0" collapsed="false">
      <c r="A1405" s="20"/>
      <c r="B1405" s="35" t="str">
        <f aca="false">IF($A1405="","",IFERROR(INDEX(مخرج_البند,MATCH($A1405,قائمة_المخرجات,0)),""))</f>
        <v/>
      </c>
      <c r="C1405" s="30" t="str">
        <f aca="false">IF($A1405="","",IFERROR(INDEX(مخرج_الوصف,MATCH($A1405,قائمة_المخرجات,0)),""))</f>
        <v/>
      </c>
      <c r="D1405" s="20"/>
      <c r="E1405" s="31"/>
      <c r="F1405" s="22"/>
      <c r="G1405" s="36" t="str">
        <f aca="false">IF(OR($A1405="",$D1405&lt;&gt;"تسليم",NOT(ISNUMBER($E1405))),"",COUNTIFS($A$5:$A$1504,$A1405,$D$5:$D$1504,"تسليم",$E$5:$E$1504,"&lt;"&amp;$E1405)+1)</f>
        <v/>
      </c>
      <c r="H1405" s="33" t="str">
        <f aca="false">IF($G1405="","",_xlfn.MINIFS($E$5:$E$1504,$A$5:$A$1504,$A1405,$D$5:$D$1504,"&lt;&gt;تسليم",$E$5:$E$1504,"&gt;="&amp;$E1405))</f>
        <v/>
      </c>
      <c r="I1405" s="33" t="str">
        <f aca="false">IF($G1405="","",_xlfn.MINIFS($E$5:$E$1504,$A$5:$A$1504,$A1405,$D$5:$D$1504,"تسليم",$E$5:$E$1504,"&gt;"&amp;$E1405))</f>
        <v/>
      </c>
      <c r="J1405" s="33" t="str">
        <f aca="false">IF($G1405="","",IF(H1405&gt;0,IF(I1405&gt;0,MIN(H1405,I1405),H1405),IF(I1405&gt;0,I1405,تاريخ_الاحتساب)))</f>
        <v/>
      </c>
      <c r="K1405" s="34" t="str">
        <f aca="false">IF($G1405="","",IF(AND(H1405=0,I1405=0),"جارية","مغلقة"))</f>
        <v/>
      </c>
      <c r="L1405" s="26" t="str">
        <f aca="false">IF($G1405="","",MAX(0,NETWORKDAYS.INTL($E1405,J1405,رمز_العطلة,أيام_الأجازات)-1))</f>
        <v/>
      </c>
      <c r="M1405" s="26" t="str">
        <f aca="false">IF($G1405="","",MAX(0,L1405-مهلة_المراجعة))</f>
        <v/>
      </c>
      <c r="N1405" s="30" t="str">
        <f aca="false">IF($A1405="",IF(OR($D1405&lt;&gt;"",$E1405&lt;&gt;""),"رقم المخرج ناقص",""),IF(ISNA(MATCH($A1405,قائمة_المخرجات,0)),"رقم مخرج غير موجود",IF($D1405="","نوع الحركة ناقص",IF(NOT(ISNUMBER($E1405)),"التاريخ ناقص",IF($E1405&gt;تاريخ_الاحتساب,"تاريخ بعد تاريخ الاحتساب",IF(AND($D1405&lt;&gt;"تسليم",COUNTIFS($A$5:$A$1504,$A1405,$D$5:$D$1504,"تسليم",$E$5:$E$1504,"&lt;="&amp;$E1405)=0),"لا يوجد تسليم قبل الحركة دي",""))))))</f>
        <v/>
      </c>
    </row>
    <row r="1406" customFormat="false" ht="15" hidden="false" customHeight="false" outlineLevel="0" collapsed="false">
      <c r="A1406" s="20"/>
      <c r="B1406" s="35" t="str">
        <f aca="false">IF($A1406="","",IFERROR(INDEX(مخرج_البند,MATCH($A1406,قائمة_المخرجات,0)),""))</f>
        <v/>
      </c>
      <c r="C1406" s="30" t="str">
        <f aca="false">IF($A1406="","",IFERROR(INDEX(مخرج_الوصف,MATCH($A1406,قائمة_المخرجات,0)),""))</f>
        <v/>
      </c>
      <c r="D1406" s="20"/>
      <c r="E1406" s="31"/>
      <c r="F1406" s="22"/>
      <c r="G1406" s="36" t="str">
        <f aca="false">IF(OR($A1406="",$D1406&lt;&gt;"تسليم",NOT(ISNUMBER($E1406))),"",COUNTIFS($A$5:$A$1504,$A1406,$D$5:$D$1504,"تسليم",$E$5:$E$1504,"&lt;"&amp;$E1406)+1)</f>
        <v/>
      </c>
      <c r="H1406" s="33" t="str">
        <f aca="false">IF($G1406="","",_xlfn.MINIFS($E$5:$E$1504,$A$5:$A$1504,$A1406,$D$5:$D$1504,"&lt;&gt;تسليم",$E$5:$E$1504,"&gt;="&amp;$E1406))</f>
        <v/>
      </c>
      <c r="I1406" s="33" t="str">
        <f aca="false">IF($G1406="","",_xlfn.MINIFS($E$5:$E$1504,$A$5:$A$1504,$A1406,$D$5:$D$1504,"تسليم",$E$5:$E$1504,"&gt;"&amp;$E1406))</f>
        <v/>
      </c>
      <c r="J1406" s="33" t="str">
        <f aca="false">IF($G1406="","",IF(H1406&gt;0,IF(I1406&gt;0,MIN(H1406,I1406),H1406),IF(I1406&gt;0,I1406,تاريخ_الاحتساب)))</f>
        <v/>
      </c>
      <c r="K1406" s="34" t="str">
        <f aca="false">IF($G1406="","",IF(AND(H1406=0,I1406=0),"جارية","مغلقة"))</f>
        <v/>
      </c>
      <c r="L1406" s="26" t="str">
        <f aca="false">IF($G1406="","",MAX(0,NETWORKDAYS.INTL($E1406,J1406,رمز_العطلة,أيام_الأجازات)-1))</f>
        <v/>
      </c>
      <c r="M1406" s="26" t="str">
        <f aca="false">IF($G1406="","",MAX(0,L1406-مهلة_المراجعة))</f>
        <v/>
      </c>
      <c r="N1406" s="30" t="str">
        <f aca="false">IF($A1406="",IF(OR($D1406&lt;&gt;"",$E1406&lt;&gt;""),"رقم المخرج ناقص",""),IF(ISNA(MATCH($A1406,قائمة_المخرجات,0)),"رقم مخرج غير موجود",IF($D1406="","نوع الحركة ناقص",IF(NOT(ISNUMBER($E1406)),"التاريخ ناقص",IF($E1406&gt;تاريخ_الاحتساب,"تاريخ بعد تاريخ الاحتساب",IF(AND($D1406&lt;&gt;"تسليم",COUNTIFS($A$5:$A$1504,$A1406,$D$5:$D$1504,"تسليم",$E$5:$E$1504,"&lt;="&amp;$E1406)=0),"لا يوجد تسليم قبل الحركة دي",""))))))</f>
        <v/>
      </c>
    </row>
    <row r="1407" customFormat="false" ht="15" hidden="false" customHeight="false" outlineLevel="0" collapsed="false">
      <c r="A1407" s="20"/>
      <c r="B1407" s="35" t="str">
        <f aca="false">IF($A1407="","",IFERROR(INDEX(مخرج_البند,MATCH($A1407,قائمة_المخرجات,0)),""))</f>
        <v/>
      </c>
      <c r="C1407" s="30" t="str">
        <f aca="false">IF($A1407="","",IFERROR(INDEX(مخرج_الوصف,MATCH($A1407,قائمة_المخرجات,0)),""))</f>
        <v/>
      </c>
      <c r="D1407" s="20"/>
      <c r="E1407" s="31"/>
      <c r="F1407" s="22"/>
      <c r="G1407" s="36" t="str">
        <f aca="false">IF(OR($A1407="",$D1407&lt;&gt;"تسليم",NOT(ISNUMBER($E1407))),"",COUNTIFS($A$5:$A$1504,$A1407,$D$5:$D$1504,"تسليم",$E$5:$E$1504,"&lt;"&amp;$E1407)+1)</f>
        <v/>
      </c>
      <c r="H1407" s="33" t="str">
        <f aca="false">IF($G1407="","",_xlfn.MINIFS($E$5:$E$1504,$A$5:$A$1504,$A1407,$D$5:$D$1504,"&lt;&gt;تسليم",$E$5:$E$1504,"&gt;="&amp;$E1407))</f>
        <v/>
      </c>
      <c r="I1407" s="33" t="str">
        <f aca="false">IF($G1407="","",_xlfn.MINIFS($E$5:$E$1504,$A$5:$A$1504,$A1407,$D$5:$D$1504,"تسليم",$E$5:$E$1504,"&gt;"&amp;$E1407))</f>
        <v/>
      </c>
      <c r="J1407" s="33" t="str">
        <f aca="false">IF($G1407="","",IF(H1407&gt;0,IF(I1407&gt;0,MIN(H1407,I1407),H1407),IF(I1407&gt;0,I1407,تاريخ_الاحتساب)))</f>
        <v/>
      </c>
      <c r="K1407" s="34" t="str">
        <f aca="false">IF($G1407="","",IF(AND(H1407=0,I1407=0),"جارية","مغلقة"))</f>
        <v/>
      </c>
      <c r="L1407" s="26" t="str">
        <f aca="false">IF($G1407="","",MAX(0,NETWORKDAYS.INTL($E1407,J1407,رمز_العطلة,أيام_الأجازات)-1))</f>
        <v/>
      </c>
      <c r="M1407" s="26" t="str">
        <f aca="false">IF($G1407="","",MAX(0,L1407-مهلة_المراجعة))</f>
        <v/>
      </c>
      <c r="N1407" s="30" t="str">
        <f aca="false">IF($A1407="",IF(OR($D1407&lt;&gt;"",$E1407&lt;&gt;""),"رقم المخرج ناقص",""),IF(ISNA(MATCH($A1407,قائمة_المخرجات,0)),"رقم مخرج غير موجود",IF($D1407="","نوع الحركة ناقص",IF(NOT(ISNUMBER($E1407)),"التاريخ ناقص",IF($E1407&gt;تاريخ_الاحتساب,"تاريخ بعد تاريخ الاحتساب",IF(AND($D1407&lt;&gt;"تسليم",COUNTIFS($A$5:$A$1504,$A1407,$D$5:$D$1504,"تسليم",$E$5:$E$1504,"&lt;="&amp;$E1407)=0),"لا يوجد تسليم قبل الحركة دي",""))))))</f>
        <v/>
      </c>
    </row>
    <row r="1408" customFormat="false" ht="15" hidden="false" customHeight="false" outlineLevel="0" collapsed="false">
      <c r="A1408" s="20"/>
      <c r="B1408" s="35" t="str">
        <f aca="false">IF($A1408="","",IFERROR(INDEX(مخرج_البند,MATCH($A1408,قائمة_المخرجات,0)),""))</f>
        <v/>
      </c>
      <c r="C1408" s="30" t="str">
        <f aca="false">IF($A1408="","",IFERROR(INDEX(مخرج_الوصف,MATCH($A1408,قائمة_المخرجات,0)),""))</f>
        <v/>
      </c>
      <c r="D1408" s="20"/>
      <c r="E1408" s="31"/>
      <c r="F1408" s="22"/>
      <c r="G1408" s="36" t="str">
        <f aca="false">IF(OR($A1408="",$D1408&lt;&gt;"تسليم",NOT(ISNUMBER($E1408))),"",COUNTIFS($A$5:$A$1504,$A1408,$D$5:$D$1504,"تسليم",$E$5:$E$1504,"&lt;"&amp;$E1408)+1)</f>
        <v/>
      </c>
      <c r="H1408" s="33" t="str">
        <f aca="false">IF($G1408="","",_xlfn.MINIFS($E$5:$E$1504,$A$5:$A$1504,$A1408,$D$5:$D$1504,"&lt;&gt;تسليم",$E$5:$E$1504,"&gt;="&amp;$E1408))</f>
        <v/>
      </c>
      <c r="I1408" s="33" t="str">
        <f aca="false">IF($G1408="","",_xlfn.MINIFS($E$5:$E$1504,$A$5:$A$1504,$A1408,$D$5:$D$1504,"تسليم",$E$5:$E$1504,"&gt;"&amp;$E1408))</f>
        <v/>
      </c>
      <c r="J1408" s="33" t="str">
        <f aca="false">IF($G1408="","",IF(H1408&gt;0,IF(I1408&gt;0,MIN(H1408,I1408),H1408),IF(I1408&gt;0,I1408,تاريخ_الاحتساب)))</f>
        <v/>
      </c>
      <c r="K1408" s="34" t="str">
        <f aca="false">IF($G1408="","",IF(AND(H1408=0,I1408=0),"جارية","مغلقة"))</f>
        <v/>
      </c>
      <c r="L1408" s="26" t="str">
        <f aca="false">IF($G1408="","",MAX(0,NETWORKDAYS.INTL($E1408,J1408,رمز_العطلة,أيام_الأجازات)-1))</f>
        <v/>
      </c>
      <c r="M1408" s="26" t="str">
        <f aca="false">IF($G1408="","",MAX(0,L1408-مهلة_المراجعة))</f>
        <v/>
      </c>
      <c r="N1408" s="30" t="str">
        <f aca="false">IF($A1408="",IF(OR($D1408&lt;&gt;"",$E1408&lt;&gt;""),"رقم المخرج ناقص",""),IF(ISNA(MATCH($A1408,قائمة_المخرجات,0)),"رقم مخرج غير موجود",IF($D1408="","نوع الحركة ناقص",IF(NOT(ISNUMBER($E1408)),"التاريخ ناقص",IF($E1408&gt;تاريخ_الاحتساب,"تاريخ بعد تاريخ الاحتساب",IF(AND($D1408&lt;&gt;"تسليم",COUNTIFS($A$5:$A$1504,$A1408,$D$5:$D$1504,"تسليم",$E$5:$E$1504,"&lt;="&amp;$E1408)=0),"لا يوجد تسليم قبل الحركة دي",""))))))</f>
        <v/>
      </c>
    </row>
    <row r="1409" customFormat="false" ht="15" hidden="false" customHeight="false" outlineLevel="0" collapsed="false">
      <c r="A1409" s="20"/>
      <c r="B1409" s="35" t="str">
        <f aca="false">IF($A1409="","",IFERROR(INDEX(مخرج_البند,MATCH($A1409,قائمة_المخرجات,0)),""))</f>
        <v/>
      </c>
      <c r="C1409" s="30" t="str">
        <f aca="false">IF($A1409="","",IFERROR(INDEX(مخرج_الوصف,MATCH($A1409,قائمة_المخرجات,0)),""))</f>
        <v/>
      </c>
      <c r="D1409" s="20"/>
      <c r="E1409" s="31"/>
      <c r="F1409" s="22"/>
      <c r="G1409" s="36" t="str">
        <f aca="false">IF(OR($A1409="",$D1409&lt;&gt;"تسليم",NOT(ISNUMBER($E1409))),"",COUNTIFS($A$5:$A$1504,$A1409,$D$5:$D$1504,"تسليم",$E$5:$E$1504,"&lt;"&amp;$E1409)+1)</f>
        <v/>
      </c>
      <c r="H1409" s="33" t="str">
        <f aca="false">IF($G1409="","",_xlfn.MINIFS($E$5:$E$1504,$A$5:$A$1504,$A1409,$D$5:$D$1504,"&lt;&gt;تسليم",$E$5:$E$1504,"&gt;="&amp;$E1409))</f>
        <v/>
      </c>
      <c r="I1409" s="33" t="str">
        <f aca="false">IF($G1409="","",_xlfn.MINIFS($E$5:$E$1504,$A$5:$A$1504,$A1409,$D$5:$D$1504,"تسليم",$E$5:$E$1504,"&gt;"&amp;$E1409))</f>
        <v/>
      </c>
      <c r="J1409" s="33" t="str">
        <f aca="false">IF($G1409="","",IF(H1409&gt;0,IF(I1409&gt;0,MIN(H1409,I1409),H1409),IF(I1409&gt;0,I1409,تاريخ_الاحتساب)))</f>
        <v/>
      </c>
      <c r="K1409" s="34" t="str">
        <f aca="false">IF($G1409="","",IF(AND(H1409=0,I1409=0),"جارية","مغلقة"))</f>
        <v/>
      </c>
      <c r="L1409" s="26" t="str">
        <f aca="false">IF($G1409="","",MAX(0,NETWORKDAYS.INTL($E1409,J1409,رمز_العطلة,أيام_الأجازات)-1))</f>
        <v/>
      </c>
      <c r="M1409" s="26" t="str">
        <f aca="false">IF($G1409="","",MAX(0,L1409-مهلة_المراجعة))</f>
        <v/>
      </c>
      <c r="N1409" s="30" t="str">
        <f aca="false">IF($A1409="",IF(OR($D1409&lt;&gt;"",$E1409&lt;&gt;""),"رقم المخرج ناقص",""),IF(ISNA(MATCH($A1409,قائمة_المخرجات,0)),"رقم مخرج غير موجود",IF($D1409="","نوع الحركة ناقص",IF(NOT(ISNUMBER($E1409)),"التاريخ ناقص",IF($E1409&gt;تاريخ_الاحتساب,"تاريخ بعد تاريخ الاحتساب",IF(AND($D1409&lt;&gt;"تسليم",COUNTIFS($A$5:$A$1504,$A1409,$D$5:$D$1504,"تسليم",$E$5:$E$1504,"&lt;="&amp;$E1409)=0),"لا يوجد تسليم قبل الحركة دي",""))))))</f>
        <v/>
      </c>
    </row>
    <row r="1410" customFormat="false" ht="15" hidden="false" customHeight="false" outlineLevel="0" collapsed="false">
      <c r="A1410" s="20"/>
      <c r="B1410" s="35" t="str">
        <f aca="false">IF($A1410="","",IFERROR(INDEX(مخرج_البند,MATCH($A1410,قائمة_المخرجات,0)),""))</f>
        <v/>
      </c>
      <c r="C1410" s="30" t="str">
        <f aca="false">IF($A1410="","",IFERROR(INDEX(مخرج_الوصف,MATCH($A1410,قائمة_المخرجات,0)),""))</f>
        <v/>
      </c>
      <c r="D1410" s="20"/>
      <c r="E1410" s="31"/>
      <c r="F1410" s="22"/>
      <c r="G1410" s="36" t="str">
        <f aca="false">IF(OR($A1410="",$D1410&lt;&gt;"تسليم",NOT(ISNUMBER($E1410))),"",COUNTIFS($A$5:$A$1504,$A1410,$D$5:$D$1504,"تسليم",$E$5:$E$1504,"&lt;"&amp;$E1410)+1)</f>
        <v/>
      </c>
      <c r="H1410" s="33" t="str">
        <f aca="false">IF($G1410="","",_xlfn.MINIFS($E$5:$E$1504,$A$5:$A$1504,$A1410,$D$5:$D$1504,"&lt;&gt;تسليم",$E$5:$E$1504,"&gt;="&amp;$E1410))</f>
        <v/>
      </c>
      <c r="I1410" s="33" t="str">
        <f aca="false">IF($G1410="","",_xlfn.MINIFS($E$5:$E$1504,$A$5:$A$1504,$A1410,$D$5:$D$1504,"تسليم",$E$5:$E$1504,"&gt;"&amp;$E1410))</f>
        <v/>
      </c>
      <c r="J1410" s="33" t="str">
        <f aca="false">IF($G1410="","",IF(H1410&gt;0,IF(I1410&gt;0,MIN(H1410,I1410),H1410),IF(I1410&gt;0,I1410,تاريخ_الاحتساب)))</f>
        <v/>
      </c>
      <c r="K1410" s="34" t="str">
        <f aca="false">IF($G1410="","",IF(AND(H1410=0,I1410=0),"جارية","مغلقة"))</f>
        <v/>
      </c>
      <c r="L1410" s="26" t="str">
        <f aca="false">IF($G1410="","",MAX(0,NETWORKDAYS.INTL($E1410,J1410,رمز_العطلة,أيام_الأجازات)-1))</f>
        <v/>
      </c>
      <c r="M1410" s="26" t="str">
        <f aca="false">IF($G1410="","",MAX(0,L1410-مهلة_المراجعة))</f>
        <v/>
      </c>
      <c r="N1410" s="30" t="str">
        <f aca="false">IF($A1410="",IF(OR($D1410&lt;&gt;"",$E1410&lt;&gt;""),"رقم المخرج ناقص",""),IF(ISNA(MATCH($A1410,قائمة_المخرجات,0)),"رقم مخرج غير موجود",IF($D1410="","نوع الحركة ناقص",IF(NOT(ISNUMBER($E1410)),"التاريخ ناقص",IF($E1410&gt;تاريخ_الاحتساب,"تاريخ بعد تاريخ الاحتساب",IF(AND($D1410&lt;&gt;"تسليم",COUNTIFS($A$5:$A$1504,$A1410,$D$5:$D$1504,"تسليم",$E$5:$E$1504,"&lt;="&amp;$E1410)=0),"لا يوجد تسليم قبل الحركة دي",""))))))</f>
        <v/>
      </c>
    </row>
    <row r="1411" customFormat="false" ht="15" hidden="false" customHeight="false" outlineLevel="0" collapsed="false">
      <c r="A1411" s="20"/>
      <c r="B1411" s="35" t="str">
        <f aca="false">IF($A1411="","",IFERROR(INDEX(مخرج_البند,MATCH($A1411,قائمة_المخرجات,0)),""))</f>
        <v/>
      </c>
      <c r="C1411" s="30" t="str">
        <f aca="false">IF($A1411="","",IFERROR(INDEX(مخرج_الوصف,MATCH($A1411,قائمة_المخرجات,0)),""))</f>
        <v/>
      </c>
      <c r="D1411" s="20"/>
      <c r="E1411" s="31"/>
      <c r="F1411" s="22"/>
      <c r="G1411" s="36" t="str">
        <f aca="false">IF(OR($A1411="",$D1411&lt;&gt;"تسليم",NOT(ISNUMBER($E1411))),"",COUNTIFS($A$5:$A$1504,$A1411,$D$5:$D$1504,"تسليم",$E$5:$E$1504,"&lt;"&amp;$E1411)+1)</f>
        <v/>
      </c>
      <c r="H1411" s="33" t="str">
        <f aca="false">IF($G1411="","",_xlfn.MINIFS($E$5:$E$1504,$A$5:$A$1504,$A1411,$D$5:$D$1504,"&lt;&gt;تسليم",$E$5:$E$1504,"&gt;="&amp;$E1411))</f>
        <v/>
      </c>
      <c r="I1411" s="33" t="str">
        <f aca="false">IF($G1411="","",_xlfn.MINIFS($E$5:$E$1504,$A$5:$A$1504,$A1411,$D$5:$D$1504,"تسليم",$E$5:$E$1504,"&gt;"&amp;$E1411))</f>
        <v/>
      </c>
      <c r="J1411" s="33" t="str">
        <f aca="false">IF($G1411="","",IF(H1411&gt;0,IF(I1411&gt;0,MIN(H1411,I1411),H1411),IF(I1411&gt;0,I1411,تاريخ_الاحتساب)))</f>
        <v/>
      </c>
      <c r="K1411" s="34" t="str">
        <f aca="false">IF($G1411="","",IF(AND(H1411=0,I1411=0),"جارية","مغلقة"))</f>
        <v/>
      </c>
      <c r="L1411" s="26" t="str">
        <f aca="false">IF($G1411="","",MAX(0,NETWORKDAYS.INTL($E1411,J1411,رمز_العطلة,أيام_الأجازات)-1))</f>
        <v/>
      </c>
      <c r="M1411" s="26" t="str">
        <f aca="false">IF($G1411="","",MAX(0,L1411-مهلة_المراجعة))</f>
        <v/>
      </c>
      <c r="N1411" s="30" t="str">
        <f aca="false">IF($A1411="",IF(OR($D1411&lt;&gt;"",$E1411&lt;&gt;""),"رقم المخرج ناقص",""),IF(ISNA(MATCH($A1411,قائمة_المخرجات,0)),"رقم مخرج غير موجود",IF($D1411="","نوع الحركة ناقص",IF(NOT(ISNUMBER($E1411)),"التاريخ ناقص",IF($E1411&gt;تاريخ_الاحتساب,"تاريخ بعد تاريخ الاحتساب",IF(AND($D1411&lt;&gt;"تسليم",COUNTIFS($A$5:$A$1504,$A1411,$D$5:$D$1504,"تسليم",$E$5:$E$1504,"&lt;="&amp;$E1411)=0),"لا يوجد تسليم قبل الحركة دي",""))))))</f>
        <v/>
      </c>
    </row>
    <row r="1412" customFormat="false" ht="15" hidden="false" customHeight="false" outlineLevel="0" collapsed="false">
      <c r="A1412" s="20"/>
      <c r="B1412" s="35" t="str">
        <f aca="false">IF($A1412="","",IFERROR(INDEX(مخرج_البند,MATCH($A1412,قائمة_المخرجات,0)),""))</f>
        <v/>
      </c>
      <c r="C1412" s="30" t="str">
        <f aca="false">IF($A1412="","",IFERROR(INDEX(مخرج_الوصف,MATCH($A1412,قائمة_المخرجات,0)),""))</f>
        <v/>
      </c>
      <c r="D1412" s="20"/>
      <c r="E1412" s="31"/>
      <c r="F1412" s="22"/>
      <c r="G1412" s="36" t="str">
        <f aca="false">IF(OR($A1412="",$D1412&lt;&gt;"تسليم",NOT(ISNUMBER($E1412))),"",COUNTIFS($A$5:$A$1504,$A1412,$D$5:$D$1504,"تسليم",$E$5:$E$1504,"&lt;"&amp;$E1412)+1)</f>
        <v/>
      </c>
      <c r="H1412" s="33" t="str">
        <f aca="false">IF($G1412="","",_xlfn.MINIFS($E$5:$E$1504,$A$5:$A$1504,$A1412,$D$5:$D$1504,"&lt;&gt;تسليم",$E$5:$E$1504,"&gt;="&amp;$E1412))</f>
        <v/>
      </c>
      <c r="I1412" s="33" t="str">
        <f aca="false">IF($G1412="","",_xlfn.MINIFS($E$5:$E$1504,$A$5:$A$1504,$A1412,$D$5:$D$1504,"تسليم",$E$5:$E$1504,"&gt;"&amp;$E1412))</f>
        <v/>
      </c>
      <c r="J1412" s="33" t="str">
        <f aca="false">IF($G1412="","",IF(H1412&gt;0,IF(I1412&gt;0,MIN(H1412,I1412),H1412),IF(I1412&gt;0,I1412,تاريخ_الاحتساب)))</f>
        <v/>
      </c>
      <c r="K1412" s="34" t="str">
        <f aca="false">IF($G1412="","",IF(AND(H1412=0,I1412=0),"جارية","مغلقة"))</f>
        <v/>
      </c>
      <c r="L1412" s="26" t="str">
        <f aca="false">IF($G1412="","",MAX(0,NETWORKDAYS.INTL($E1412,J1412,رمز_العطلة,أيام_الأجازات)-1))</f>
        <v/>
      </c>
      <c r="M1412" s="26" t="str">
        <f aca="false">IF($G1412="","",MAX(0,L1412-مهلة_المراجعة))</f>
        <v/>
      </c>
      <c r="N1412" s="30" t="str">
        <f aca="false">IF($A1412="",IF(OR($D1412&lt;&gt;"",$E1412&lt;&gt;""),"رقم المخرج ناقص",""),IF(ISNA(MATCH($A1412,قائمة_المخرجات,0)),"رقم مخرج غير موجود",IF($D1412="","نوع الحركة ناقص",IF(NOT(ISNUMBER($E1412)),"التاريخ ناقص",IF($E1412&gt;تاريخ_الاحتساب,"تاريخ بعد تاريخ الاحتساب",IF(AND($D1412&lt;&gt;"تسليم",COUNTIFS($A$5:$A$1504,$A1412,$D$5:$D$1504,"تسليم",$E$5:$E$1504,"&lt;="&amp;$E1412)=0),"لا يوجد تسليم قبل الحركة دي",""))))))</f>
        <v/>
      </c>
    </row>
    <row r="1413" customFormat="false" ht="15" hidden="false" customHeight="false" outlineLevel="0" collapsed="false">
      <c r="A1413" s="20"/>
      <c r="B1413" s="35" t="str">
        <f aca="false">IF($A1413="","",IFERROR(INDEX(مخرج_البند,MATCH($A1413,قائمة_المخرجات,0)),""))</f>
        <v/>
      </c>
      <c r="C1413" s="30" t="str">
        <f aca="false">IF($A1413="","",IFERROR(INDEX(مخرج_الوصف,MATCH($A1413,قائمة_المخرجات,0)),""))</f>
        <v/>
      </c>
      <c r="D1413" s="20"/>
      <c r="E1413" s="31"/>
      <c r="F1413" s="22"/>
      <c r="G1413" s="36" t="str">
        <f aca="false">IF(OR($A1413="",$D1413&lt;&gt;"تسليم",NOT(ISNUMBER($E1413))),"",COUNTIFS($A$5:$A$1504,$A1413,$D$5:$D$1504,"تسليم",$E$5:$E$1504,"&lt;"&amp;$E1413)+1)</f>
        <v/>
      </c>
      <c r="H1413" s="33" t="str">
        <f aca="false">IF($G1413="","",_xlfn.MINIFS($E$5:$E$1504,$A$5:$A$1504,$A1413,$D$5:$D$1504,"&lt;&gt;تسليم",$E$5:$E$1504,"&gt;="&amp;$E1413))</f>
        <v/>
      </c>
      <c r="I1413" s="33" t="str">
        <f aca="false">IF($G1413="","",_xlfn.MINIFS($E$5:$E$1504,$A$5:$A$1504,$A1413,$D$5:$D$1504,"تسليم",$E$5:$E$1504,"&gt;"&amp;$E1413))</f>
        <v/>
      </c>
      <c r="J1413" s="33" t="str">
        <f aca="false">IF($G1413="","",IF(H1413&gt;0,IF(I1413&gt;0,MIN(H1413,I1413),H1413),IF(I1413&gt;0,I1413,تاريخ_الاحتساب)))</f>
        <v/>
      </c>
      <c r="K1413" s="34" t="str">
        <f aca="false">IF($G1413="","",IF(AND(H1413=0,I1413=0),"جارية","مغلقة"))</f>
        <v/>
      </c>
      <c r="L1413" s="26" t="str">
        <f aca="false">IF($G1413="","",MAX(0,NETWORKDAYS.INTL($E1413,J1413,رمز_العطلة,أيام_الأجازات)-1))</f>
        <v/>
      </c>
      <c r="M1413" s="26" t="str">
        <f aca="false">IF($G1413="","",MAX(0,L1413-مهلة_المراجعة))</f>
        <v/>
      </c>
      <c r="N1413" s="30" t="str">
        <f aca="false">IF($A1413="",IF(OR($D1413&lt;&gt;"",$E1413&lt;&gt;""),"رقم المخرج ناقص",""),IF(ISNA(MATCH($A1413,قائمة_المخرجات,0)),"رقم مخرج غير موجود",IF($D1413="","نوع الحركة ناقص",IF(NOT(ISNUMBER($E1413)),"التاريخ ناقص",IF($E1413&gt;تاريخ_الاحتساب,"تاريخ بعد تاريخ الاحتساب",IF(AND($D1413&lt;&gt;"تسليم",COUNTIFS($A$5:$A$1504,$A1413,$D$5:$D$1504,"تسليم",$E$5:$E$1504,"&lt;="&amp;$E1413)=0),"لا يوجد تسليم قبل الحركة دي",""))))))</f>
        <v/>
      </c>
    </row>
    <row r="1414" customFormat="false" ht="15" hidden="false" customHeight="false" outlineLevel="0" collapsed="false">
      <c r="A1414" s="20"/>
      <c r="B1414" s="35" t="str">
        <f aca="false">IF($A1414="","",IFERROR(INDEX(مخرج_البند,MATCH($A1414,قائمة_المخرجات,0)),""))</f>
        <v/>
      </c>
      <c r="C1414" s="30" t="str">
        <f aca="false">IF($A1414="","",IFERROR(INDEX(مخرج_الوصف,MATCH($A1414,قائمة_المخرجات,0)),""))</f>
        <v/>
      </c>
      <c r="D1414" s="20"/>
      <c r="E1414" s="31"/>
      <c r="F1414" s="22"/>
      <c r="G1414" s="36" t="str">
        <f aca="false">IF(OR($A1414="",$D1414&lt;&gt;"تسليم",NOT(ISNUMBER($E1414))),"",COUNTIFS($A$5:$A$1504,$A1414,$D$5:$D$1504,"تسليم",$E$5:$E$1504,"&lt;"&amp;$E1414)+1)</f>
        <v/>
      </c>
      <c r="H1414" s="33" t="str">
        <f aca="false">IF($G1414="","",_xlfn.MINIFS($E$5:$E$1504,$A$5:$A$1504,$A1414,$D$5:$D$1504,"&lt;&gt;تسليم",$E$5:$E$1504,"&gt;="&amp;$E1414))</f>
        <v/>
      </c>
      <c r="I1414" s="33" t="str">
        <f aca="false">IF($G1414="","",_xlfn.MINIFS($E$5:$E$1504,$A$5:$A$1504,$A1414,$D$5:$D$1504,"تسليم",$E$5:$E$1504,"&gt;"&amp;$E1414))</f>
        <v/>
      </c>
      <c r="J1414" s="33" t="str">
        <f aca="false">IF($G1414="","",IF(H1414&gt;0,IF(I1414&gt;0,MIN(H1414,I1414),H1414),IF(I1414&gt;0,I1414,تاريخ_الاحتساب)))</f>
        <v/>
      </c>
      <c r="K1414" s="34" t="str">
        <f aca="false">IF($G1414="","",IF(AND(H1414=0,I1414=0),"جارية","مغلقة"))</f>
        <v/>
      </c>
      <c r="L1414" s="26" t="str">
        <f aca="false">IF($G1414="","",MAX(0,NETWORKDAYS.INTL($E1414,J1414,رمز_العطلة,أيام_الأجازات)-1))</f>
        <v/>
      </c>
      <c r="M1414" s="26" t="str">
        <f aca="false">IF($G1414="","",MAX(0,L1414-مهلة_المراجعة))</f>
        <v/>
      </c>
      <c r="N1414" s="30" t="str">
        <f aca="false">IF($A1414="",IF(OR($D1414&lt;&gt;"",$E1414&lt;&gt;""),"رقم المخرج ناقص",""),IF(ISNA(MATCH($A1414,قائمة_المخرجات,0)),"رقم مخرج غير موجود",IF($D1414="","نوع الحركة ناقص",IF(NOT(ISNUMBER($E1414)),"التاريخ ناقص",IF($E1414&gt;تاريخ_الاحتساب,"تاريخ بعد تاريخ الاحتساب",IF(AND($D1414&lt;&gt;"تسليم",COUNTIFS($A$5:$A$1504,$A1414,$D$5:$D$1504,"تسليم",$E$5:$E$1504,"&lt;="&amp;$E1414)=0),"لا يوجد تسليم قبل الحركة دي",""))))))</f>
        <v/>
      </c>
    </row>
    <row r="1415" customFormat="false" ht="15" hidden="false" customHeight="false" outlineLevel="0" collapsed="false">
      <c r="A1415" s="20"/>
      <c r="B1415" s="35" t="str">
        <f aca="false">IF($A1415="","",IFERROR(INDEX(مخرج_البند,MATCH($A1415,قائمة_المخرجات,0)),""))</f>
        <v/>
      </c>
      <c r="C1415" s="30" t="str">
        <f aca="false">IF($A1415="","",IFERROR(INDEX(مخرج_الوصف,MATCH($A1415,قائمة_المخرجات,0)),""))</f>
        <v/>
      </c>
      <c r="D1415" s="20"/>
      <c r="E1415" s="31"/>
      <c r="F1415" s="22"/>
      <c r="G1415" s="36" t="str">
        <f aca="false">IF(OR($A1415="",$D1415&lt;&gt;"تسليم",NOT(ISNUMBER($E1415))),"",COUNTIFS($A$5:$A$1504,$A1415,$D$5:$D$1504,"تسليم",$E$5:$E$1504,"&lt;"&amp;$E1415)+1)</f>
        <v/>
      </c>
      <c r="H1415" s="33" t="str">
        <f aca="false">IF($G1415="","",_xlfn.MINIFS($E$5:$E$1504,$A$5:$A$1504,$A1415,$D$5:$D$1504,"&lt;&gt;تسليم",$E$5:$E$1504,"&gt;="&amp;$E1415))</f>
        <v/>
      </c>
      <c r="I1415" s="33" t="str">
        <f aca="false">IF($G1415="","",_xlfn.MINIFS($E$5:$E$1504,$A$5:$A$1504,$A1415,$D$5:$D$1504,"تسليم",$E$5:$E$1504,"&gt;"&amp;$E1415))</f>
        <v/>
      </c>
      <c r="J1415" s="33" t="str">
        <f aca="false">IF($G1415="","",IF(H1415&gt;0,IF(I1415&gt;0,MIN(H1415,I1415),H1415),IF(I1415&gt;0,I1415,تاريخ_الاحتساب)))</f>
        <v/>
      </c>
      <c r="K1415" s="34" t="str">
        <f aca="false">IF($G1415="","",IF(AND(H1415=0,I1415=0),"جارية","مغلقة"))</f>
        <v/>
      </c>
      <c r="L1415" s="26" t="str">
        <f aca="false">IF($G1415="","",MAX(0,NETWORKDAYS.INTL($E1415,J1415,رمز_العطلة,أيام_الأجازات)-1))</f>
        <v/>
      </c>
      <c r="M1415" s="26" t="str">
        <f aca="false">IF($G1415="","",MAX(0,L1415-مهلة_المراجعة))</f>
        <v/>
      </c>
      <c r="N1415" s="30" t="str">
        <f aca="false">IF($A1415="",IF(OR($D1415&lt;&gt;"",$E1415&lt;&gt;""),"رقم المخرج ناقص",""),IF(ISNA(MATCH($A1415,قائمة_المخرجات,0)),"رقم مخرج غير موجود",IF($D1415="","نوع الحركة ناقص",IF(NOT(ISNUMBER($E1415)),"التاريخ ناقص",IF($E1415&gt;تاريخ_الاحتساب,"تاريخ بعد تاريخ الاحتساب",IF(AND($D1415&lt;&gt;"تسليم",COUNTIFS($A$5:$A$1504,$A1415,$D$5:$D$1504,"تسليم",$E$5:$E$1504,"&lt;="&amp;$E1415)=0),"لا يوجد تسليم قبل الحركة دي",""))))))</f>
        <v/>
      </c>
    </row>
    <row r="1416" customFormat="false" ht="15" hidden="false" customHeight="false" outlineLevel="0" collapsed="false">
      <c r="A1416" s="20"/>
      <c r="B1416" s="35" t="str">
        <f aca="false">IF($A1416="","",IFERROR(INDEX(مخرج_البند,MATCH($A1416,قائمة_المخرجات,0)),""))</f>
        <v/>
      </c>
      <c r="C1416" s="30" t="str">
        <f aca="false">IF($A1416="","",IFERROR(INDEX(مخرج_الوصف,MATCH($A1416,قائمة_المخرجات,0)),""))</f>
        <v/>
      </c>
      <c r="D1416" s="20"/>
      <c r="E1416" s="31"/>
      <c r="F1416" s="22"/>
      <c r="G1416" s="36" t="str">
        <f aca="false">IF(OR($A1416="",$D1416&lt;&gt;"تسليم",NOT(ISNUMBER($E1416))),"",COUNTIFS($A$5:$A$1504,$A1416,$D$5:$D$1504,"تسليم",$E$5:$E$1504,"&lt;"&amp;$E1416)+1)</f>
        <v/>
      </c>
      <c r="H1416" s="33" t="str">
        <f aca="false">IF($G1416="","",_xlfn.MINIFS($E$5:$E$1504,$A$5:$A$1504,$A1416,$D$5:$D$1504,"&lt;&gt;تسليم",$E$5:$E$1504,"&gt;="&amp;$E1416))</f>
        <v/>
      </c>
      <c r="I1416" s="33" t="str">
        <f aca="false">IF($G1416="","",_xlfn.MINIFS($E$5:$E$1504,$A$5:$A$1504,$A1416,$D$5:$D$1504,"تسليم",$E$5:$E$1504,"&gt;"&amp;$E1416))</f>
        <v/>
      </c>
      <c r="J1416" s="33" t="str">
        <f aca="false">IF($G1416="","",IF(H1416&gt;0,IF(I1416&gt;0,MIN(H1416,I1416),H1416),IF(I1416&gt;0,I1416,تاريخ_الاحتساب)))</f>
        <v/>
      </c>
      <c r="K1416" s="34" t="str">
        <f aca="false">IF($G1416="","",IF(AND(H1416=0,I1416=0),"جارية","مغلقة"))</f>
        <v/>
      </c>
      <c r="L1416" s="26" t="str">
        <f aca="false">IF($G1416="","",MAX(0,NETWORKDAYS.INTL($E1416,J1416,رمز_العطلة,أيام_الأجازات)-1))</f>
        <v/>
      </c>
      <c r="M1416" s="26" t="str">
        <f aca="false">IF($G1416="","",MAX(0,L1416-مهلة_المراجعة))</f>
        <v/>
      </c>
      <c r="N1416" s="30" t="str">
        <f aca="false">IF($A1416="",IF(OR($D1416&lt;&gt;"",$E1416&lt;&gt;""),"رقم المخرج ناقص",""),IF(ISNA(MATCH($A1416,قائمة_المخرجات,0)),"رقم مخرج غير موجود",IF($D1416="","نوع الحركة ناقص",IF(NOT(ISNUMBER($E1416)),"التاريخ ناقص",IF($E1416&gt;تاريخ_الاحتساب,"تاريخ بعد تاريخ الاحتساب",IF(AND($D1416&lt;&gt;"تسليم",COUNTIFS($A$5:$A$1504,$A1416,$D$5:$D$1504,"تسليم",$E$5:$E$1504,"&lt;="&amp;$E1416)=0),"لا يوجد تسليم قبل الحركة دي",""))))))</f>
        <v/>
      </c>
    </row>
    <row r="1417" customFormat="false" ht="15" hidden="false" customHeight="false" outlineLevel="0" collapsed="false">
      <c r="A1417" s="20"/>
      <c r="B1417" s="35" t="str">
        <f aca="false">IF($A1417="","",IFERROR(INDEX(مخرج_البند,MATCH($A1417,قائمة_المخرجات,0)),""))</f>
        <v/>
      </c>
      <c r="C1417" s="30" t="str">
        <f aca="false">IF($A1417="","",IFERROR(INDEX(مخرج_الوصف,MATCH($A1417,قائمة_المخرجات,0)),""))</f>
        <v/>
      </c>
      <c r="D1417" s="20"/>
      <c r="E1417" s="31"/>
      <c r="F1417" s="22"/>
      <c r="G1417" s="36" t="str">
        <f aca="false">IF(OR($A1417="",$D1417&lt;&gt;"تسليم",NOT(ISNUMBER($E1417))),"",COUNTIFS($A$5:$A$1504,$A1417,$D$5:$D$1504,"تسليم",$E$5:$E$1504,"&lt;"&amp;$E1417)+1)</f>
        <v/>
      </c>
      <c r="H1417" s="33" t="str">
        <f aca="false">IF($G1417="","",_xlfn.MINIFS($E$5:$E$1504,$A$5:$A$1504,$A1417,$D$5:$D$1504,"&lt;&gt;تسليم",$E$5:$E$1504,"&gt;="&amp;$E1417))</f>
        <v/>
      </c>
      <c r="I1417" s="33" t="str">
        <f aca="false">IF($G1417="","",_xlfn.MINIFS($E$5:$E$1504,$A$5:$A$1504,$A1417,$D$5:$D$1504,"تسليم",$E$5:$E$1504,"&gt;"&amp;$E1417))</f>
        <v/>
      </c>
      <c r="J1417" s="33" t="str">
        <f aca="false">IF($G1417="","",IF(H1417&gt;0,IF(I1417&gt;0,MIN(H1417,I1417),H1417),IF(I1417&gt;0,I1417,تاريخ_الاحتساب)))</f>
        <v/>
      </c>
      <c r="K1417" s="34" t="str">
        <f aca="false">IF($G1417="","",IF(AND(H1417=0,I1417=0),"جارية","مغلقة"))</f>
        <v/>
      </c>
      <c r="L1417" s="26" t="str">
        <f aca="false">IF($G1417="","",MAX(0,NETWORKDAYS.INTL($E1417,J1417,رمز_العطلة,أيام_الأجازات)-1))</f>
        <v/>
      </c>
      <c r="M1417" s="26" t="str">
        <f aca="false">IF($G1417="","",MAX(0,L1417-مهلة_المراجعة))</f>
        <v/>
      </c>
      <c r="N1417" s="30" t="str">
        <f aca="false">IF($A1417="",IF(OR($D1417&lt;&gt;"",$E1417&lt;&gt;""),"رقم المخرج ناقص",""),IF(ISNA(MATCH($A1417,قائمة_المخرجات,0)),"رقم مخرج غير موجود",IF($D1417="","نوع الحركة ناقص",IF(NOT(ISNUMBER($E1417)),"التاريخ ناقص",IF($E1417&gt;تاريخ_الاحتساب,"تاريخ بعد تاريخ الاحتساب",IF(AND($D1417&lt;&gt;"تسليم",COUNTIFS($A$5:$A$1504,$A1417,$D$5:$D$1504,"تسليم",$E$5:$E$1504,"&lt;="&amp;$E1417)=0),"لا يوجد تسليم قبل الحركة دي",""))))))</f>
        <v/>
      </c>
    </row>
    <row r="1418" customFormat="false" ht="15" hidden="false" customHeight="false" outlineLevel="0" collapsed="false">
      <c r="A1418" s="20"/>
      <c r="B1418" s="35" t="str">
        <f aca="false">IF($A1418="","",IFERROR(INDEX(مخرج_البند,MATCH($A1418,قائمة_المخرجات,0)),""))</f>
        <v/>
      </c>
      <c r="C1418" s="30" t="str">
        <f aca="false">IF($A1418="","",IFERROR(INDEX(مخرج_الوصف,MATCH($A1418,قائمة_المخرجات,0)),""))</f>
        <v/>
      </c>
      <c r="D1418" s="20"/>
      <c r="E1418" s="31"/>
      <c r="F1418" s="22"/>
      <c r="G1418" s="36" t="str">
        <f aca="false">IF(OR($A1418="",$D1418&lt;&gt;"تسليم",NOT(ISNUMBER($E1418))),"",COUNTIFS($A$5:$A$1504,$A1418,$D$5:$D$1504,"تسليم",$E$5:$E$1504,"&lt;"&amp;$E1418)+1)</f>
        <v/>
      </c>
      <c r="H1418" s="33" t="str">
        <f aca="false">IF($G1418="","",_xlfn.MINIFS($E$5:$E$1504,$A$5:$A$1504,$A1418,$D$5:$D$1504,"&lt;&gt;تسليم",$E$5:$E$1504,"&gt;="&amp;$E1418))</f>
        <v/>
      </c>
      <c r="I1418" s="33" t="str">
        <f aca="false">IF($G1418="","",_xlfn.MINIFS($E$5:$E$1504,$A$5:$A$1504,$A1418,$D$5:$D$1504,"تسليم",$E$5:$E$1504,"&gt;"&amp;$E1418))</f>
        <v/>
      </c>
      <c r="J1418" s="33" t="str">
        <f aca="false">IF($G1418="","",IF(H1418&gt;0,IF(I1418&gt;0,MIN(H1418,I1418),H1418),IF(I1418&gt;0,I1418,تاريخ_الاحتساب)))</f>
        <v/>
      </c>
      <c r="K1418" s="34" t="str">
        <f aca="false">IF($G1418="","",IF(AND(H1418=0,I1418=0),"جارية","مغلقة"))</f>
        <v/>
      </c>
      <c r="L1418" s="26" t="str">
        <f aca="false">IF($G1418="","",MAX(0,NETWORKDAYS.INTL($E1418,J1418,رمز_العطلة,أيام_الأجازات)-1))</f>
        <v/>
      </c>
      <c r="M1418" s="26" t="str">
        <f aca="false">IF($G1418="","",MAX(0,L1418-مهلة_المراجعة))</f>
        <v/>
      </c>
      <c r="N1418" s="30" t="str">
        <f aca="false">IF($A1418="",IF(OR($D1418&lt;&gt;"",$E1418&lt;&gt;""),"رقم المخرج ناقص",""),IF(ISNA(MATCH($A1418,قائمة_المخرجات,0)),"رقم مخرج غير موجود",IF($D1418="","نوع الحركة ناقص",IF(NOT(ISNUMBER($E1418)),"التاريخ ناقص",IF($E1418&gt;تاريخ_الاحتساب,"تاريخ بعد تاريخ الاحتساب",IF(AND($D1418&lt;&gt;"تسليم",COUNTIFS($A$5:$A$1504,$A1418,$D$5:$D$1504,"تسليم",$E$5:$E$1504,"&lt;="&amp;$E1418)=0),"لا يوجد تسليم قبل الحركة دي",""))))))</f>
        <v/>
      </c>
    </row>
    <row r="1419" customFormat="false" ht="15" hidden="false" customHeight="false" outlineLevel="0" collapsed="false">
      <c r="A1419" s="20"/>
      <c r="B1419" s="35" t="str">
        <f aca="false">IF($A1419="","",IFERROR(INDEX(مخرج_البند,MATCH($A1419,قائمة_المخرجات,0)),""))</f>
        <v/>
      </c>
      <c r="C1419" s="30" t="str">
        <f aca="false">IF($A1419="","",IFERROR(INDEX(مخرج_الوصف,MATCH($A1419,قائمة_المخرجات,0)),""))</f>
        <v/>
      </c>
      <c r="D1419" s="20"/>
      <c r="E1419" s="31"/>
      <c r="F1419" s="22"/>
      <c r="G1419" s="36" t="str">
        <f aca="false">IF(OR($A1419="",$D1419&lt;&gt;"تسليم",NOT(ISNUMBER($E1419))),"",COUNTIFS($A$5:$A$1504,$A1419,$D$5:$D$1504,"تسليم",$E$5:$E$1504,"&lt;"&amp;$E1419)+1)</f>
        <v/>
      </c>
      <c r="H1419" s="33" t="str">
        <f aca="false">IF($G1419="","",_xlfn.MINIFS($E$5:$E$1504,$A$5:$A$1504,$A1419,$D$5:$D$1504,"&lt;&gt;تسليم",$E$5:$E$1504,"&gt;="&amp;$E1419))</f>
        <v/>
      </c>
      <c r="I1419" s="33" t="str">
        <f aca="false">IF($G1419="","",_xlfn.MINIFS($E$5:$E$1504,$A$5:$A$1504,$A1419,$D$5:$D$1504,"تسليم",$E$5:$E$1504,"&gt;"&amp;$E1419))</f>
        <v/>
      </c>
      <c r="J1419" s="33" t="str">
        <f aca="false">IF($G1419="","",IF(H1419&gt;0,IF(I1419&gt;0,MIN(H1419,I1419),H1419),IF(I1419&gt;0,I1419,تاريخ_الاحتساب)))</f>
        <v/>
      </c>
      <c r="K1419" s="34" t="str">
        <f aca="false">IF($G1419="","",IF(AND(H1419=0,I1419=0),"جارية","مغلقة"))</f>
        <v/>
      </c>
      <c r="L1419" s="26" t="str">
        <f aca="false">IF($G1419="","",MAX(0,NETWORKDAYS.INTL($E1419,J1419,رمز_العطلة,أيام_الأجازات)-1))</f>
        <v/>
      </c>
      <c r="M1419" s="26" t="str">
        <f aca="false">IF($G1419="","",MAX(0,L1419-مهلة_المراجعة))</f>
        <v/>
      </c>
      <c r="N1419" s="30" t="str">
        <f aca="false">IF($A1419="",IF(OR($D1419&lt;&gt;"",$E1419&lt;&gt;""),"رقم المخرج ناقص",""),IF(ISNA(MATCH($A1419,قائمة_المخرجات,0)),"رقم مخرج غير موجود",IF($D1419="","نوع الحركة ناقص",IF(NOT(ISNUMBER($E1419)),"التاريخ ناقص",IF($E1419&gt;تاريخ_الاحتساب,"تاريخ بعد تاريخ الاحتساب",IF(AND($D1419&lt;&gt;"تسليم",COUNTIFS($A$5:$A$1504,$A1419,$D$5:$D$1504,"تسليم",$E$5:$E$1504,"&lt;="&amp;$E1419)=0),"لا يوجد تسليم قبل الحركة دي",""))))))</f>
        <v/>
      </c>
    </row>
    <row r="1420" customFormat="false" ht="15" hidden="false" customHeight="false" outlineLevel="0" collapsed="false">
      <c r="A1420" s="20"/>
      <c r="B1420" s="35" t="str">
        <f aca="false">IF($A1420="","",IFERROR(INDEX(مخرج_البند,MATCH($A1420,قائمة_المخرجات,0)),""))</f>
        <v/>
      </c>
      <c r="C1420" s="30" t="str">
        <f aca="false">IF($A1420="","",IFERROR(INDEX(مخرج_الوصف,MATCH($A1420,قائمة_المخرجات,0)),""))</f>
        <v/>
      </c>
      <c r="D1420" s="20"/>
      <c r="E1420" s="31"/>
      <c r="F1420" s="22"/>
      <c r="G1420" s="36" t="str">
        <f aca="false">IF(OR($A1420="",$D1420&lt;&gt;"تسليم",NOT(ISNUMBER($E1420))),"",COUNTIFS($A$5:$A$1504,$A1420,$D$5:$D$1504,"تسليم",$E$5:$E$1504,"&lt;"&amp;$E1420)+1)</f>
        <v/>
      </c>
      <c r="H1420" s="33" t="str">
        <f aca="false">IF($G1420="","",_xlfn.MINIFS($E$5:$E$1504,$A$5:$A$1504,$A1420,$D$5:$D$1504,"&lt;&gt;تسليم",$E$5:$E$1504,"&gt;="&amp;$E1420))</f>
        <v/>
      </c>
      <c r="I1420" s="33" t="str">
        <f aca="false">IF($G1420="","",_xlfn.MINIFS($E$5:$E$1504,$A$5:$A$1504,$A1420,$D$5:$D$1504,"تسليم",$E$5:$E$1504,"&gt;"&amp;$E1420))</f>
        <v/>
      </c>
      <c r="J1420" s="33" t="str">
        <f aca="false">IF($G1420="","",IF(H1420&gt;0,IF(I1420&gt;0,MIN(H1420,I1420),H1420),IF(I1420&gt;0,I1420,تاريخ_الاحتساب)))</f>
        <v/>
      </c>
      <c r="K1420" s="34" t="str">
        <f aca="false">IF($G1420="","",IF(AND(H1420=0,I1420=0),"جارية","مغلقة"))</f>
        <v/>
      </c>
      <c r="L1420" s="26" t="str">
        <f aca="false">IF($G1420="","",MAX(0,NETWORKDAYS.INTL($E1420,J1420,رمز_العطلة,أيام_الأجازات)-1))</f>
        <v/>
      </c>
      <c r="M1420" s="26" t="str">
        <f aca="false">IF($G1420="","",MAX(0,L1420-مهلة_المراجعة))</f>
        <v/>
      </c>
      <c r="N1420" s="30" t="str">
        <f aca="false">IF($A1420="",IF(OR($D1420&lt;&gt;"",$E1420&lt;&gt;""),"رقم المخرج ناقص",""),IF(ISNA(MATCH($A1420,قائمة_المخرجات,0)),"رقم مخرج غير موجود",IF($D1420="","نوع الحركة ناقص",IF(NOT(ISNUMBER($E1420)),"التاريخ ناقص",IF($E1420&gt;تاريخ_الاحتساب,"تاريخ بعد تاريخ الاحتساب",IF(AND($D1420&lt;&gt;"تسليم",COUNTIFS($A$5:$A$1504,$A1420,$D$5:$D$1504,"تسليم",$E$5:$E$1504,"&lt;="&amp;$E1420)=0),"لا يوجد تسليم قبل الحركة دي",""))))))</f>
        <v/>
      </c>
    </row>
    <row r="1421" customFormat="false" ht="15" hidden="false" customHeight="false" outlineLevel="0" collapsed="false">
      <c r="A1421" s="20"/>
      <c r="B1421" s="35" t="str">
        <f aca="false">IF($A1421="","",IFERROR(INDEX(مخرج_البند,MATCH($A1421,قائمة_المخرجات,0)),""))</f>
        <v/>
      </c>
      <c r="C1421" s="30" t="str">
        <f aca="false">IF($A1421="","",IFERROR(INDEX(مخرج_الوصف,MATCH($A1421,قائمة_المخرجات,0)),""))</f>
        <v/>
      </c>
      <c r="D1421" s="20"/>
      <c r="E1421" s="31"/>
      <c r="F1421" s="22"/>
      <c r="G1421" s="36" t="str">
        <f aca="false">IF(OR($A1421="",$D1421&lt;&gt;"تسليم",NOT(ISNUMBER($E1421))),"",COUNTIFS($A$5:$A$1504,$A1421,$D$5:$D$1504,"تسليم",$E$5:$E$1504,"&lt;"&amp;$E1421)+1)</f>
        <v/>
      </c>
      <c r="H1421" s="33" t="str">
        <f aca="false">IF($G1421="","",_xlfn.MINIFS($E$5:$E$1504,$A$5:$A$1504,$A1421,$D$5:$D$1504,"&lt;&gt;تسليم",$E$5:$E$1504,"&gt;="&amp;$E1421))</f>
        <v/>
      </c>
      <c r="I1421" s="33" t="str">
        <f aca="false">IF($G1421="","",_xlfn.MINIFS($E$5:$E$1504,$A$5:$A$1504,$A1421,$D$5:$D$1504,"تسليم",$E$5:$E$1504,"&gt;"&amp;$E1421))</f>
        <v/>
      </c>
      <c r="J1421" s="33" t="str">
        <f aca="false">IF($G1421="","",IF(H1421&gt;0,IF(I1421&gt;0,MIN(H1421,I1421),H1421),IF(I1421&gt;0,I1421,تاريخ_الاحتساب)))</f>
        <v/>
      </c>
      <c r="K1421" s="34" t="str">
        <f aca="false">IF($G1421="","",IF(AND(H1421=0,I1421=0),"جارية","مغلقة"))</f>
        <v/>
      </c>
      <c r="L1421" s="26" t="str">
        <f aca="false">IF($G1421="","",MAX(0,NETWORKDAYS.INTL($E1421,J1421,رمز_العطلة,أيام_الأجازات)-1))</f>
        <v/>
      </c>
      <c r="M1421" s="26" t="str">
        <f aca="false">IF($G1421="","",MAX(0,L1421-مهلة_المراجعة))</f>
        <v/>
      </c>
      <c r="N1421" s="30" t="str">
        <f aca="false">IF($A1421="",IF(OR($D1421&lt;&gt;"",$E1421&lt;&gt;""),"رقم المخرج ناقص",""),IF(ISNA(MATCH($A1421,قائمة_المخرجات,0)),"رقم مخرج غير موجود",IF($D1421="","نوع الحركة ناقص",IF(NOT(ISNUMBER($E1421)),"التاريخ ناقص",IF($E1421&gt;تاريخ_الاحتساب,"تاريخ بعد تاريخ الاحتساب",IF(AND($D1421&lt;&gt;"تسليم",COUNTIFS($A$5:$A$1504,$A1421,$D$5:$D$1504,"تسليم",$E$5:$E$1504,"&lt;="&amp;$E1421)=0),"لا يوجد تسليم قبل الحركة دي",""))))))</f>
        <v/>
      </c>
    </row>
    <row r="1422" customFormat="false" ht="15" hidden="false" customHeight="false" outlineLevel="0" collapsed="false">
      <c r="A1422" s="20"/>
      <c r="B1422" s="35" t="str">
        <f aca="false">IF($A1422="","",IFERROR(INDEX(مخرج_البند,MATCH($A1422,قائمة_المخرجات,0)),""))</f>
        <v/>
      </c>
      <c r="C1422" s="30" t="str">
        <f aca="false">IF($A1422="","",IFERROR(INDEX(مخرج_الوصف,MATCH($A1422,قائمة_المخرجات,0)),""))</f>
        <v/>
      </c>
      <c r="D1422" s="20"/>
      <c r="E1422" s="31"/>
      <c r="F1422" s="22"/>
      <c r="G1422" s="36" t="str">
        <f aca="false">IF(OR($A1422="",$D1422&lt;&gt;"تسليم",NOT(ISNUMBER($E1422))),"",COUNTIFS($A$5:$A$1504,$A1422,$D$5:$D$1504,"تسليم",$E$5:$E$1504,"&lt;"&amp;$E1422)+1)</f>
        <v/>
      </c>
      <c r="H1422" s="33" t="str">
        <f aca="false">IF($G1422="","",_xlfn.MINIFS($E$5:$E$1504,$A$5:$A$1504,$A1422,$D$5:$D$1504,"&lt;&gt;تسليم",$E$5:$E$1504,"&gt;="&amp;$E1422))</f>
        <v/>
      </c>
      <c r="I1422" s="33" t="str">
        <f aca="false">IF($G1422="","",_xlfn.MINIFS($E$5:$E$1504,$A$5:$A$1504,$A1422,$D$5:$D$1504,"تسليم",$E$5:$E$1504,"&gt;"&amp;$E1422))</f>
        <v/>
      </c>
      <c r="J1422" s="33" t="str">
        <f aca="false">IF($G1422="","",IF(H1422&gt;0,IF(I1422&gt;0,MIN(H1422,I1422),H1422),IF(I1422&gt;0,I1422,تاريخ_الاحتساب)))</f>
        <v/>
      </c>
      <c r="K1422" s="34" t="str">
        <f aca="false">IF($G1422="","",IF(AND(H1422=0,I1422=0),"جارية","مغلقة"))</f>
        <v/>
      </c>
      <c r="L1422" s="26" t="str">
        <f aca="false">IF($G1422="","",MAX(0,NETWORKDAYS.INTL($E1422,J1422,رمز_العطلة,أيام_الأجازات)-1))</f>
        <v/>
      </c>
      <c r="M1422" s="26" t="str">
        <f aca="false">IF($G1422="","",MAX(0,L1422-مهلة_المراجعة))</f>
        <v/>
      </c>
      <c r="N1422" s="30" t="str">
        <f aca="false">IF($A1422="",IF(OR($D1422&lt;&gt;"",$E1422&lt;&gt;""),"رقم المخرج ناقص",""),IF(ISNA(MATCH($A1422,قائمة_المخرجات,0)),"رقم مخرج غير موجود",IF($D1422="","نوع الحركة ناقص",IF(NOT(ISNUMBER($E1422)),"التاريخ ناقص",IF($E1422&gt;تاريخ_الاحتساب,"تاريخ بعد تاريخ الاحتساب",IF(AND($D1422&lt;&gt;"تسليم",COUNTIFS($A$5:$A$1504,$A1422,$D$5:$D$1504,"تسليم",$E$5:$E$1504,"&lt;="&amp;$E1422)=0),"لا يوجد تسليم قبل الحركة دي",""))))))</f>
        <v/>
      </c>
    </row>
    <row r="1423" customFormat="false" ht="15" hidden="false" customHeight="false" outlineLevel="0" collapsed="false">
      <c r="A1423" s="20"/>
      <c r="B1423" s="35" t="str">
        <f aca="false">IF($A1423="","",IFERROR(INDEX(مخرج_البند,MATCH($A1423,قائمة_المخرجات,0)),""))</f>
        <v/>
      </c>
      <c r="C1423" s="30" t="str">
        <f aca="false">IF($A1423="","",IFERROR(INDEX(مخرج_الوصف,MATCH($A1423,قائمة_المخرجات,0)),""))</f>
        <v/>
      </c>
      <c r="D1423" s="20"/>
      <c r="E1423" s="31"/>
      <c r="F1423" s="22"/>
      <c r="G1423" s="36" t="str">
        <f aca="false">IF(OR($A1423="",$D1423&lt;&gt;"تسليم",NOT(ISNUMBER($E1423))),"",COUNTIFS($A$5:$A$1504,$A1423,$D$5:$D$1504,"تسليم",$E$5:$E$1504,"&lt;"&amp;$E1423)+1)</f>
        <v/>
      </c>
      <c r="H1423" s="33" t="str">
        <f aca="false">IF($G1423="","",_xlfn.MINIFS($E$5:$E$1504,$A$5:$A$1504,$A1423,$D$5:$D$1504,"&lt;&gt;تسليم",$E$5:$E$1504,"&gt;="&amp;$E1423))</f>
        <v/>
      </c>
      <c r="I1423" s="33" t="str">
        <f aca="false">IF($G1423="","",_xlfn.MINIFS($E$5:$E$1504,$A$5:$A$1504,$A1423,$D$5:$D$1504,"تسليم",$E$5:$E$1504,"&gt;"&amp;$E1423))</f>
        <v/>
      </c>
      <c r="J1423" s="33" t="str">
        <f aca="false">IF($G1423="","",IF(H1423&gt;0,IF(I1423&gt;0,MIN(H1423,I1423),H1423),IF(I1423&gt;0,I1423,تاريخ_الاحتساب)))</f>
        <v/>
      </c>
      <c r="K1423" s="34" t="str">
        <f aca="false">IF($G1423="","",IF(AND(H1423=0,I1423=0),"جارية","مغلقة"))</f>
        <v/>
      </c>
      <c r="L1423" s="26" t="str">
        <f aca="false">IF($G1423="","",MAX(0,NETWORKDAYS.INTL($E1423,J1423,رمز_العطلة,أيام_الأجازات)-1))</f>
        <v/>
      </c>
      <c r="M1423" s="26" t="str">
        <f aca="false">IF($G1423="","",MAX(0,L1423-مهلة_المراجعة))</f>
        <v/>
      </c>
      <c r="N1423" s="30" t="str">
        <f aca="false">IF($A1423="",IF(OR($D1423&lt;&gt;"",$E1423&lt;&gt;""),"رقم المخرج ناقص",""),IF(ISNA(MATCH($A1423,قائمة_المخرجات,0)),"رقم مخرج غير موجود",IF($D1423="","نوع الحركة ناقص",IF(NOT(ISNUMBER($E1423)),"التاريخ ناقص",IF($E1423&gt;تاريخ_الاحتساب,"تاريخ بعد تاريخ الاحتساب",IF(AND($D1423&lt;&gt;"تسليم",COUNTIFS($A$5:$A$1504,$A1423,$D$5:$D$1504,"تسليم",$E$5:$E$1504,"&lt;="&amp;$E1423)=0),"لا يوجد تسليم قبل الحركة دي",""))))))</f>
        <v/>
      </c>
    </row>
    <row r="1424" customFormat="false" ht="15" hidden="false" customHeight="false" outlineLevel="0" collapsed="false">
      <c r="A1424" s="20"/>
      <c r="B1424" s="35" t="str">
        <f aca="false">IF($A1424="","",IFERROR(INDEX(مخرج_البند,MATCH($A1424,قائمة_المخرجات,0)),""))</f>
        <v/>
      </c>
      <c r="C1424" s="30" t="str">
        <f aca="false">IF($A1424="","",IFERROR(INDEX(مخرج_الوصف,MATCH($A1424,قائمة_المخرجات,0)),""))</f>
        <v/>
      </c>
      <c r="D1424" s="20"/>
      <c r="E1424" s="31"/>
      <c r="F1424" s="22"/>
      <c r="G1424" s="36" t="str">
        <f aca="false">IF(OR($A1424="",$D1424&lt;&gt;"تسليم",NOT(ISNUMBER($E1424))),"",COUNTIFS($A$5:$A$1504,$A1424,$D$5:$D$1504,"تسليم",$E$5:$E$1504,"&lt;"&amp;$E1424)+1)</f>
        <v/>
      </c>
      <c r="H1424" s="33" t="str">
        <f aca="false">IF($G1424="","",_xlfn.MINIFS($E$5:$E$1504,$A$5:$A$1504,$A1424,$D$5:$D$1504,"&lt;&gt;تسليم",$E$5:$E$1504,"&gt;="&amp;$E1424))</f>
        <v/>
      </c>
      <c r="I1424" s="33" t="str">
        <f aca="false">IF($G1424="","",_xlfn.MINIFS($E$5:$E$1504,$A$5:$A$1504,$A1424,$D$5:$D$1504,"تسليم",$E$5:$E$1504,"&gt;"&amp;$E1424))</f>
        <v/>
      </c>
      <c r="J1424" s="33" t="str">
        <f aca="false">IF($G1424="","",IF(H1424&gt;0,IF(I1424&gt;0,MIN(H1424,I1424),H1424),IF(I1424&gt;0,I1424,تاريخ_الاحتساب)))</f>
        <v/>
      </c>
      <c r="K1424" s="34" t="str">
        <f aca="false">IF($G1424="","",IF(AND(H1424=0,I1424=0),"جارية","مغلقة"))</f>
        <v/>
      </c>
      <c r="L1424" s="26" t="str">
        <f aca="false">IF($G1424="","",MAX(0,NETWORKDAYS.INTL($E1424,J1424,رمز_العطلة,أيام_الأجازات)-1))</f>
        <v/>
      </c>
      <c r="M1424" s="26" t="str">
        <f aca="false">IF($G1424="","",MAX(0,L1424-مهلة_المراجعة))</f>
        <v/>
      </c>
      <c r="N1424" s="30" t="str">
        <f aca="false">IF($A1424="",IF(OR($D1424&lt;&gt;"",$E1424&lt;&gt;""),"رقم المخرج ناقص",""),IF(ISNA(MATCH($A1424,قائمة_المخرجات,0)),"رقم مخرج غير موجود",IF($D1424="","نوع الحركة ناقص",IF(NOT(ISNUMBER($E1424)),"التاريخ ناقص",IF($E1424&gt;تاريخ_الاحتساب,"تاريخ بعد تاريخ الاحتساب",IF(AND($D1424&lt;&gt;"تسليم",COUNTIFS($A$5:$A$1504,$A1424,$D$5:$D$1504,"تسليم",$E$5:$E$1504,"&lt;="&amp;$E1424)=0),"لا يوجد تسليم قبل الحركة دي",""))))))</f>
        <v/>
      </c>
    </row>
    <row r="1425" customFormat="false" ht="15" hidden="false" customHeight="false" outlineLevel="0" collapsed="false">
      <c r="A1425" s="20"/>
      <c r="B1425" s="35" t="str">
        <f aca="false">IF($A1425="","",IFERROR(INDEX(مخرج_البند,MATCH($A1425,قائمة_المخرجات,0)),""))</f>
        <v/>
      </c>
      <c r="C1425" s="30" t="str">
        <f aca="false">IF($A1425="","",IFERROR(INDEX(مخرج_الوصف,MATCH($A1425,قائمة_المخرجات,0)),""))</f>
        <v/>
      </c>
      <c r="D1425" s="20"/>
      <c r="E1425" s="31"/>
      <c r="F1425" s="22"/>
      <c r="G1425" s="36" t="str">
        <f aca="false">IF(OR($A1425="",$D1425&lt;&gt;"تسليم",NOT(ISNUMBER($E1425))),"",COUNTIFS($A$5:$A$1504,$A1425,$D$5:$D$1504,"تسليم",$E$5:$E$1504,"&lt;"&amp;$E1425)+1)</f>
        <v/>
      </c>
      <c r="H1425" s="33" t="str">
        <f aca="false">IF($G1425="","",_xlfn.MINIFS($E$5:$E$1504,$A$5:$A$1504,$A1425,$D$5:$D$1504,"&lt;&gt;تسليم",$E$5:$E$1504,"&gt;="&amp;$E1425))</f>
        <v/>
      </c>
      <c r="I1425" s="33" t="str">
        <f aca="false">IF($G1425="","",_xlfn.MINIFS($E$5:$E$1504,$A$5:$A$1504,$A1425,$D$5:$D$1504,"تسليم",$E$5:$E$1504,"&gt;"&amp;$E1425))</f>
        <v/>
      </c>
      <c r="J1425" s="33" t="str">
        <f aca="false">IF($G1425="","",IF(H1425&gt;0,IF(I1425&gt;0,MIN(H1425,I1425),H1425),IF(I1425&gt;0,I1425,تاريخ_الاحتساب)))</f>
        <v/>
      </c>
      <c r="K1425" s="34" t="str">
        <f aca="false">IF($G1425="","",IF(AND(H1425=0,I1425=0),"جارية","مغلقة"))</f>
        <v/>
      </c>
      <c r="L1425" s="26" t="str">
        <f aca="false">IF($G1425="","",MAX(0,NETWORKDAYS.INTL($E1425,J1425,رمز_العطلة,أيام_الأجازات)-1))</f>
        <v/>
      </c>
      <c r="M1425" s="26" t="str">
        <f aca="false">IF($G1425="","",MAX(0,L1425-مهلة_المراجعة))</f>
        <v/>
      </c>
      <c r="N1425" s="30" t="str">
        <f aca="false">IF($A1425="",IF(OR($D1425&lt;&gt;"",$E1425&lt;&gt;""),"رقم المخرج ناقص",""),IF(ISNA(MATCH($A1425,قائمة_المخرجات,0)),"رقم مخرج غير موجود",IF($D1425="","نوع الحركة ناقص",IF(NOT(ISNUMBER($E1425)),"التاريخ ناقص",IF($E1425&gt;تاريخ_الاحتساب,"تاريخ بعد تاريخ الاحتساب",IF(AND($D1425&lt;&gt;"تسليم",COUNTIFS($A$5:$A$1504,$A1425,$D$5:$D$1504,"تسليم",$E$5:$E$1504,"&lt;="&amp;$E1425)=0),"لا يوجد تسليم قبل الحركة دي",""))))))</f>
        <v/>
      </c>
    </row>
    <row r="1426" customFormat="false" ht="15" hidden="false" customHeight="false" outlineLevel="0" collapsed="false">
      <c r="A1426" s="20"/>
      <c r="B1426" s="35" t="str">
        <f aca="false">IF($A1426="","",IFERROR(INDEX(مخرج_البند,MATCH($A1426,قائمة_المخرجات,0)),""))</f>
        <v/>
      </c>
      <c r="C1426" s="30" t="str">
        <f aca="false">IF($A1426="","",IFERROR(INDEX(مخرج_الوصف,MATCH($A1426,قائمة_المخرجات,0)),""))</f>
        <v/>
      </c>
      <c r="D1426" s="20"/>
      <c r="E1426" s="31"/>
      <c r="F1426" s="22"/>
      <c r="G1426" s="36" t="str">
        <f aca="false">IF(OR($A1426="",$D1426&lt;&gt;"تسليم",NOT(ISNUMBER($E1426))),"",COUNTIFS($A$5:$A$1504,$A1426,$D$5:$D$1504,"تسليم",$E$5:$E$1504,"&lt;"&amp;$E1426)+1)</f>
        <v/>
      </c>
      <c r="H1426" s="33" t="str">
        <f aca="false">IF($G1426="","",_xlfn.MINIFS($E$5:$E$1504,$A$5:$A$1504,$A1426,$D$5:$D$1504,"&lt;&gt;تسليم",$E$5:$E$1504,"&gt;="&amp;$E1426))</f>
        <v/>
      </c>
      <c r="I1426" s="33" t="str">
        <f aca="false">IF($G1426="","",_xlfn.MINIFS($E$5:$E$1504,$A$5:$A$1504,$A1426,$D$5:$D$1504,"تسليم",$E$5:$E$1504,"&gt;"&amp;$E1426))</f>
        <v/>
      </c>
      <c r="J1426" s="33" t="str">
        <f aca="false">IF($G1426="","",IF(H1426&gt;0,IF(I1426&gt;0,MIN(H1426,I1426),H1426),IF(I1426&gt;0,I1426,تاريخ_الاحتساب)))</f>
        <v/>
      </c>
      <c r="K1426" s="34" t="str">
        <f aca="false">IF($G1426="","",IF(AND(H1426=0,I1426=0),"جارية","مغلقة"))</f>
        <v/>
      </c>
      <c r="L1426" s="26" t="str">
        <f aca="false">IF($G1426="","",MAX(0,NETWORKDAYS.INTL($E1426,J1426,رمز_العطلة,أيام_الأجازات)-1))</f>
        <v/>
      </c>
      <c r="M1426" s="26" t="str">
        <f aca="false">IF($G1426="","",MAX(0,L1426-مهلة_المراجعة))</f>
        <v/>
      </c>
      <c r="N1426" s="30" t="str">
        <f aca="false">IF($A1426="",IF(OR($D1426&lt;&gt;"",$E1426&lt;&gt;""),"رقم المخرج ناقص",""),IF(ISNA(MATCH($A1426,قائمة_المخرجات,0)),"رقم مخرج غير موجود",IF($D1426="","نوع الحركة ناقص",IF(NOT(ISNUMBER($E1426)),"التاريخ ناقص",IF($E1426&gt;تاريخ_الاحتساب,"تاريخ بعد تاريخ الاحتساب",IF(AND($D1426&lt;&gt;"تسليم",COUNTIFS($A$5:$A$1504,$A1426,$D$5:$D$1504,"تسليم",$E$5:$E$1504,"&lt;="&amp;$E1426)=0),"لا يوجد تسليم قبل الحركة دي",""))))))</f>
        <v/>
      </c>
    </row>
    <row r="1427" customFormat="false" ht="15" hidden="false" customHeight="false" outlineLevel="0" collapsed="false">
      <c r="A1427" s="20"/>
      <c r="B1427" s="35" t="str">
        <f aca="false">IF($A1427="","",IFERROR(INDEX(مخرج_البند,MATCH($A1427,قائمة_المخرجات,0)),""))</f>
        <v/>
      </c>
      <c r="C1427" s="30" t="str">
        <f aca="false">IF($A1427="","",IFERROR(INDEX(مخرج_الوصف,MATCH($A1427,قائمة_المخرجات,0)),""))</f>
        <v/>
      </c>
      <c r="D1427" s="20"/>
      <c r="E1427" s="31"/>
      <c r="F1427" s="22"/>
      <c r="G1427" s="36" t="str">
        <f aca="false">IF(OR($A1427="",$D1427&lt;&gt;"تسليم",NOT(ISNUMBER($E1427))),"",COUNTIFS($A$5:$A$1504,$A1427,$D$5:$D$1504,"تسليم",$E$5:$E$1504,"&lt;"&amp;$E1427)+1)</f>
        <v/>
      </c>
      <c r="H1427" s="33" t="str">
        <f aca="false">IF($G1427="","",_xlfn.MINIFS($E$5:$E$1504,$A$5:$A$1504,$A1427,$D$5:$D$1504,"&lt;&gt;تسليم",$E$5:$E$1504,"&gt;="&amp;$E1427))</f>
        <v/>
      </c>
      <c r="I1427" s="33" t="str">
        <f aca="false">IF($G1427="","",_xlfn.MINIFS($E$5:$E$1504,$A$5:$A$1504,$A1427,$D$5:$D$1504,"تسليم",$E$5:$E$1504,"&gt;"&amp;$E1427))</f>
        <v/>
      </c>
      <c r="J1427" s="33" t="str">
        <f aca="false">IF($G1427="","",IF(H1427&gt;0,IF(I1427&gt;0,MIN(H1427,I1427),H1427),IF(I1427&gt;0,I1427,تاريخ_الاحتساب)))</f>
        <v/>
      </c>
      <c r="K1427" s="34" t="str">
        <f aca="false">IF($G1427="","",IF(AND(H1427=0,I1427=0),"جارية","مغلقة"))</f>
        <v/>
      </c>
      <c r="L1427" s="26" t="str">
        <f aca="false">IF($G1427="","",MAX(0,NETWORKDAYS.INTL($E1427,J1427,رمز_العطلة,أيام_الأجازات)-1))</f>
        <v/>
      </c>
      <c r="M1427" s="26" t="str">
        <f aca="false">IF($G1427="","",MAX(0,L1427-مهلة_المراجعة))</f>
        <v/>
      </c>
      <c r="N1427" s="30" t="str">
        <f aca="false">IF($A1427="",IF(OR($D1427&lt;&gt;"",$E1427&lt;&gt;""),"رقم المخرج ناقص",""),IF(ISNA(MATCH($A1427,قائمة_المخرجات,0)),"رقم مخرج غير موجود",IF($D1427="","نوع الحركة ناقص",IF(NOT(ISNUMBER($E1427)),"التاريخ ناقص",IF($E1427&gt;تاريخ_الاحتساب,"تاريخ بعد تاريخ الاحتساب",IF(AND($D1427&lt;&gt;"تسليم",COUNTIFS($A$5:$A$1504,$A1427,$D$5:$D$1504,"تسليم",$E$5:$E$1504,"&lt;="&amp;$E1427)=0),"لا يوجد تسليم قبل الحركة دي",""))))))</f>
        <v/>
      </c>
    </row>
    <row r="1428" customFormat="false" ht="15" hidden="false" customHeight="false" outlineLevel="0" collapsed="false">
      <c r="A1428" s="20"/>
      <c r="B1428" s="35" t="str">
        <f aca="false">IF($A1428="","",IFERROR(INDEX(مخرج_البند,MATCH($A1428,قائمة_المخرجات,0)),""))</f>
        <v/>
      </c>
      <c r="C1428" s="30" t="str">
        <f aca="false">IF($A1428="","",IFERROR(INDEX(مخرج_الوصف,MATCH($A1428,قائمة_المخرجات,0)),""))</f>
        <v/>
      </c>
      <c r="D1428" s="20"/>
      <c r="E1428" s="31"/>
      <c r="F1428" s="22"/>
      <c r="G1428" s="36" t="str">
        <f aca="false">IF(OR($A1428="",$D1428&lt;&gt;"تسليم",NOT(ISNUMBER($E1428))),"",COUNTIFS($A$5:$A$1504,$A1428,$D$5:$D$1504,"تسليم",$E$5:$E$1504,"&lt;"&amp;$E1428)+1)</f>
        <v/>
      </c>
      <c r="H1428" s="33" t="str">
        <f aca="false">IF($G1428="","",_xlfn.MINIFS($E$5:$E$1504,$A$5:$A$1504,$A1428,$D$5:$D$1504,"&lt;&gt;تسليم",$E$5:$E$1504,"&gt;="&amp;$E1428))</f>
        <v/>
      </c>
      <c r="I1428" s="33" t="str">
        <f aca="false">IF($G1428="","",_xlfn.MINIFS($E$5:$E$1504,$A$5:$A$1504,$A1428,$D$5:$D$1504,"تسليم",$E$5:$E$1504,"&gt;"&amp;$E1428))</f>
        <v/>
      </c>
      <c r="J1428" s="33" t="str">
        <f aca="false">IF($G1428="","",IF(H1428&gt;0,IF(I1428&gt;0,MIN(H1428,I1428),H1428),IF(I1428&gt;0,I1428,تاريخ_الاحتساب)))</f>
        <v/>
      </c>
      <c r="K1428" s="34" t="str">
        <f aca="false">IF($G1428="","",IF(AND(H1428=0,I1428=0),"جارية","مغلقة"))</f>
        <v/>
      </c>
      <c r="L1428" s="26" t="str">
        <f aca="false">IF($G1428="","",MAX(0,NETWORKDAYS.INTL($E1428,J1428,رمز_العطلة,أيام_الأجازات)-1))</f>
        <v/>
      </c>
      <c r="M1428" s="26" t="str">
        <f aca="false">IF($G1428="","",MAX(0,L1428-مهلة_المراجعة))</f>
        <v/>
      </c>
      <c r="N1428" s="30" t="str">
        <f aca="false">IF($A1428="",IF(OR($D1428&lt;&gt;"",$E1428&lt;&gt;""),"رقم المخرج ناقص",""),IF(ISNA(MATCH($A1428,قائمة_المخرجات,0)),"رقم مخرج غير موجود",IF($D1428="","نوع الحركة ناقص",IF(NOT(ISNUMBER($E1428)),"التاريخ ناقص",IF($E1428&gt;تاريخ_الاحتساب,"تاريخ بعد تاريخ الاحتساب",IF(AND($D1428&lt;&gt;"تسليم",COUNTIFS($A$5:$A$1504,$A1428,$D$5:$D$1504,"تسليم",$E$5:$E$1504,"&lt;="&amp;$E1428)=0),"لا يوجد تسليم قبل الحركة دي",""))))))</f>
        <v/>
      </c>
    </row>
    <row r="1429" customFormat="false" ht="15" hidden="false" customHeight="false" outlineLevel="0" collapsed="false">
      <c r="A1429" s="20"/>
      <c r="B1429" s="35" t="str">
        <f aca="false">IF($A1429="","",IFERROR(INDEX(مخرج_البند,MATCH($A1429,قائمة_المخرجات,0)),""))</f>
        <v/>
      </c>
      <c r="C1429" s="30" t="str">
        <f aca="false">IF($A1429="","",IFERROR(INDEX(مخرج_الوصف,MATCH($A1429,قائمة_المخرجات,0)),""))</f>
        <v/>
      </c>
      <c r="D1429" s="20"/>
      <c r="E1429" s="31"/>
      <c r="F1429" s="22"/>
      <c r="G1429" s="36" t="str">
        <f aca="false">IF(OR($A1429="",$D1429&lt;&gt;"تسليم",NOT(ISNUMBER($E1429))),"",COUNTIFS($A$5:$A$1504,$A1429,$D$5:$D$1504,"تسليم",$E$5:$E$1504,"&lt;"&amp;$E1429)+1)</f>
        <v/>
      </c>
      <c r="H1429" s="33" t="str">
        <f aca="false">IF($G1429="","",_xlfn.MINIFS($E$5:$E$1504,$A$5:$A$1504,$A1429,$D$5:$D$1504,"&lt;&gt;تسليم",$E$5:$E$1504,"&gt;="&amp;$E1429))</f>
        <v/>
      </c>
      <c r="I1429" s="33" t="str">
        <f aca="false">IF($G1429="","",_xlfn.MINIFS($E$5:$E$1504,$A$5:$A$1504,$A1429,$D$5:$D$1504,"تسليم",$E$5:$E$1504,"&gt;"&amp;$E1429))</f>
        <v/>
      </c>
      <c r="J1429" s="33" t="str">
        <f aca="false">IF($G1429="","",IF(H1429&gt;0,IF(I1429&gt;0,MIN(H1429,I1429),H1429),IF(I1429&gt;0,I1429,تاريخ_الاحتساب)))</f>
        <v/>
      </c>
      <c r="K1429" s="34" t="str">
        <f aca="false">IF($G1429="","",IF(AND(H1429=0,I1429=0),"جارية","مغلقة"))</f>
        <v/>
      </c>
      <c r="L1429" s="26" t="str">
        <f aca="false">IF($G1429="","",MAX(0,NETWORKDAYS.INTL($E1429,J1429,رمز_العطلة,أيام_الأجازات)-1))</f>
        <v/>
      </c>
      <c r="M1429" s="26" t="str">
        <f aca="false">IF($G1429="","",MAX(0,L1429-مهلة_المراجعة))</f>
        <v/>
      </c>
      <c r="N1429" s="30" t="str">
        <f aca="false">IF($A1429="",IF(OR($D1429&lt;&gt;"",$E1429&lt;&gt;""),"رقم المخرج ناقص",""),IF(ISNA(MATCH($A1429,قائمة_المخرجات,0)),"رقم مخرج غير موجود",IF($D1429="","نوع الحركة ناقص",IF(NOT(ISNUMBER($E1429)),"التاريخ ناقص",IF($E1429&gt;تاريخ_الاحتساب,"تاريخ بعد تاريخ الاحتساب",IF(AND($D1429&lt;&gt;"تسليم",COUNTIFS($A$5:$A$1504,$A1429,$D$5:$D$1504,"تسليم",$E$5:$E$1504,"&lt;="&amp;$E1429)=0),"لا يوجد تسليم قبل الحركة دي",""))))))</f>
        <v/>
      </c>
    </row>
    <row r="1430" customFormat="false" ht="15" hidden="false" customHeight="false" outlineLevel="0" collapsed="false">
      <c r="A1430" s="20"/>
      <c r="B1430" s="35" t="str">
        <f aca="false">IF($A1430="","",IFERROR(INDEX(مخرج_البند,MATCH($A1430,قائمة_المخرجات,0)),""))</f>
        <v/>
      </c>
      <c r="C1430" s="30" t="str">
        <f aca="false">IF($A1430="","",IFERROR(INDEX(مخرج_الوصف,MATCH($A1430,قائمة_المخرجات,0)),""))</f>
        <v/>
      </c>
      <c r="D1430" s="20"/>
      <c r="E1430" s="31"/>
      <c r="F1430" s="22"/>
      <c r="G1430" s="36" t="str">
        <f aca="false">IF(OR($A1430="",$D1430&lt;&gt;"تسليم",NOT(ISNUMBER($E1430))),"",COUNTIFS($A$5:$A$1504,$A1430,$D$5:$D$1504,"تسليم",$E$5:$E$1504,"&lt;"&amp;$E1430)+1)</f>
        <v/>
      </c>
      <c r="H1430" s="33" t="str">
        <f aca="false">IF($G1430="","",_xlfn.MINIFS($E$5:$E$1504,$A$5:$A$1504,$A1430,$D$5:$D$1504,"&lt;&gt;تسليم",$E$5:$E$1504,"&gt;="&amp;$E1430))</f>
        <v/>
      </c>
      <c r="I1430" s="33" t="str">
        <f aca="false">IF($G1430="","",_xlfn.MINIFS($E$5:$E$1504,$A$5:$A$1504,$A1430,$D$5:$D$1504,"تسليم",$E$5:$E$1504,"&gt;"&amp;$E1430))</f>
        <v/>
      </c>
      <c r="J1430" s="33" t="str">
        <f aca="false">IF($G1430="","",IF(H1430&gt;0,IF(I1430&gt;0,MIN(H1430,I1430),H1430),IF(I1430&gt;0,I1430,تاريخ_الاحتساب)))</f>
        <v/>
      </c>
      <c r="K1430" s="34" t="str">
        <f aca="false">IF($G1430="","",IF(AND(H1430=0,I1430=0),"جارية","مغلقة"))</f>
        <v/>
      </c>
      <c r="L1430" s="26" t="str">
        <f aca="false">IF($G1430="","",MAX(0,NETWORKDAYS.INTL($E1430,J1430,رمز_العطلة,أيام_الأجازات)-1))</f>
        <v/>
      </c>
      <c r="M1430" s="26" t="str">
        <f aca="false">IF($G1430="","",MAX(0,L1430-مهلة_المراجعة))</f>
        <v/>
      </c>
      <c r="N1430" s="30" t="str">
        <f aca="false">IF($A1430="",IF(OR($D1430&lt;&gt;"",$E1430&lt;&gt;""),"رقم المخرج ناقص",""),IF(ISNA(MATCH($A1430,قائمة_المخرجات,0)),"رقم مخرج غير موجود",IF($D1430="","نوع الحركة ناقص",IF(NOT(ISNUMBER($E1430)),"التاريخ ناقص",IF($E1430&gt;تاريخ_الاحتساب,"تاريخ بعد تاريخ الاحتساب",IF(AND($D1430&lt;&gt;"تسليم",COUNTIFS($A$5:$A$1504,$A1430,$D$5:$D$1504,"تسليم",$E$5:$E$1504,"&lt;="&amp;$E1430)=0),"لا يوجد تسليم قبل الحركة دي",""))))))</f>
        <v/>
      </c>
    </row>
    <row r="1431" customFormat="false" ht="15" hidden="false" customHeight="false" outlineLevel="0" collapsed="false">
      <c r="A1431" s="20"/>
      <c r="B1431" s="35" t="str">
        <f aca="false">IF($A1431="","",IFERROR(INDEX(مخرج_البند,MATCH($A1431,قائمة_المخرجات,0)),""))</f>
        <v/>
      </c>
      <c r="C1431" s="30" t="str">
        <f aca="false">IF($A1431="","",IFERROR(INDEX(مخرج_الوصف,MATCH($A1431,قائمة_المخرجات,0)),""))</f>
        <v/>
      </c>
      <c r="D1431" s="20"/>
      <c r="E1431" s="31"/>
      <c r="F1431" s="22"/>
      <c r="G1431" s="36" t="str">
        <f aca="false">IF(OR($A1431="",$D1431&lt;&gt;"تسليم",NOT(ISNUMBER($E1431))),"",COUNTIFS($A$5:$A$1504,$A1431,$D$5:$D$1504,"تسليم",$E$5:$E$1504,"&lt;"&amp;$E1431)+1)</f>
        <v/>
      </c>
      <c r="H1431" s="33" t="str">
        <f aca="false">IF($G1431="","",_xlfn.MINIFS($E$5:$E$1504,$A$5:$A$1504,$A1431,$D$5:$D$1504,"&lt;&gt;تسليم",$E$5:$E$1504,"&gt;="&amp;$E1431))</f>
        <v/>
      </c>
      <c r="I1431" s="33" t="str">
        <f aca="false">IF($G1431="","",_xlfn.MINIFS($E$5:$E$1504,$A$5:$A$1504,$A1431,$D$5:$D$1504,"تسليم",$E$5:$E$1504,"&gt;"&amp;$E1431))</f>
        <v/>
      </c>
      <c r="J1431" s="33" t="str">
        <f aca="false">IF($G1431="","",IF(H1431&gt;0,IF(I1431&gt;0,MIN(H1431,I1431),H1431),IF(I1431&gt;0,I1431,تاريخ_الاحتساب)))</f>
        <v/>
      </c>
      <c r="K1431" s="34" t="str">
        <f aca="false">IF($G1431="","",IF(AND(H1431=0,I1431=0),"جارية","مغلقة"))</f>
        <v/>
      </c>
      <c r="L1431" s="26" t="str">
        <f aca="false">IF($G1431="","",MAX(0,NETWORKDAYS.INTL($E1431,J1431,رمز_العطلة,أيام_الأجازات)-1))</f>
        <v/>
      </c>
      <c r="M1431" s="26" t="str">
        <f aca="false">IF($G1431="","",MAX(0,L1431-مهلة_المراجعة))</f>
        <v/>
      </c>
      <c r="N1431" s="30" t="str">
        <f aca="false">IF($A1431="",IF(OR($D1431&lt;&gt;"",$E1431&lt;&gt;""),"رقم المخرج ناقص",""),IF(ISNA(MATCH($A1431,قائمة_المخرجات,0)),"رقم مخرج غير موجود",IF($D1431="","نوع الحركة ناقص",IF(NOT(ISNUMBER($E1431)),"التاريخ ناقص",IF($E1431&gt;تاريخ_الاحتساب,"تاريخ بعد تاريخ الاحتساب",IF(AND($D1431&lt;&gt;"تسليم",COUNTIFS($A$5:$A$1504,$A1431,$D$5:$D$1504,"تسليم",$E$5:$E$1504,"&lt;="&amp;$E1431)=0),"لا يوجد تسليم قبل الحركة دي",""))))))</f>
        <v/>
      </c>
    </row>
    <row r="1432" customFormat="false" ht="15" hidden="false" customHeight="false" outlineLevel="0" collapsed="false">
      <c r="A1432" s="20"/>
      <c r="B1432" s="35" t="str">
        <f aca="false">IF($A1432="","",IFERROR(INDEX(مخرج_البند,MATCH($A1432,قائمة_المخرجات,0)),""))</f>
        <v/>
      </c>
      <c r="C1432" s="30" t="str">
        <f aca="false">IF($A1432="","",IFERROR(INDEX(مخرج_الوصف,MATCH($A1432,قائمة_المخرجات,0)),""))</f>
        <v/>
      </c>
      <c r="D1432" s="20"/>
      <c r="E1432" s="31"/>
      <c r="F1432" s="22"/>
      <c r="G1432" s="36" t="str">
        <f aca="false">IF(OR($A1432="",$D1432&lt;&gt;"تسليم",NOT(ISNUMBER($E1432))),"",COUNTIFS($A$5:$A$1504,$A1432,$D$5:$D$1504,"تسليم",$E$5:$E$1504,"&lt;"&amp;$E1432)+1)</f>
        <v/>
      </c>
      <c r="H1432" s="33" t="str">
        <f aca="false">IF($G1432="","",_xlfn.MINIFS($E$5:$E$1504,$A$5:$A$1504,$A1432,$D$5:$D$1504,"&lt;&gt;تسليم",$E$5:$E$1504,"&gt;="&amp;$E1432))</f>
        <v/>
      </c>
      <c r="I1432" s="33" t="str">
        <f aca="false">IF($G1432="","",_xlfn.MINIFS($E$5:$E$1504,$A$5:$A$1504,$A1432,$D$5:$D$1504,"تسليم",$E$5:$E$1504,"&gt;"&amp;$E1432))</f>
        <v/>
      </c>
      <c r="J1432" s="33" t="str">
        <f aca="false">IF($G1432="","",IF(H1432&gt;0,IF(I1432&gt;0,MIN(H1432,I1432),H1432),IF(I1432&gt;0,I1432,تاريخ_الاحتساب)))</f>
        <v/>
      </c>
      <c r="K1432" s="34" t="str">
        <f aca="false">IF($G1432="","",IF(AND(H1432=0,I1432=0),"جارية","مغلقة"))</f>
        <v/>
      </c>
      <c r="L1432" s="26" t="str">
        <f aca="false">IF($G1432="","",MAX(0,NETWORKDAYS.INTL($E1432,J1432,رمز_العطلة,أيام_الأجازات)-1))</f>
        <v/>
      </c>
      <c r="M1432" s="26" t="str">
        <f aca="false">IF($G1432="","",MAX(0,L1432-مهلة_المراجعة))</f>
        <v/>
      </c>
      <c r="N1432" s="30" t="str">
        <f aca="false">IF($A1432="",IF(OR($D1432&lt;&gt;"",$E1432&lt;&gt;""),"رقم المخرج ناقص",""),IF(ISNA(MATCH($A1432,قائمة_المخرجات,0)),"رقم مخرج غير موجود",IF($D1432="","نوع الحركة ناقص",IF(NOT(ISNUMBER($E1432)),"التاريخ ناقص",IF($E1432&gt;تاريخ_الاحتساب,"تاريخ بعد تاريخ الاحتساب",IF(AND($D1432&lt;&gt;"تسليم",COUNTIFS($A$5:$A$1504,$A1432,$D$5:$D$1504,"تسليم",$E$5:$E$1504,"&lt;="&amp;$E1432)=0),"لا يوجد تسليم قبل الحركة دي",""))))))</f>
        <v/>
      </c>
    </row>
    <row r="1433" customFormat="false" ht="15" hidden="false" customHeight="false" outlineLevel="0" collapsed="false">
      <c r="A1433" s="20"/>
      <c r="B1433" s="35" t="str">
        <f aca="false">IF($A1433="","",IFERROR(INDEX(مخرج_البند,MATCH($A1433,قائمة_المخرجات,0)),""))</f>
        <v/>
      </c>
      <c r="C1433" s="30" t="str">
        <f aca="false">IF($A1433="","",IFERROR(INDEX(مخرج_الوصف,MATCH($A1433,قائمة_المخرجات,0)),""))</f>
        <v/>
      </c>
      <c r="D1433" s="20"/>
      <c r="E1433" s="31"/>
      <c r="F1433" s="22"/>
      <c r="G1433" s="36" t="str">
        <f aca="false">IF(OR($A1433="",$D1433&lt;&gt;"تسليم",NOT(ISNUMBER($E1433))),"",COUNTIFS($A$5:$A$1504,$A1433,$D$5:$D$1504,"تسليم",$E$5:$E$1504,"&lt;"&amp;$E1433)+1)</f>
        <v/>
      </c>
      <c r="H1433" s="33" t="str">
        <f aca="false">IF($G1433="","",_xlfn.MINIFS($E$5:$E$1504,$A$5:$A$1504,$A1433,$D$5:$D$1504,"&lt;&gt;تسليم",$E$5:$E$1504,"&gt;="&amp;$E1433))</f>
        <v/>
      </c>
      <c r="I1433" s="33" t="str">
        <f aca="false">IF($G1433="","",_xlfn.MINIFS($E$5:$E$1504,$A$5:$A$1504,$A1433,$D$5:$D$1504,"تسليم",$E$5:$E$1504,"&gt;"&amp;$E1433))</f>
        <v/>
      </c>
      <c r="J1433" s="33" t="str">
        <f aca="false">IF($G1433="","",IF(H1433&gt;0,IF(I1433&gt;0,MIN(H1433,I1433),H1433),IF(I1433&gt;0,I1433,تاريخ_الاحتساب)))</f>
        <v/>
      </c>
      <c r="K1433" s="34" t="str">
        <f aca="false">IF($G1433="","",IF(AND(H1433=0,I1433=0),"جارية","مغلقة"))</f>
        <v/>
      </c>
      <c r="L1433" s="26" t="str">
        <f aca="false">IF($G1433="","",MAX(0,NETWORKDAYS.INTL($E1433,J1433,رمز_العطلة,أيام_الأجازات)-1))</f>
        <v/>
      </c>
      <c r="M1433" s="26" t="str">
        <f aca="false">IF($G1433="","",MAX(0,L1433-مهلة_المراجعة))</f>
        <v/>
      </c>
      <c r="N1433" s="30" t="str">
        <f aca="false">IF($A1433="",IF(OR($D1433&lt;&gt;"",$E1433&lt;&gt;""),"رقم المخرج ناقص",""),IF(ISNA(MATCH($A1433,قائمة_المخرجات,0)),"رقم مخرج غير موجود",IF($D1433="","نوع الحركة ناقص",IF(NOT(ISNUMBER($E1433)),"التاريخ ناقص",IF($E1433&gt;تاريخ_الاحتساب,"تاريخ بعد تاريخ الاحتساب",IF(AND($D1433&lt;&gt;"تسليم",COUNTIFS($A$5:$A$1504,$A1433,$D$5:$D$1504,"تسليم",$E$5:$E$1504,"&lt;="&amp;$E1433)=0),"لا يوجد تسليم قبل الحركة دي",""))))))</f>
        <v/>
      </c>
    </row>
    <row r="1434" customFormat="false" ht="15" hidden="false" customHeight="false" outlineLevel="0" collapsed="false">
      <c r="A1434" s="20"/>
      <c r="B1434" s="35" t="str">
        <f aca="false">IF($A1434="","",IFERROR(INDEX(مخرج_البند,MATCH($A1434,قائمة_المخرجات,0)),""))</f>
        <v/>
      </c>
      <c r="C1434" s="30" t="str">
        <f aca="false">IF($A1434="","",IFERROR(INDEX(مخرج_الوصف,MATCH($A1434,قائمة_المخرجات,0)),""))</f>
        <v/>
      </c>
      <c r="D1434" s="20"/>
      <c r="E1434" s="31"/>
      <c r="F1434" s="22"/>
      <c r="G1434" s="36" t="str">
        <f aca="false">IF(OR($A1434="",$D1434&lt;&gt;"تسليم",NOT(ISNUMBER($E1434))),"",COUNTIFS($A$5:$A$1504,$A1434,$D$5:$D$1504,"تسليم",$E$5:$E$1504,"&lt;"&amp;$E1434)+1)</f>
        <v/>
      </c>
      <c r="H1434" s="33" t="str">
        <f aca="false">IF($G1434="","",_xlfn.MINIFS($E$5:$E$1504,$A$5:$A$1504,$A1434,$D$5:$D$1504,"&lt;&gt;تسليم",$E$5:$E$1504,"&gt;="&amp;$E1434))</f>
        <v/>
      </c>
      <c r="I1434" s="33" t="str">
        <f aca="false">IF($G1434="","",_xlfn.MINIFS($E$5:$E$1504,$A$5:$A$1504,$A1434,$D$5:$D$1504,"تسليم",$E$5:$E$1504,"&gt;"&amp;$E1434))</f>
        <v/>
      </c>
      <c r="J1434" s="33" t="str">
        <f aca="false">IF($G1434="","",IF(H1434&gt;0,IF(I1434&gt;0,MIN(H1434,I1434),H1434),IF(I1434&gt;0,I1434,تاريخ_الاحتساب)))</f>
        <v/>
      </c>
      <c r="K1434" s="34" t="str">
        <f aca="false">IF($G1434="","",IF(AND(H1434=0,I1434=0),"جارية","مغلقة"))</f>
        <v/>
      </c>
      <c r="L1434" s="26" t="str">
        <f aca="false">IF($G1434="","",MAX(0,NETWORKDAYS.INTL($E1434,J1434,رمز_العطلة,أيام_الأجازات)-1))</f>
        <v/>
      </c>
      <c r="M1434" s="26" t="str">
        <f aca="false">IF($G1434="","",MAX(0,L1434-مهلة_المراجعة))</f>
        <v/>
      </c>
      <c r="N1434" s="30" t="str">
        <f aca="false">IF($A1434="",IF(OR($D1434&lt;&gt;"",$E1434&lt;&gt;""),"رقم المخرج ناقص",""),IF(ISNA(MATCH($A1434,قائمة_المخرجات,0)),"رقم مخرج غير موجود",IF($D1434="","نوع الحركة ناقص",IF(NOT(ISNUMBER($E1434)),"التاريخ ناقص",IF($E1434&gt;تاريخ_الاحتساب,"تاريخ بعد تاريخ الاحتساب",IF(AND($D1434&lt;&gt;"تسليم",COUNTIFS($A$5:$A$1504,$A1434,$D$5:$D$1504,"تسليم",$E$5:$E$1504,"&lt;="&amp;$E1434)=0),"لا يوجد تسليم قبل الحركة دي",""))))))</f>
        <v/>
      </c>
    </row>
    <row r="1435" customFormat="false" ht="15" hidden="false" customHeight="false" outlineLevel="0" collapsed="false">
      <c r="A1435" s="20"/>
      <c r="B1435" s="35" t="str">
        <f aca="false">IF($A1435="","",IFERROR(INDEX(مخرج_البند,MATCH($A1435,قائمة_المخرجات,0)),""))</f>
        <v/>
      </c>
      <c r="C1435" s="30" t="str">
        <f aca="false">IF($A1435="","",IFERROR(INDEX(مخرج_الوصف,MATCH($A1435,قائمة_المخرجات,0)),""))</f>
        <v/>
      </c>
      <c r="D1435" s="20"/>
      <c r="E1435" s="31"/>
      <c r="F1435" s="22"/>
      <c r="G1435" s="36" t="str">
        <f aca="false">IF(OR($A1435="",$D1435&lt;&gt;"تسليم",NOT(ISNUMBER($E1435))),"",COUNTIFS($A$5:$A$1504,$A1435,$D$5:$D$1504,"تسليم",$E$5:$E$1504,"&lt;"&amp;$E1435)+1)</f>
        <v/>
      </c>
      <c r="H1435" s="33" t="str">
        <f aca="false">IF($G1435="","",_xlfn.MINIFS($E$5:$E$1504,$A$5:$A$1504,$A1435,$D$5:$D$1504,"&lt;&gt;تسليم",$E$5:$E$1504,"&gt;="&amp;$E1435))</f>
        <v/>
      </c>
      <c r="I1435" s="33" t="str">
        <f aca="false">IF($G1435="","",_xlfn.MINIFS($E$5:$E$1504,$A$5:$A$1504,$A1435,$D$5:$D$1504,"تسليم",$E$5:$E$1504,"&gt;"&amp;$E1435))</f>
        <v/>
      </c>
      <c r="J1435" s="33" t="str">
        <f aca="false">IF($G1435="","",IF(H1435&gt;0,IF(I1435&gt;0,MIN(H1435,I1435),H1435),IF(I1435&gt;0,I1435,تاريخ_الاحتساب)))</f>
        <v/>
      </c>
      <c r="K1435" s="34" t="str">
        <f aca="false">IF($G1435="","",IF(AND(H1435=0,I1435=0),"جارية","مغلقة"))</f>
        <v/>
      </c>
      <c r="L1435" s="26" t="str">
        <f aca="false">IF($G1435="","",MAX(0,NETWORKDAYS.INTL($E1435,J1435,رمز_العطلة,أيام_الأجازات)-1))</f>
        <v/>
      </c>
      <c r="M1435" s="26" t="str">
        <f aca="false">IF($G1435="","",MAX(0,L1435-مهلة_المراجعة))</f>
        <v/>
      </c>
      <c r="N1435" s="30" t="str">
        <f aca="false">IF($A1435="",IF(OR($D1435&lt;&gt;"",$E1435&lt;&gt;""),"رقم المخرج ناقص",""),IF(ISNA(MATCH($A1435,قائمة_المخرجات,0)),"رقم مخرج غير موجود",IF($D1435="","نوع الحركة ناقص",IF(NOT(ISNUMBER($E1435)),"التاريخ ناقص",IF($E1435&gt;تاريخ_الاحتساب,"تاريخ بعد تاريخ الاحتساب",IF(AND($D1435&lt;&gt;"تسليم",COUNTIFS($A$5:$A$1504,$A1435,$D$5:$D$1504,"تسليم",$E$5:$E$1504,"&lt;="&amp;$E1435)=0),"لا يوجد تسليم قبل الحركة دي",""))))))</f>
        <v/>
      </c>
    </row>
    <row r="1436" customFormat="false" ht="15" hidden="false" customHeight="false" outlineLevel="0" collapsed="false">
      <c r="A1436" s="20"/>
      <c r="B1436" s="35" t="str">
        <f aca="false">IF($A1436="","",IFERROR(INDEX(مخرج_البند,MATCH($A1436,قائمة_المخرجات,0)),""))</f>
        <v/>
      </c>
      <c r="C1436" s="30" t="str">
        <f aca="false">IF($A1436="","",IFERROR(INDEX(مخرج_الوصف,MATCH($A1436,قائمة_المخرجات,0)),""))</f>
        <v/>
      </c>
      <c r="D1436" s="20"/>
      <c r="E1436" s="31"/>
      <c r="F1436" s="22"/>
      <c r="G1436" s="36" t="str">
        <f aca="false">IF(OR($A1436="",$D1436&lt;&gt;"تسليم",NOT(ISNUMBER($E1436))),"",COUNTIFS($A$5:$A$1504,$A1436,$D$5:$D$1504,"تسليم",$E$5:$E$1504,"&lt;"&amp;$E1436)+1)</f>
        <v/>
      </c>
      <c r="H1436" s="33" t="str">
        <f aca="false">IF($G1436="","",_xlfn.MINIFS($E$5:$E$1504,$A$5:$A$1504,$A1436,$D$5:$D$1504,"&lt;&gt;تسليم",$E$5:$E$1504,"&gt;="&amp;$E1436))</f>
        <v/>
      </c>
      <c r="I1436" s="33" t="str">
        <f aca="false">IF($G1436="","",_xlfn.MINIFS($E$5:$E$1504,$A$5:$A$1504,$A1436,$D$5:$D$1504,"تسليم",$E$5:$E$1504,"&gt;"&amp;$E1436))</f>
        <v/>
      </c>
      <c r="J1436" s="33" t="str">
        <f aca="false">IF($G1436="","",IF(H1436&gt;0,IF(I1436&gt;0,MIN(H1436,I1436),H1436),IF(I1436&gt;0,I1436,تاريخ_الاحتساب)))</f>
        <v/>
      </c>
      <c r="K1436" s="34" t="str">
        <f aca="false">IF($G1436="","",IF(AND(H1436=0,I1436=0),"جارية","مغلقة"))</f>
        <v/>
      </c>
      <c r="L1436" s="26" t="str">
        <f aca="false">IF($G1436="","",MAX(0,NETWORKDAYS.INTL($E1436,J1436,رمز_العطلة,أيام_الأجازات)-1))</f>
        <v/>
      </c>
      <c r="M1436" s="26" t="str">
        <f aca="false">IF($G1436="","",MAX(0,L1436-مهلة_المراجعة))</f>
        <v/>
      </c>
      <c r="N1436" s="30" t="str">
        <f aca="false">IF($A1436="",IF(OR($D1436&lt;&gt;"",$E1436&lt;&gt;""),"رقم المخرج ناقص",""),IF(ISNA(MATCH($A1436,قائمة_المخرجات,0)),"رقم مخرج غير موجود",IF($D1436="","نوع الحركة ناقص",IF(NOT(ISNUMBER($E1436)),"التاريخ ناقص",IF($E1436&gt;تاريخ_الاحتساب,"تاريخ بعد تاريخ الاحتساب",IF(AND($D1436&lt;&gt;"تسليم",COUNTIFS($A$5:$A$1504,$A1436,$D$5:$D$1504,"تسليم",$E$5:$E$1504,"&lt;="&amp;$E1436)=0),"لا يوجد تسليم قبل الحركة دي",""))))))</f>
        <v/>
      </c>
    </row>
    <row r="1437" customFormat="false" ht="15" hidden="false" customHeight="false" outlineLevel="0" collapsed="false">
      <c r="A1437" s="20"/>
      <c r="B1437" s="35" t="str">
        <f aca="false">IF($A1437="","",IFERROR(INDEX(مخرج_البند,MATCH($A1437,قائمة_المخرجات,0)),""))</f>
        <v/>
      </c>
      <c r="C1437" s="30" t="str">
        <f aca="false">IF($A1437="","",IFERROR(INDEX(مخرج_الوصف,MATCH($A1437,قائمة_المخرجات,0)),""))</f>
        <v/>
      </c>
      <c r="D1437" s="20"/>
      <c r="E1437" s="31"/>
      <c r="F1437" s="22"/>
      <c r="G1437" s="36" t="str">
        <f aca="false">IF(OR($A1437="",$D1437&lt;&gt;"تسليم",NOT(ISNUMBER($E1437))),"",COUNTIFS($A$5:$A$1504,$A1437,$D$5:$D$1504,"تسليم",$E$5:$E$1504,"&lt;"&amp;$E1437)+1)</f>
        <v/>
      </c>
      <c r="H1437" s="33" t="str">
        <f aca="false">IF($G1437="","",_xlfn.MINIFS($E$5:$E$1504,$A$5:$A$1504,$A1437,$D$5:$D$1504,"&lt;&gt;تسليم",$E$5:$E$1504,"&gt;="&amp;$E1437))</f>
        <v/>
      </c>
      <c r="I1437" s="33" t="str">
        <f aca="false">IF($G1437="","",_xlfn.MINIFS($E$5:$E$1504,$A$5:$A$1504,$A1437,$D$5:$D$1504,"تسليم",$E$5:$E$1504,"&gt;"&amp;$E1437))</f>
        <v/>
      </c>
      <c r="J1437" s="33" t="str">
        <f aca="false">IF($G1437="","",IF(H1437&gt;0,IF(I1437&gt;0,MIN(H1437,I1437),H1437),IF(I1437&gt;0,I1437,تاريخ_الاحتساب)))</f>
        <v/>
      </c>
      <c r="K1437" s="34" t="str">
        <f aca="false">IF($G1437="","",IF(AND(H1437=0,I1437=0),"جارية","مغلقة"))</f>
        <v/>
      </c>
      <c r="L1437" s="26" t="str">
        <f aca="false">IF($G1437="","",MAX(0,NETWORKDAYS.INTL($E1437,J1437,رمز_العطلة,أيام_الأجازات)-1))</f>
        <v/>
      </c>
      <c r="M1437" s="26" t="str">
        <f aca="false">IF($G1437="","",MAX(0,L1437-مهلة_المراجعة))</f>
        <v/>
      </c>
      <c r="N1437" s="30" t="str">
        <f aca="false">IF($A1437="",IF(OR($D1437&lt;&gt;"",$E1437&lt;&gt;""),"رقم المخرج ناقص",""),IF(ISNA(MATCH($A1437,قائمة_المخرجات,0)),"رقم مخرج غير موجود",IF($D1437="","نوع الحركة ناقص",IF(NOT(ISNUMBER($E1437)),"التاريخ ناقص",IF($E1437&gt;تاريخ_الاحتساب,"تاريخ بعد تاريخ الاحتساب",IF(AND($D1437&lt;&gt;"تسليم",COUNTIFS($A$5:$A$1504,$A1437,$D$5:$D$1504,"تسليم",$E$5:$E$1504,"&lt;="&amp;$E1437)=0),"لا يوجد تسليم قبل الحركة دي",""))))))</f>
        <v/>
      </c>
    </row>
    <row r="1438" customFormat="false" ht="15" hidden="false" customHeight="false" outlineLevel="0" collapsed="false">
      <c r="A1438" s="20"/>
      <c r="B1438" s="35" t="str">
        <f aca="false">IF($A1438="","",IFERROR(INDEX(مخرج_البند,MATCH($A1438,قائمة_المخرجات,0)),""))</f>
        <v/>
      </c>
      <c r="C1438" s="30" t="str">
        <f aca="false">IF($A1438="","",IFERROR(INDEX(مخرج_الوصف,MATCH($A1438,قائمة_المخرجات,0)),""))</f>
        <v/>
      </c>
      <c r="D1438" s="20"/>
      <c r="E1438" s="31"/>
      <c r="F1438" s="22"/>
      <c r="G1438" s="36" t="str">
        <f aca="false">IF(OR($A1438="",$D1438&lt;&gt;"تسليم",NOT(ISNUMBER($E1438))),"",COUNTIFS($A$5:$A$1504,$A1438,$D$5:$D$1504,"تسليم",$E$5:$E$1504,"&lt;"&amp;$E1438)+1)</f>
        <v/>
      </c>
      <c r="H1438" s="33" t="str">
        <f aca="false">IF($G1438="","",_xlfn.MINIFS($E$5:$E$1504,$A$5:$A$1504,$A1438,$D$5:$D$1504,"&lt;&gt;تسليم",$E$5:$E$1504,"&gt;="&amp;$E1438))</f>
        <v/>
      </c>
      <c r="I1438" s="33" t="str">
        <f aca="false">IF($G1438="","",_xlfn.MINIFS($E$5:$E$1504,$A$5:$A$1504,$A1438,$D$5:$D$1504,"تسليم",$E$5:$E$1504,"&gt;"&amp;$E1438))</f>
        <v/>
      </c>
      <c r="J1438" s="33" t="str">
        <f aca="false">IF($G1438="","",IF(H1438&gt;0,IF(I1438&gt;0,MIN(H1438,I1438),H1438),IF(I1438&gt;0,I1438,تاريخ_الاحتساب)))</f>
        <v/>
      </c>
      <c r="K1438" s="34" t="str">
        <f aca="false">IF($G1438="","",IF(AND(H1438=0,I1438=0),"جارية","مغلقة"))</f>
        <v/>
      </c>
      <c r="L1438" s="26" t="str">
        <f aca="false">IF($G1438="","",MAX(0,NETWORKDAYS.INTL($E1438,J1438,رمز_العطلة,أيام_الأجازات)-1))</f>
        <v/>
      </c>
      <c r="M1438" s="26" t="str">
        <f aca="false">IF($G1438="","",MAX(0,L1438-مهلة_المراجعة))</f>
        <v/>
      </c>
      <c r="N1438" s="30" t="str">
        <f aca="false">IF($A1438="",IF(OR($D1438&lt;&gt;"",$E1438&lt;&gt;""),"رقم المخرج ناقص",""),IF(ISNA(MATCH($A1438,قائمة_المخرجات,0)),"رقم مخرج غير موجود",IF($D1438="","نوع الحركة ناقص",IF(NOT(ISNUMBER($E1438)),"التاريخ ناقص",IF($E1438&gt;تاريخ_الاحتساب,"تاريخ بعد تاريخ الاحتساب",IF(AND($D1438&lt;&gt;"تسليم",COUNTIFS($A$5:$A$1504,$A1438,$D$5:$D$1504,"تسليم",$E$5:$E$1504,"&lt;="&amp;$E1438)=0),"لا يوجد تسليم قبل الحركة دي",""))))))</f>
        <v/>
      </c>
    </row>
    <row r="1439" customFormat="false" ht="15" hidden="false" customHeight="false" outlineLevel="0" collapsed="false">
      <c r="A1439" s="20"/>
      <c r="B1439" s="35" t="str">
        <f aca="false">IF($A1439="","",IFERROR(INDEX(مخرج_البند,MATCH($A1439,قائمة_المخرجات,0)),""))</f>
        <v/>
      </c>
      <c r="C1439" s="30" t="str">
        <f aca="false">IF($A1439="","",IFERROR(INDEX(مخرج_الوصف,MATCH($A1439,قائمة_المخرجات,0)),""))</f>
        <v/>
      </c>
      <c r="D1439" s="20"/>
      <c r="E1439" s="31"/>
      <c r="F1439" s="22"/>
      <c r="G1439" s="36" t="str">
        <f aca="false">IF(OR($A1439="",$D1439&lt;&gt;"تسليم",NOT(ISNUMBER($E1439))),"",COUNTIFS($A$5:$A$1504,$A1439,$D$5:$D$1504,"تسليم",$E$5:$E$1504,"&lt;"&amp;$E1439)+1)</f>
        <v/>
      </c>
      <c r="H1439" s="33" t="str">
        <f aca="false">IF($G1439="","",_xlfn.MINIFS($E$5:$E$1504,$A$5:$A$1504,$A1439,$D$5:$D$1504,"&lt;&gt;تسليم",$E$5:$E$1504,"&gt;="&amp;$E1439))</f>
        <v/>
      </c>
      <c r="I1439" s="33" t="str">
        <f aca="false">IF($G1439="","",_xlfn.MINIFS($E$5:$E$1504,$A$5:$A$1504,$A1439,$D$5:$D$1504,"تسليم",$E$5:$E$1504,"&gt;"&amp;$E1439))</f>
        <v/>
      </c>
      <c r="J1439" s="33" t="str">
        <f aca="false">IF($G1439="","",IF(H1439&gt;0,IF(I1439&gt;0,MIN(H1439,I1439),H1439),IF(I1439&gt;0,I1439,تاريخ_الاحتساب)))</f>
        <v/>
      </c>
      <c r="K1439" s="34" t="str">
        <f aca="false">IF($G1439="","",IF(AND(H1439=0,I1439=0),"جارية","مغلقة"))</f>
        <v/>
      </c>
      <c r="L1439" s="26" t="str">
        <f aca="false">IF($G1439="","",MAX(0,NETWORKDAYS.INTL($E1439,J1439,رمز_العطلة,أيام_الأجازات)-1))</f>
        <v/>
      </c>
      <c r="M1439" s="26" t="str">
        <f aca="false">IF($G1439="","",MAX(0,L1439-مهلة_المراجعة))</f>
        <v/>
      </c>
      <c r="N1439" s="30" t="str">
        <f aca="false">IF($A1439="",IF(OR($D1439&lt;&gt;"",$E1439&lt;&gt;""),"رقم المخرج ناقص",""),IF(ISNA(MATCH($A1439,قائمة_المخرجات,0)),"رقم مخرج غير موجود",IF($D1439="","نوع الحركة ناقص",IF(NOT(ISNUMBER($E1439)),"التاريخ ناقص",IF($E1439&gt;تاريخ_الاحتساب,"تاريخ بعد تاريخ الاحتساب",IF(AND($D1439&lt;&gt;"تسليم",COUNTIFS($A$5:$A$1504,$A1439,$D$5:$D$1504,"تسليم",$E$5:$E$1504,"&lt;="&amp;$E1439)=0),"لا يوجد تسليم قبل الحركة دي",""))))))</f>
        <v/>
      </c>
    </row>
    <row r="1440" customFormat="false" ht="15" hidden="false" customHeight="false" outlineLevel="0" collapsed="false">
      <c r="A1440" s="20"/>
      <c r="B1440" s="35" t="str">
        <f aca="false">IF($A1440="","",IFERROR(INDEX(مخرج_البند,MATCH($A1440,قائمة_المخرجات,0)),""))</f>
        <v/>
      </c>
      <c r="C1440" s="30" t="str">
        <f aca="false">IF($A1440="","",IFERROR(INDEX(مخرج_الوصف,MATCH($A1440,قائمة_المخرجات,0)),""))</f>
        <v/>
      </c>
      <c r="D1440" s="20"/>
      <c r="E1440" s="31"/>
      <c r="F1440" s="22"/>
      <c r="G1440" s="36" t="str">
        <f aca="false">IF(OR($A1440="",$D1440&lt;&gt;"تسليم",NOT(ISNUMBER($E1440))),"",COUNTIFS($A$5:$A$1504,$A1440,$D$5:$D$1504,"تسليم",$E$5:$E$1504,"&lt;"&amp;$E1440)+1)</f>
        <v/>
      </c>
      <c r="H1440" s="33" t="str">
        <f aca="false">IF($G1440="","",_xlfn.MINIFS($E$5:$E$1504,$A$5:$A$1504,$A1440,$D$5:$D$1504,"&lt;&gt;تسليم",$E$5:$E$1504,"&gt;="&amp;$E1440))</f>
        <v/>
      </c>
      <c r="I1440" s="33" t="str">
        <f aca="false">IF($G1440="","",_xlfn.MINIFS($E$5:$E$1504,$A$5:$A$1504,$A1440,$D$5:$D$1504,"تسليم",$E$5:$E$1504,"&gt;"&amp;$E1440))</f>
        <v/>
      </c>
      <c r="J1440" s="33" t="str">
        <f aca="false">IF($G1440="","",IF(H1440&gt;0,IF(I1440&gt;0,MIN(H1440,I1440),H1440),IF(I1440&gt;0,I1440,تاريخ_الاحتساب)))</f>
        <v/>
      </c>
      <c r="K1440" s="34" t="str">
        <f aca="false">IF($G1440="","",IF(AND(H1440=0,I1440=0),"جارية","مغلقة"))</f>
        <v/>
      </c>
      <c r="L1440" s="26" t="str">
        <f aca="false">IF($G1440="","",MAX(0,NETWORKDAYS.INTL($E1440,J1440,رمز_العطلة,أيام_الأجازات)-1))</f>
        <v/>
      </c>
      <c r="M1440" s="26" t="str">
        <f aca="false">IF($G1440="","",MAX(0,L1440-مهلة_المراجعة))</f>
        <v/>
      </c>
      <c r="N1440" s="30" t="str">
        <f aca="false">IF($A1440="",IF(OR($D1440&lt;&gt;"",$E1440&lt;&gt;""),"رقم المخرج ناقص",""),IF(ISNA(MATCH($A1440,قائمة_المخرجات,0)),"رقم مخرج غير موجود",IF($D1440="","نوع الحركة ناقص",IF(NOT(ISNUMBER($E1440)),"التاريخ ناقص",IF($E1440&gt;تاريخ_الاحتساب,"تاريخ بعد تاريخ الاحتساب",IF(AND($D1440&lt;&gt;"تسليم",COUNTIFS($A$5:$A$1504,$A1440,$D$5:$D$1504,"تسليم",$E$5:$E$1504,"&lt;="&amp;$E1440)=0),"لا يوجد تسليم قبل الحركة دي",""))))))</f>
        <v/>
      </c>
    </row>
    <row r="1441" customFormat="false" ht="15" hidden="false" customHeight="false" outlineLevel="0" collapsed="false">
      <c r="A1441" s="20"/>
      <c r="B1441" s="35" t="str">
        <f aca="false">IF($A1441="","",IFERROR(INDEX(مخرج_البند,MATCH($A1441,قائمة_المخرجات,0)),""))</f>
        <v/>
      </c>
      <c r="C1441" s="30" t="str">
        <f aca="false">IF($A1441="","",IFERROR(INDEX(مخرج_الوصف,MATCH($A1441,قائمة_المخرجات,0)),""))</f>
        <v/>
      </c>
      <c r="D1441" s="20"/>
      <c r="E1441" s="31"/>
      <c r="F1441" s="22"/>
      <c r="G1441" s="36" t="str">
        <f aca="false">IF(OR($A1441="",$D1441&lt;&gt;"تسليم",NOT(ISNUMBER($E1441))),"",COUNTIFS($A$5:$A$1504,$A1441,$D$5:$D$1504,"تسليم",$E$5:$E$1504,"&lt;"&amp;$E1441)+1)</f>
        <v/>
      </c>
      <c r="H1441" s="33" t="str">
        <f aca="false">IF($G1441="","",_xlfn.MINIFS($E$5:$E$1504,$A$5:$A$1504,$A1441,$D$5:$D$1504,"&lt;&gt;تسليم",$E$5:$E$1504,"&gt;="&amp;$E1441))</f>
        <v/>
      </c>
      <c r="I1441" s="33" t="str">
        <f aca="false">IF($G1441="","",_xlfn.MINIFS($E$5:$E$1504,$A$5:$A$1504,$A1441,$D$5:$D$1504,"تسليم",$E$5:$E$1504,"&gt;"&amp;$E1441))</f>
        <v/>
      </c>
      <c r="J1441" s="33" t="str">
        <f aca="false">IF($G1441="","",IF(H1441&gt;0,IF(I1441&gt;0,MIN(H1441,I1441),H1441),IF(I1441&gt;0,I1441,تاريخ_الاحتساب)))</f>
        <v/>
      </c>
      <c r="K1441" s="34" t="str">
        <f aca="false">IF($G1441="","",IF(AND(H1441=0,I1441=0),"جارية","مغلقة"))</f>
        <v/>
      </c>
      <c r="L1441" s="26" t="str">
        <f aca="false">IF($G1441="","",MAX(0,NETWORKDAYS.INTL($E1441,J1441,رمز_العطلة,أيام_الأجازات)-1))</f>
        <v/>
      </c>
      <c r="M1441" s="26" t="str">
        <f aca="false">IF($G1441="","",MAX(0,L1441-مهلة_المراجعة))</f>
        <v/>
      </c>
      <c r="N1441" s="30" t="str">
        <f aca="false">IF($A1441="",IF(OR($D1441&lt;&gt;"",$E1441&lt;&gt;""),"رقم المخرج ناقص",""),IF(ISNA(MATCH($A1441,قائمة_المخرجات,0)),"رقم مخرج غير موجود",IF($D1441="","نوع الحركة ناقص",IF(NOT(ISNUMBER($E1441)),"التاريخ ناقص",IF($E1441&gt;تاريخ_الاحتساب,"تاريخ بعد تاريخ الاحتساب",IF(AND($D1441&lt;&gt;"تسليم",COUNTIFS($A$5:$A$1504,$A1441,$D$5:$D$1504,"تسليم",$E$5:$E$1504,"&lt;="&amp;$E1441)=0),"لا يوجد تسليم قبل الحركة دي",""))))))</f>
        <v/>
      </c>
    </row>
    <row r="1442" customFormat="false" ht="15" hidden="false" customHeight="false" outlineLevel="0" collapsed="false">
      <c r="A1442" s="20"/>
      <c r="B1442" s="35" t="str">
        <f aca="false">IF($A1442="","",IFERROR(INDEX(مخرج_البند,MATCH($A1442,قائمة_المخرجات,0)),""))</f>
        <v/>
      </c>
      <c r="C1442" s="30" t="str">
        <f aca="false">IF($A1442="","",IFERROR(INDEX(مخرج_الوصف,MATCH($A1442,قائمة_المخرجات,0)),""))</f>
        <v/>
      </c>
      <c r="D1442" s="20"/>
      <c r="E1442" s="31"/>
      <c r="F1442" s="22"/>
      <c r="G1442" s="36" t="str">
        <f aca="false">IF(OR($A1442="",$D1442&lt;&gt;"تسليم",NOT(ISNUMBER($E1442))),"",COUNTIFS($A$5:$A$1504,$A1442,$D$5:$D$1504,"تسليم",$E$5:$E$1504,"&lt;"&amp;$E1442)+1)</f>
        <v/>
      </c>
      <c r="H1442" s="33" t="str">
        <f aca="false">IF($G1442="","",_xlfn.MINIFS($E$5:$E$1504,$A$5:$A$1504,$A1442,$D$5:$D$1504,"&lt;&gt;تسليم",$E$5:$E$1504,"&gt;="&amp;$E1442))</f>
        <v/>
      </c>
      <c r="I1442" s="33" t="str">
        <f aca="false">IF($G1442="","",_xlfn.MINIFS($E$5:$E$1504,$A$5:$A$1504,$A1442,$D$5:$D$1504,"تسليم",$E$5:$E$1504,"&gt;"&amp;$E1442))</f>
        <v/>
      </c>
      <c r="J1442" s="33" t="str">
        <f aca="false">IF($G1442="","",IF(H1442&gt;0,IF(I1442&gt;0,MIN(H1442,I1442),H1442),IF(I1442&gt;0,I1442,تاريخ_الاحتساب)))</f>
        <v/>
      </c>
      <c r="K1442" s="34" t="str">
        <f aca="false">IF($G1442="","",IF(AND(H1442=0,I1442=0),"جارية","مغلقة"))</f>
        <v/>
      </c>
      <c r="L1442" s="26" t="str">
        <f aca="false">IF($G1442="","",MAX(0,NETWORKDAYS.INTL($E1442,J1442,رمز_العطلة,أيام_الأجازات)-1))</f>
        <v/>
      </c>
      <c r="M1442" s="26" t="str">
        <f aca="false">IF($G1442="","",MAX(0,L1442-مهلة_المراجعة))</f>
        <v/>
      </c>
      <c r="N1442" s="30" t="str">
        <f aca="false">IF($A1442="",IF(OR($D1442&lt;&gt;"",$E1442&lt;&gt;""),"رقم المخرج ناقص",""),IF(ISNA(MATCH($A1442,قائمة_المخرجات,0)),"رقم مخرج غير موجود",IF($D1442="","نوع الحركة ناقص",IF(NOT(ISNUMBER($E1442)),"التاريخ ناقص",IF($E1442&gt;تاريخ_الاحتساب,"تاريخ بعد تاريخ الاحتساب",IF(AND($D1442&lt;&gt;"تسليم",COUNTIFS($A$5:$A$1504,$A1442,$D$5:$D$1504,"تسليم",$E$5:$E$1504,"&lt;="&amp;$E1442)=0),"لا يوجد تسليم قبل الحركة دي",""))))))</f>
        <v/>
      </c>
    </row>
    <row r="1443" customFormat="false" ht="15" hidden="false" customHeight="false" outlineLevel="0" collapsed="false">
      <c r="A1443" s="20"/>
      <c r="B1443" s="35" t="str">
        <f aca="false">IF($A1443="","",IFERROR(INDEX(مخرج_البند,MATCH($A1443,قائمة_المخرجات,0)),""))</f>
        <v/>
      </c>
      <c r="C1443" s="30" t="str">
        <f aca="false">IF($A1443="","",IFERROR(INDEX(مخرج_الوصف,MATCH($A1443,قائمة_المخرجات,0)),""))</f>
        <v/>
      </c>
      <c r="D1443" s="20"/>
      <c r="E1443" s="31"/>
      <c r="F1443" s="22"/>
      <c r="G1443" s="36" t="str">
        <f aca="false">IF(OR($A1443="",$D1443&lt;&gt;"تسليم",NOT(ISNUMBER($E1443))),"",COUNTIFS($A$5:$A$1504,$A1443,$D$5:$D$1504,"تسليم",$E$5:$E$1504,"&lt;"&amp;$E1443)+1)</f>
        <v/>
      </c>
      <c r="H1443" s="33" t="str">
        <f aca="false">IF($G1443="","",_xlfn.MINIFS($E$5:$E$1504,$A$5:$A$1504,$A1443,$D$5:$D$1504,"&lt;&gt;تسليم",$E$5:$E$1504,"&gt;="&amp;$E1443))</f>
        <v/>
      </c>
      <c r="I1443" s="33" t="str">
        <f aca="false">IF($G1443="","",_xlfn.MINIFS($E$5:$E$1504,$A$5:$A$1504,$A1443,$D$5:$D$1504,"تسليم",$E$5:$E$1504,"&gt;"&amp;$E1443))</f>
        <v/>
      </c>
      <c r="J1443" s="33" t="str">
        <f aca="false">IF($G1443="","",IF(H1443&gt;0,IF(I1443&gt;0,MIN(H1443,I1443),H1443),IF(I1443&gt;0,I1443,تاريخ_الاحتساب)))</f>
        <v/>
      </c>
      <c r="K1443" s="34" t="str">
        <f aca="false">IF($G1443="","",IF(AND(H1443=0,I1443=0),"جارية","مغلقة"))</f>
        <v/>
      </c>
      <c r="L1443" s="26" t="str">
        <f aca="false">IF($G1443="","",MAX(0,NETWORKDAYS.INTL($E1443,J1443,رمز_العطلة,أيام_الأجازات)-1))</f>
        <v/>
      </c>
      <c r="M1443" s="26" t="str">
        <f aca="false">IF($G1443="","",MAX(0,L1443-مهلة_المراجعة))</f>
        <v/>
      </c>
      <c r="N1443" s="30" t="str">
        <f aca="false">IF($A1443="",IF(OR($D1443&lt;&gt;"",$E1443&lt;&gt;""),"رقم المخرج ناقص",""),IF(ISNA(MATCH($A1443,قائمة_المخرجات,0)),"رقم مخرج غير موجود",IF($D1443="","نوع الحركة ناقص",IF(NOT(ISNUMBER($E1443)),"التاريخ ناقص",IF($E1443&gt;تاريخ_الاحتساب,"تاريخ بعد تاريخ الاحتساب",IF(AND($D1443&lt;&gt;"تسليم",COUNTIFS($A$5:$A$1504,$A1443,$D$5:$D$1504,"تسليم",$E$5:$E$1504,"&lt;="&amp;$E1443)=0),"لا يوجد تسليم قبل الحركة دي",""))))))</f>
        <v/>
      </c>
    </row>
    <row r="1444" customFormat="false" ht="15" hidden="false" customHeight="false" outlineLevel="0" collapsed="false">
      <c r="A1444" s="20"/>
      <c r="B1444" s="35" t="str">
        <f aca="false">IF($A1444="","",IFERROR(INDEX(مخرج_البند,MATCH($A1444,قائمة_المخرجات,0)),""))</f>
        <v/>
      </c>
      <c r="C1444" s="30" t="str">
        <f aca="false">IF($A1444="","",IFERROR(INDEX(مخرج_الوصف,MATCH($A1444,قائمة_المخرجات,0)),""))</f>
        <v/>
      </c>
      <c r="D1444" s="20"/>
      <c r="E1444" s="31"/>
      <c r="F1444" s="22"/>
      <c r="G1444" s="36" t="str">
        <f aca="false">IF(OR($A1444="",$D1444&lt;&gt;"تسليم",NOT(ISNUMBER($E1444))),"",COUNTIFS($A$5:$A$1504,$A1444,$D$5:$D$1504,"تسليم",$E$5:$E$1504,"&lt;"&amp;$E1444)+1)</f>
        <v/>
      </c>
      <c r="H1444" s="33" t="str">
        <f aca="false">IF($G1444="","",_xlfn.MINIFS($E$5:$E$1504,$A$5:$A$1504,$A1444,$D$5:$D$1504,"&lt;&gt;تسليم",$E$5:$E$1504,"&gt;="&amp;$E1444))</f>
        <v/>
      </c>
      <c r="I1444" s="33" t="str">
        <f aca="false">IF($G1444="","",_xlfn.MINIFS($E$5:$E$1504,$A$5:$A$1504,$A1444,$D$5:$D$1504,"تسليم",$E$5:$E$1504,"&gt;"&amp;$E1444))</f>
        <v/>
      </c>
      <c r="J1444" s="33" t="str">
        <f aca="false">IF($G1444="","",IF(H1444&gt;0,IF(I1444&gt;0,MIN(H1444,I1444),H1444),IF(I1444&gt;0,I1444,تاريخ_الاحتساب)))</f>
        <v/>
      </c>
      <c r="K1444" s="34" t="str">
        <f aca="false">IF($G1444="","",IF(AND(H1444=0,I1444=0),"جارية","مغلقة"))</f>
        <v/>
      </c>
      <c r="L1444" s="26" t="str">
        <f aca="false">IF($G1444="","",MAX(0,NETWORKDAYS.INTL($E1444,J1444,رمز_العطلة,أيام_الأجازات)-1))</f>
        <v/>
      </c>
      <c r="M1444" s="26" t="str">
        <f aca="false">IF($G1444="","",MAX(0,L1444-مهلة_المراجعة))</f>
        <v/>
      </c>
      <c r="N1444" s="30" t="str">
        <f aca="false">IF($A1444="",IF(OR($D1444&lt;&gt;"",$E1444&lt;&gt;""),"رقم المخرج ناقص",""),IF(ISNA(MATCH($A1444,قائمة_المخرجات,0)),"رقم مخرج غير موجود",IF($D1444="","نوع الحركة ناقص",IF(NOT(ISNUMBER($E1444)),"التاريخ ناقص",IF($E1444&gt;تاريخ_الاحتساب,"تاريخ بعد تاريخ الاحتساب",IF(AND($D1444&lt;&gt;"تسليم",COUNTIFS($A$5:$A$1504,$A1444,$D$5:$D$1504,"تسليم",$E$5:$E$1504,"&lt;="&amp;$E1444)=0),"لا يوجد تسليم قبل الحركة دي",""))))))</f>
        <v/>
      </c>
    </row>
    <row r="1445" customFormat="false" ht="15" hidden="false" customHeight="false" outlineLevel="0" collapsed="false">
      <c r="A1445" s="20"/>
      <c r="B1445" s="35" t="str">
        <f aca="false">IF($A1445="","",IFERROR(INDEX(مخرج_البند,MATCH($A1445,قائمة_المخرجات,0)),""))</f>
        <v/>
      </c>
      <c r="C1445" s="30" t="str">
        <f aca="false">IF($A1445="","",IFERROR(INDEX(مخرج_الوصف,MATCH($A1445,قائمة_المخرجات,0)),""))</f>
        <v/>
      </c>
      <c r="D1445" s="20"/>
      <c r="E1445" s="31"/>
      <c r="F1445" s="22"/>
      <c r="G1445" s="36" t="str">
        <f aca="false">IF(OR($A1445="",$D1445&lt;&gt;"تسليم",NOT(ISNUMBER($E1445))),"",COUNTIFS($A$5:$A$1504,$A1445,$D$5:$D$1504,"تسليم",$E$5:$E$1504,"&lt;"&amp;$E1445)+1)</f>
        <v/>
      </c>
      <c r="H1445" s="33" t="str">
        <f aca="false">IF($G1445="","",_xlfn.MINIFS($E$5:$E$1504,$A$5:$A$1504,$A1445,$D$5:$D$1504,"&lt;&gt;تسليم",$E$5:$E$1504,"&gt;="&amp;$E1445))</f>
        <v/>
      </c>
      <c r="I1445" s="33" t="str">
        <f aca="false">IF($G1445="","",_xlfn.MINIFS($E$5:$E$1504,$A$5:$A$1504,$A1445,$D$5:$D$1504,"تسليم",$E$5:$E$1504,"&gt;"&amp;$E1445))</f>
        <v/>
      </c>
      <c r="J1445" s="33" t="str">
        <f aca="false">IF($G1445="","",IF(H1445&gt;0,IF(I1445&gt;0,MIN(H1445,I1445),H1445),IF(I1445&gt;0,I1445,تاريخ_الاحتساب)))</f>
        <v/>
      </c>
      <c r="K1445" s="34" t="str">
        <f aca="false">IF($G1445="","",IF(AND(H1445=0,I1445=0),"جارية","مغلقة"))</f>
        <v/>
      </c>
      <c r="L1445" s="26" t="str">
        <f aca="false">IF($G1445="","",MAX(0,NETWORKDAYS.INTL($E1445,J1445,رمز_العطلة,أيام_الأجازات)-1))</f>
        <v/>
      </c>
      <c r="M1445" s="26" t="str">
        <f aca="false">IF($G1445="","",MAX(0,L1445-مهلة_المراجعة))</f>
        <v/>
      </c>
      <c r="N1445" s="30" t="str">
        <f aca="false">IF($A1445="",IF(OR($D1445&lt;&gt;"",$E1445&lt;&gt;""),"رقم المخرج ناقص",""),IF(ISNA(MATCH($A1445,قائمة_المخرجات,0)),"رقم مخرج غير موجود",IF($D1445="","نوع الحركة ناقص",IF(NOT(ISNUMBER($E1445)),"التاريخ ناقص",IF($E1445&gt;تاريخ_الاحتساب,"تاريخ بعد تاريخ الاحتساب",IF(AND($D1445&lt;&gt;"تسليم",COUNTIFS($A$5:$A$1504,$A1445,$D$5:$D$1504,"تسليم",$E$5:$E$1504,"&lt;="&amp;$E1445)=0),"لا يوجد تسليم قبل الحركة دي",""))))))</f>
        <v/>
      </c>
    </row>
    <row r="1446" customFormat="false" ht="15" hidden="false" customHeight="false" outlineLevel="0" collapsed="false">
      <c r="A1446" s="20"/>
      <c r="B1446" s="35" t="str">
        <f aca="false">IF($A1446="","",IFERROR(INDEX(مخرج_البند,MATCH($A1446,قائمة_المخرجات,0)),""))</f>
        <v/>
      </c>
      <c r="C1446" s="30" t="str">
        <f aca="false">IF($A1446="","",IFERROR(INDEX(مخرج_الوصف,MATCH($A1446,قائمة_المخرجات,0)),""))</f>
        <v/>
      </c>
      <c r="D1446" s="20"/>
      <c r="E1446" s="31"/>
      <c r="F1446" s="22"/>
      <c r="G1446" s="36" t="str">
        <f aca="false">IF(OR($A1446="",$D1446&lt;&gt;"تسليم",NOT(ISNUMBER($E1446))),"",COUNTIFS($A$5:$A$1504,$A1446,$D$5:$D$1504,"تسليم",$E$5:$E$1504,"&lt;"&amp;$E1446)+1)</f>
        <v/>
      </c>
      <c r="H1446" s="33" t="str">
        <f aca="false">IF($G1446="","",_xlfn.MINIFS($E$5:$E$1504,$A$5:$A$1504,$A1446,$D$5:$D$1504,"&lt;&gt;تسليم",$E$5:$E$1504,"&gt;="&amp;$E1446))</f>
        <v/>
      </c>
      <c r="I1446" s="33" t="str">
        <f aca="false">IF($G1446="","",_xlfn.MINIFS($E$5:$E$1504,$A$5:$A$1504,$A1446,$D$5:$D$1504,"تسليم",$E$5:$E$1504,"&gt;"&amp;$E1446))</f>
        <v/>
      </c>
      <c r="J1446" s="33" t="str">
        <f aca="false">IF($G1446="","",IF(H1446&gt;0,IF(I1446&gt;0,MIN(H1446,I1446),H1446),IF(I1446&gt;0,I1446,تاريخ_الاحتساب)))</f>
        <v/>
      </c>
      <c r="K1446" s="34" t="str">
        <f aca="false">IF($G1446="","",IF(AND(H1446=0,I1446=0),"جارية","مغلقة"))</f>
        <v/>
      </c>
      <c r="L1446" s="26" t="str">
        <f aca="false">IF($G1446="","",MAX(0,NETWORKDAYS.INTL($E1446,J1446,رمز_العطلة,أيام_الأجازات)-1))</f>
        <v/>
      </c>
      <c r="M1446" s="26" t="str">
        <f aca="false">IF($G1446="","",MAX(0,L1446-مهلة_المراجعة))</f>
        <v/>
      </c>
      <c r="N1446" s="30" t="str">
        <f aca="false">IF($A1446="",IF(OR($D1446&lt;&gt;"",$E1446&lt;&gt;""),"رقم المخرج ناقص",""),IF(ISNA(MATCH($A1446,قائمة_المخرجات,0)),"رقم مخرج غير موجود",IF($D1446="","نوع الحركة ناقص",IF(NOT(ISNUMBER($E1446)),"التاريخ ناقص",IF($E1446&gt;تاريخ_الاحتساب,"تاريخ بعد تاريخ الاحتساب",IF(AND($D1446&lt;&gt;"تسليم",COUNTIFS($A$5:$A$1504,$A1446,$D$5:$D$1504,"تسليم",$E$5:$E$1504,"&lt;="&amp;$E1446)=0),"لا يوجد تسليم قبل الحركة دي",""))))))</f>
        <v/>
      </c>
    </row>
    <row r="1447" customFormat="false" ht="15" hidden="false" customHeight="false" outlineLevel="0" collapsed="false">
      <c r="A1447" s="20"/>
      <c r="B1447" s="35" t="str">
        <f aca="false">IF($A1447="","",IFERROR(INDEX(مخرج_البند,MATCH($A1447,قائمة_المخرجات,0)),""))</f>
        <v/>
      </c>
      <c r="C1447" s="30" t="str">
        <f aca="false">IF($A1447="","",IFERROR(INDEX(مخرج_الوصف,MATCH($A1447,قائمة_المخرجات,0)),""))</f>
        <v/>
      </c>
      <c r="D1447" s="20"/>
      <c r="E1447" s="31"/>
      <c r="F1447" s="22"/>
      <c r="G1447" s="36" t="str">
        <f aca="false">IF(OR($A1447="",$D1447&lt;&gt;"تسليم",NOT(ISNUMBER($E1447))),"",COUNTIFS($A$5:$A$1504,$A1447,$D$5:$D$1504,"تسليم",$E$5:$E$1504,"&lt;"&amp;$E1447)+1)</f>
        <v/>
      </c>
      <c r="H1447" s="33" t="str">
        <f aca="false">IF($G1447="","",_xlfn.MINIFS($E$5:$E$1504,$A$5:$A$1504,$A1447,$D$5:$D$1504,"&lt;&gt;تسليم",$E$5:$E$1504,"&gt;="&amp;$E1447))</f>
        <v/>
      </c>
      <c r="I1447" s="33" t="str">
        <f aca="false">IF($G1447="","",_xlfn.MINIFS($E$5:$E$1504,$A$5:$A$1504,$A1447,$D$5:$D$1504,"تسليم",$E$5:$E$1504,"&gt;"&amp;$E1447))</f>
        <v/>
      </c>
      <c r="J1447" s="33" t="str">
        <f aca="false">IF($G1447="","",IF(H1447&gt;0,IF(I1447&gt;0,MIN(H1447,I1447),H1447),IF(I1447&gt;0,I1447,تاريخ_الاحتساب)))</f>
        <v/>
      </c>
      <c r="K1447" s="34" t="str">
        <f aca="false">IF($G1447="","",IF(AND(H1447=0,I1447=0),"جارية","مغلقة"))</f>
        <v/>
      </c>
      <c r="L1447" s="26" t="str">
        <f aca="false">IF($G1447="","",MAX(0,NETWORKDAYS.INTL($E1447,J1447,رمز_العطلة,أيام_الأجازات)-1))</f>
        <v/>
      </c>
      <c r="M1447" s="26" t="str">
        <f aca="false">IF($G1447="","",MAX(0,L1447-مهلة_المراجعة))</f>
        <v/>
      </c>
      <c r="N1447" s="30" t="str">
        <f aca="false">IF($A1447="",IF(OR($D1447&lt;&gt;"",$E1447&lt;&gt;""),"رقم المخرج ناقص",""),IF(ISNA(MATCH($A1447,قائمة_المخرجات,0)),"رقم مخرج غير موجود",IF($D1447="","نوع الحركة ناقص",IF(NOT(ISNUMBER($E1447)),"التاريخ ناقص",IF($E1447&gt;تاريخ_الاحتساب,"تاريخ بعد تاريخ الاحتساب",IF(AND($D1447&lt;&gt;"تسليم",COUNTIFS($A$5:$A$1504,$A1447,$D$5:$D$1504,"تسليم",$E$5:$E$1504,"&lt;="&amp;$E1447)=0),"لا يوجد تسليم قبل الحركة دي",""))))))</f>
        <v/>
      </c>
    </row>
    <row r="1448" customFormat="false" ht="15" hidden="false" customHeight="false" outlineLevel="0" collapsed="false">
      <c r="A1448" s="20"/>
      <c r="B1448" s="35" t="str">
        <f aca="false">IF($A1448="","",IFERROR(INDEX(مخرج_البند,MATCH($A1448,قائمة_المخرجات,0)),""))</f>
        <v/>
      </c>
      <c r="C1448" s="30" t="str">
        <f aca="false">IF($A1448="","",IFERROR(INDEX(مخرج_الوصف,MATCH($A1448,قائمة_المخرجات,0)),""))</f>
        <v/>
      </c>
      <c r="D1448" s="20"/>
      <c r="E1448" s="31"/>
      <c r="F1448" s="22"/>
      <c r="G1448" s="36" t="str">
        <f aca="false">IF(OR($A1448="",$D1448&lt;&gt;"تسليم",NOT(ISNUMBER($E1448))),"",COUNTIFS($A$5:$A$1504,$A1448,$D$5:$D$1504,"تسليم",$E$5:$E$1504,"&lt;"&amp;$E1448)+1)</f>
        <v/>
      </c>
      <c r="H1448" s="33" t="str">
        <f aca="false">IF($G1448="","",_xlfn.MINIFS($E$5:$E$1504,$A$5:$A$1504,$A1448,$D$5:$D$1504,"&lt;&gt;تسليم",$E$5:$E$1504,"&gt;="&amp;$E1448))</f>
        <v/>
      </c>
      <c r="I1448" s="33" t="str">
        <f aca="false">IF($G1448="","",_xlfn.MINIFS($E$5:$E$1504,$A$5:$A$1504,$A1448,$D$5:$D$1504,"تسليم",$E$5:$E$1504,"&gt;"&amp;$E1448))</f>
        <v/>
      </c>
      <c r="J1448" s="33" t="str">
        <f aca="false">IF($G1448="","",IF(H1448&gt;0,IF(I1448&gt;0,MIN(H1448,I1448),H1448),IF(I1448&gt;0,I1448,تاريخ_الاحتساب)))</f>
        <v/>
      </c>
      <c r="K1448" s="34" t="str">
        <f aca="false">IF($G1448="","",IF(AND(H1448=0,I1448=0),"جارية","مغلقة"))</f>
        <v/>
      </c>
      <c r="L1448" s="26" t="str">
        <f aca="false">IF($G1448="","",MAX(0,NETWORKDAYS.INTL($E1448,J1448,رمز_العطلة,أيام_الأجازات)-1))</f>
        <v/>
      </c>
      <c r="M1448" s="26" t="str">
        <f aca="false">IF($G1448="","",MAX(0,L1448-مهلة_المراجعة))</f>
        <v/>
      </c>
      <c r="N1448" s="30" t="str">
        <f aca="false">IF($A1448="",IF(OR($D1448&lt;&gt;"",$E1448&lt;&gt;""),"رقم المخرج ناقص",""),IF(ISNA(MATCH($A1448,قائمة_المخرجات,0)),"رقم مخرج غير موجود",IF($D1448="","نوع الحركة ناقص",IF(NOT(ISNUMBER($E1448)),"التاريخ ناقص",IF($E1448&gt;تاريخ_الاحتساب,"تاريخ بعد تاريخ الاحتساب",IF(AND($D1448&lt;&gt;"تسليم",COUNTIFS($A$5:$A$1504,$A1448,$D$5:$D$1504,"تسليم",$E$5:$E$1504,"&lt;="&amp;$E1448)=0),"لا يوجد تسليم قبل الحركة دي",""))))))</f>
        <v/>
      </c>
    </row>
    <row r="1449" customFormat="false" ht="15" hidden="false" customHeight="false" outlineLevel="0" collapsed="false">
      <c r="A1449" s="20"/>
      <c r="B1449" s="35" t="str">
        <f aca="false">IF($A1449="","",IFERROR(INDEX(مخرج_البند,MATCH($A1449,قائمة_المخرجات,0)),""))</f>
        <v/>
      </c>
      <c r="C1449" s="30" t="str">
        <f aca="false">IF($A1449="","",IFERROR(INDEX(مخرج_الوصف,MATCH($A1449,قائمة_المخرجات,0)),""))</f>
        <v/>
      </c>
      <c r="D1449" s="20"/>
      <c r="E1449" s="31"/>
      <c r="F1449" s="22"/>
      <c r="G1449" s="36" t="str">
        <f aca="false">IF(OR($A1449="",$D1449&lt;&gt;"تسليم",NOT(ISNUMBER($E1449))),"",COUNTIFS($A$5:$A$1504,$A1449,$D$5:$D$1504,"تسليم",$E$5:$E$1504,"&lt;"&amp;$E1449)+1)</f>
        <v/>
      </c>
      <c r="H1449" s="33" t="str">
        <f aca="false">IF($G1449="","",_xlfn.MINIFS($E$5:$E$1504,$A$5:$A$1504,$A1449,$D$5:$D$1504,"&lt;&gt;تسليم",$E$5:$E$1504,"&gt;="&amp;$E1449))</f>
        <v/>
      </c>
      <c r="I1449" s="33" t="str">
        <f aca="false">IF($G1449="","",_xlfn.MINIFS($E$5:$E$1504,$A$5:$A$1504,$A1449,$D$5:$D$1504,"تسليم",$E$5:$E$1504,"&gt;"&amp;$E1449))</f>
        <v/>
      </c>
      <c r="J1449" s="33" t="str">
        <f aca="false">IF($G1449="","",IF(H1449&gt;0,IF(I1449&gt;0,MIN(H1449,I1449),H1449),IF(I1449&gt;0,I1449,تاريخ_الاحتساب)))</f>
        <v/>
      </c>
      <c r="K1449" s="34" t="str">
        <f aca="false">IF($G1449="","",IF(AND(H1449=0,I1449=0),"جارية","مغلقة"))</f>
        <v/>
      </c>
      <c r="L1449" s="26" t="str">
        <f aca="false">IF($G1449="","",MAX(0,NETWORKDAYS.INTL($E1449,J1449,رمز_العطلة,أيام_الأجازات)-1))</f>
        <v/>
      </c>
      <c r="M1449" s="26" t="str">
        <f aca="false">IF($G1449="","",MAX(0,L1449-مهلة_المراجعة))</f>
        <v/>
      </c>
      <c r="N1449" s="30" t="str">
        <f aca="false">IF($A1449="",IF(OR($D1449&lt;&gt;"",$E1449&lt;&gt;""),"رقم المخرج ناقص",""),IF(ISNA(MATCH($A1449,قائمة_المخرجات,0)),"رقم مخرج غير موجود",IF($D1449="","نوع الحركة ناقص",IF(NOT(ISNUMBER($E1449)),"التاريخ ناقص",IF($E1449&gt;تاريخ_الاحتساب,"تاريخ بعد تاريخ الاحتساب",IF(AND($D1449&lt;&gt;"تسليم",COUNTIFS($A$5:$A$1504,$A1449,$D$5:$D$1504,"تسليم",$E$5:$E$1504,"&lt;="&amp;$E1449)=0),"لا يوجد تسليم قبل الحركة دي",""))))))</f>
        <v/>
      </c>
    </row>
    <row r="1450" customFormat="false" ht="15" hidden="false" customHeight="false" outlineLevel="0" collapsed="false">
      <c r="A1450" s="20"/>
      <c r="B1450" s="35" t="str">
        <f aca="false">IF($A1450="","",IFERROR(INDEX(مخرج_البند,MATCH($A1450,قائمة_المخرجات,0)),""))</f>
        <v/>
      </c>
      <c r="C1450" s="30" t="str">
        <f aca="false">IF($A1450="","",IFERROR(INDEX(مخرج_الوصف,MATCH($A1450,قائمة_المخرجات,0)),""))</f>
        <v/>
      </c>
      <c r="D1450" s="20"/>
      <c r="E1450" s="31"/>
      <c r="F1450" s="22"/>
      <c r="G1450" s="36" t="str">
        <f aca="false">IF(OR($A1450="",$D1450&lt;&gt;"تسليم",NOT(ISNUMBER($E1450))),"",COUNTIFS($A$5:$A$1504,$A1450,$D$5:$D$1504,"تسليم",$E$5:$E$1504,"&lt;"&amp;$E1450)+1)</f>
        <v/>
      </c>
      <c r="H1450" s="33" t="str">
        <f aca="false">IF($G1450="","",_xlfn.MINIFS($E$5:$E$1504,$A$5:$A$1504,$A1450,$D$5:$D$1504,"&lt;&gt;تسليم",$E$5:$E$1504,"&gt;="&amp;$E1450))</f>
        <v/>
      </c>
      <c r="I1450" s="33" t="str">
        <f aca="false">IF($G1450="","",_xlfn.MINIFS($E$5:$E$1504,$A$5:$A$1504,$A1450,$D$5:$D$1504,"تسليم",$E$5:$E$1504,"&gt;"&amp;$E1450))</f>
        <v/>
      </c>
      <c r="J1450" s="33" t="str">
        <f aca="false">IF($G1450="","",IF(H1450&gt;0,IF(I1450&gt;0,MIN(H1450,I1450),H1450),IF(I1450&gt;0,I1450,تاريخ_الاحتساب)))</f>
        <v/>
      </c>
      <c r="K1450" s="34" t="str">
        <f aca="false">IF($G1450="","",IF(AND(H1450=0,I1450=0),"جارية","مغلقة"))</f>
        <v/>
      </c>
      <c r="L1450" s="26" t="str">
        <f aca="false">IF($G1450="","",MAX(0,NETWORKDAYS.INTL($E1450,J1450,رمز_العطلة,أيام_الأجازات)-1))</f>
        <v/>
      </c>
      <c r="M1450" s="26" t="str">
        <f aca="false">IF($G1450="","",MAX(0,L1450-مهلة_المراجعة))</f>
        <v/>
      </c>
      <c r="N1450" s="30" t="str">
        <f aca="false">IF($A1450="",IF(OR($D1450&lt;&gt;"",$E1450&lt;&gt;""),"رقم المخرج ناقص",""),IF(ISNA(MATCH($A1450,قائمة_المخرجات,0)),"رقم مخرج غير موجود",IF($D1450="","نوع الحركة ناقص",IF(NOT(ISNUMBER($E1450)),"التاريخ ناقص",IF($E1450&gt;تاريخ_الاحتساب,"تاريخ بعد تاريخ الاحتساب",IF(AND($D1450&lt;&gt;"تسليم",COUNTIFS($A$5:$A$1504,$A1450,$D$5:$D$1504,"تسليم",$E$5:$E$1504,"&lt;="&amp;$E1450)=0),"لا يوجد تسليم قبل الحركة دي",""))))))</f>
        <v/>
      </c>
    </row>
    <row r="1451" customFormat="false" ht="15" hidden="false" customHeight="false" outlineLevel="0" collapsed="false">
      <c r="A1451" s="20"/>
      <c r="B1451" s="35" t="str">
        <f aca="false">IF($A1451="","",IFERROR(INDEX(مخرج_البند,MATCH($A1451,قائمة_المخرجات,0)),""))</f>
        <v/>
      </c>
      <c r="C1451" s="30" t="str">
        <f aca="false">IF($A1451="","",IFERROR(INDEX(مخرج_الوصف,MATCH($A1451,قائمة_المخرجات,0)),""))</f>
        <v/>
      </c>
      <c r="D1451" s="20"/>
      <c r="E1451" s="31"/>
      <c r="F1451" s="22"/>
      <c r="G1451" s="36" t="str">
        <f aca="false">IF(OR($A1451="",$D1451&lt;&gt;"تسليم",NOT(ISNUMBER($E1451))),"",COUNTIFS($A$5:$A$1504,$A1451,$D$5:$D$1504,"تسليم",$E$5:$E$1504,"&lt;"&amp;$E1451)+1)</f>
        <v/>
      </c>
      <c r="H1451" s="33" t="str">
        <f aca="false">IF($G1451="","",_xlfn.MINIFS($E$5:$E$1504,$A$5:$A$1504,$A1451,$D$5:$D$1504,"&lt;&gt;تسليم",$E$5:$E$1504,"&gt;="&amp;$E1451))</f>
        <v/>
      </c>
      <c r="I1451" s="33" t="str">
        <f aca="false">IF($G1451="","",_xlfn.MINIFS($E$5:$E$1504,$A$5:$A$1504,$A1451,$D$5:$D$1504,"تسليم",$E$5:$E$1504,"&gt;"&amp;$E1451))</f>
        <v/>
      </c>
      <c r="J1451" s="33" t="str">
        <f aca="false">IF($G1451="","",IF(H1451&gt;0,IF(I1451&gt;0,MIN(H1451,I1451),H1451),IF(I1451&gt;0,I1451,تاريخ_الاحتساب)))</f>
        <v/>
      </c>
      <c r="K1451" s="34" t="str">
        <f aca="false">IF($G1451="","",IF(AND(H1451=0,I1451=0),"جارية","مغلقة"))</f>
        <v/>
      </c>
      <c r="L1451" s="26" t="str">
        <f aca="false">IF($G1451="","",MAX(0,NETWORKDAYS.INTL($E1451,J1451,رمز_العطلة,أيام_الأجازات)-1))</f>
        <v/>
      </c>
      <c r="M1451" s="26" t="str">
        <f aca="false">IF($G1451="","",MAX(0,L1451-مهلة_المراجعة))</f>
        <v/>
      </c>
      <c r="N1451" s="30" t="str">
        <f aca="false">IF($A1451="",IF(OR($D1451&lt;&gt;"",$E1451&lt;&gt;""),"رقم المخرج ناقص",""),IF(ISNA(MATCH($A1451,قائمة_المخرجات,0)),"رقم مخرج غير موجود",IF($D1451="","نوع الحركة ناقص",IF(NOT(ISNUMBER($E1451)),"التاريخ ناقص",IF($E1451&gt;تاريخ_الاحتساب,"تاريخ بعد تاريخ الاحتساب",IF(AND($D1451&lt;&gt;"تسليم",COUNTIFS($A$5:$A$1504,$A1451,$D$5:$D$1504,"تسليم",$E$5:$E$1504,"&lt;="&amp;$E1451)=0),"لا يوجد تسليم قبل الحركة دي",""))))))</f>
        <v/>
      </c>
    </row>
    <row r="1452" customFormat="false" ht="15" hidden="false" customHeight="false" outlineLevel="0" collapsed="false">
      <c r="A1452" s="20"/>
      <c r="B1452" s="35" t="str">
        <f aca="false">IF($A1452="","",IFERROR(INDEX(مخرج_البند,MATCH($A1452,قائمة_المخرجات,0)),""))</f>
        <v/>
      </c>
      <c r="C1452" s="30" t="str">
        <f aca="false">IF($A1452="","",IFERROR(INDEX(مخرج_الوصف,MATCH($A1452,قائمة_المخرجات,0)),""))</f>
        <v/>
      </c>
      <c r="D1452" s="20"/>
      <c r="E1452" s="31"/>
      <c r="F1452" s="22"/>
      <c r="G1452" s="36" t="str">
        <f aca="false">IF(OR($A1452="",$D1452&lt;&gt;"تسليم",NOT(ISNUMBER($E1452))),"",COUNTIFS($A$5:$A$1504,$A1452,$D$5:$D$1504,"تسليم",$E$5:$E$1504,"&lt;"&amp;$E1452)+1)</f>
        <v/>
      </c>
      <c r="H1452" s="33" t="str">
        <f aca="false">IF($G1452="","",_xlfn.MINIFS($E$5:$E$1504,$A$5:$A$1504,$A1452,$D$5:$D$1504,"&lt;&gt;تسليم",$E$5:$E$1504,"&gt;="&amp;$E1452))</f>
        <v/>
      </c>
      <c r="I1452" s="33" t="str">
        <f aca="false">IF($G1452="","",_xlfn.MINIFS($E$5:$E$1504,$A$5:$A$1504,$A1452,$D$5:$D$1504,"تسليم",$E$5:$E$1504,"&gt;"&amp;$E1452))</f>
        <v/>
      </c>
      <c r="J1452" s="33" t="str">
        <f aca="false">IF($G1452="","",IF(H1452&gt;0,IF(I1452&gt;0,MIN(H1452,I1452),H1452),IF(I1452&gt;0,I1452,تاريخ_الاحتساب)))</f>
        <v/>
      </c>
      <c r="K1452" s="34" t="str">
        <f aca="false">IF($G1452="","",IF(AND(H1452=0,I1452=0),"جارية","مغلقة"))</f>
        <v/>
      </c>
      <c r="L1452" s="26" t="str">
        <f aca="false">IF($G1452="","",MAX(0,NETWORKDAYS.INTL($E1452,J1452,رمز_العطلة,أيام_الأجازات)-1))</f>
        <v/>
      </c>
      <c r="M1452" s="26" t="str">
        <f aca="false">IF($G1452="","",MAX(0,L1452-مهلة_المراجعة))</f>
        <v/>
      </c>
      <c r="N1452" s="30" t="str">
        <f aca="false">IF($A1452="",IF(OR($D1452&lt;&gt;"",$E1452&lt;&gt;""),"رقم المخرج ناقص",""),IF(ISNA(MATCH($A1452,قائمة_المخرجات,0)),"رقم مخرج غير موجود",IF($D1452="","نوع الحركة ناقص",IF(NOT(ISNUMBER($E1452)),"التاريخ ناقص",IF($E1452&gt;تاريخ_الاحتساب,"تاريخ بعد تاريخ الاحتساب",IF(AND($D1452&lt;&gt;"تسليم",COUNTIFS($A$5:$A$1504,$A1452,$D$5:$D$1504,"تسليم",$E$5:$E$1504,"&lt;="&amp;$E1452)=0),"لا يوجد تسليم قبل الحركة دي",""))))))</f>
        <v/>
      </c>
    </row>
    <row r="1453" customFormat="false" ht="15" hidden="false" customHeight="false" outlineLevel="0" collapsed="false">
      <c r="A1453" s="20"/>
      <c r="B1453" s="35" t="str">
        <f aca="false">IF($A1453="","",IFERROR(INDEX(مخرج_البند,MATCH($A1453,قائمة_المخرجات,0)),""))</f>
        <v/>
      </c>
      <c r="C1453" s="30" t="str">
        <f aca="false">IF($A1453="","",IFERROR(INDEX(مخرج_الوصف,MATCH($A1453,قائمة_المخرجات,0)),""))</f>
        <v/>
      </c>
      <c r="D1453" s="20"/>
      <c r="E1453" s="31"/>
      <c r="F1453" s="22"/>
      <c r="G1453" s="36" t="str">
        <f aca="false">IF(OR($A1453="",$D1453&lt;&gt;"تسليم",NOT(ISNUMBER($E1453))),"",COUNTIFS($A$5:$A$1504,$A1453,$D$5:$D$1504,"تسليم",$E$5:$E$1504,"&lt;"&amp;$E1453)+1)</f>
        <v/>
      </c>
      <c r="H1453" s="33" t="str">
        <f aca="false">IF($G1453="","",_xlfn.MINIFS($E$5:$E$1504,$A$5:$A$1504,$A1453,$D$5:$D$1504,"&lt;&gt;تسليم",$E$5:$E$1504,"&gt;="&amp;$E1453))</f>
        <v/>
      </c>
      <c r="I1453" s="33" t="str">
        <f aca="false">IF($G1453="","",_xlfn.MINIFS($E$5:$E$1504,$A$5:$A$1504,$A1453,$D$5:$D$1504,"تسليم",$E$5:$E$1504,"&gt;"&amp;$E1453))</f>
        <v/>
      </c>
      <c r="J1453" s="33" t="str">
        <f aca="false">IF($G1453="","",IF(H1453&gt;0,IF(I1453&gt;0,MIN(H1453,I1453),H1453),IF(I1453&gt;0,I1453,تاريخ_الاحتساب)))</f>
        <v/>
      </c>
      <c r="K1453" s="34" t="str">
        <f aca="false">IF($G1453="","",IF(AND(H1453=0,I1453=0),"جارية","مغلقة"))</f>
        <v/>
      </c>
      <c r="L1453" s="26" t="str">
        <f aca="false">IF($G1453="","",MAX(0,NETWORKDAYS.INTL($E1453,J1453,رمز_العطلة,أيام_الأجازات)-1))</f>
        <v/>
      </c>
      <c r="M1453" s="26" t="str">
        <f aca="false">IF($G1453="","",MAX(0,L1453-مهلة_المراجعة))</f>
        <v/>
      </c>
      <c r="N1453" s="30" t="str">
        <f aca="false">IF($A1453="",IF(OR($D1453&lt;&gt;"",$E1453&lt;&gt;""),"رقم المخرج ناقص",""),IF(ISNA(MATCH($A1453,قائمة_المخرجات,0)),"رقم مخرج غير موجود",IF($D1453="","نوع الحركة ناقص",IF(NOT(ISNUMBER($E1453)),"التاريخ ناقص",IF($E1453&gt;تاريخ_الاحتساب,"تاريخ بعد تاريخ الاحتساب",IF(AND($D1453&lt;&gt;"تسليم",COUNTIFS($A$5:$A$1504,$A1453,$D$5:$D$1504,"تسليم",$E$5:$E$1504,"&lt;="&amp;$E1453)=0),"لا يوجد تسليم قبل الحركة دي",""))))))</f>
        <v/>
      </c>
    </row>
    <row r="1454" customFormat="false" ht="15" hidden="false" customHeight="false" outlineLevel="0" collapsed="false">
      <c r="A1454" s="20"/>
      <c r="B1454" s="35" t="str">
        <f aca="false">IF($A1454="","",IFERROR(INDEX(مخرج_البند,MATCH($A1454,قائمة_المخرجات,0)),""))</f>
        <v/>
      </c>
      <c r="C1454" s="30" t="str">
        <f aca="false">IF($A1454="","",IFERROR(INDEX(مخرج_الوصف,MATCH($A1454,قائمة_المخرجات,0)),""))</f>
        <v/>
      </c>
      <c r="D1454" s="20"/>
      <c r="E1454" s="31"/>
      <c r="F1454" s="22"/>
      <c r="G1454" s="36" t="str">
        <f aca="false">IF(OR($A1454="",$D1454&lt;&gt;"تسليم",NOT(ISNUMBER($E1454))),"",COUNTIFS($A$5:$A$1504,$A1454,$D$5:$D$1504,"تسليم",$E$5:$E$1504,"&lt;"&amp;$E1454)+1)</f>
        <v/>
      </c>
      <c r="H1454" s="33" t="str">
        <f aca="false">IF($G1454="","",_xlfn.MINIFS($E$5:$E$1504,$A$5:$A$1504,$A1454,$D$5:$D$1504,"&lt;&gt;تسليم",$E$5:$E$1504,"&gt;="&amp;$E1454))</f>
        <v/>
      </c>
      <c r="I1454" s="33" t="str">
        <f aca="false">IF($G1454="","",_xlfn.MINIFS($E$5:$E$1504,$A$5:$A$1504,$A1454,$D$5:$D$1504,"تسليم",$E$5:$E$1504,"&gt;"&amp;$E1454))</f>
        <v/>
      </c>
      <c r="J1454" s="33" t="str">
        <f aca="false">IF($G1454="","",IF(H1454&gt;0,IF(I1454&gt;0,MIN(H1454,I1454),H1454),IF(I1454&gt;0,I1454,تاريخ_الاحتساب)))</f>
        <v/>
      </c>
      <c r="K1454" s="34" t="str">
        <f aca="false">IF($G1454="","",IF(AND(H1454=0,I1454=0),"جارية","مغلقة"))</f>
        <v/>
      </c>
      <c r="L1454" s="26" t="str">
        <f aca="false">IF($G1454="","",MAX(0,NETWORKDAYS.INTL($E1454,J1454,رمز_العطلة,أيام_الأجازات)-1))</f>
        <v/>
      </c>
      <c r="M1454" s="26" t="str">
        <f aca="false">IF($G1454="","",MAX(0,L1454-مهلة_المراجعة))</f>
        <v/>
      </c>
      <c r="N1454" s="30" t="str">
        <f aca="false">IF($A1454="",IF(OR($D1454&lt;&gt;"",$E1454&lt;&gt;""),"رقم المخرج ناقص",""),IF(ISNA(MATCH($A1454,قائمة_المخرجات,0)),"رقم مخرج غير موجود",IF($D1454="","نوع الحركة ناقص",IF(NOT(ISNUMBER($E1454)),"التاريخ ناقص",IF($E1454&gt;تاريخ_الاحتساب,"تاريخ بعد تاريخ الاحتساب",IF(AND($D1454&lt;&gt;"تسليم",COUNTIFS($A$5:$A$1504,$A1454,$D$5:$D$1504,"تسليم",$E$5:$E$1504,"&lt;="&amp;$E1454)=0),"لا يوجد تسليم قبل الحركة دي",""))))))</f>
        <v/>
      </c>
    </row>
    <row r="1455" customFormat="false" ht="15" hidden="false" customHeight="false" outlineLevel="0" collapsed="false">
      <c r="A1455" s="20"/>
      <c r="B1455" s="35" t="str">
        <f aca="false">IF($A1455="","",IFERROR(INDEX(مخرج_البند,MATCH($A1455,قائمة_المخرجات,0)),""))</f>
        <v/>
      </c>
      <c r="C1455" s="30" t="str">
        <f aca="false">IF($A1455="","",IFERROR(INDEX(مخرج_الوصف,MATCH($A1455,قائمة_المخرجات,0)),""))</f>
        <v/>
      </c>
      <c r="D1455" s="20"/>
      <c r="E1455" s="31"/>
      <c r="F1455" s="22"/>
      <c r="G1455" s="36" t="str">
        <f aca="false">IF(OR($A1455="",$D1455&lt;&gt;"تسليم",NOT(ISNUMBER($E1455))),"",COUNTIFS($A$5:$A$1504,$A1455,$D$5:$D$1504,"تسليم",$E$5:$E$1504,"&lt;"&amp;$E1455)+1)</f>
        <v/>
      </c>
      <c r="H1455" s="33" t="str">
        <f aca="false">IF($G1455="","",_xlfn.MINIFS($E$5:$E$1504,$A$5:$A$1504,$A1455,$D$5:$D$1504,"&lt;&gt;تسليم",$E$5:$E$1504,"&gt;="&amp;$E1455))</f>
        <v/>
      </c>
      <c r="I1455" s="33" t="str">
        <f aca="false">IF($G1455="","",_xlfn.MINIFS($E$5:$E$1504,$A$5:$A$1504,$A1455,$D$5:$D$1504,"تسليم",$E$5:$E$1504,"&gt;"&amp;$E1455))</f>
        <v/>
      </c>
      <c r="J1455" s="33" t="str">
        <f aca="false">IF($G1455="","",IF(H1455&gt;0,IF(I1455&gt;0,MIN(H1455,I1455),H1455),IF(I1455&gt;0,I1455,تاريخ_الاحتساب)))</f>
        <v/>
      </c>
      <c r="K1455" s="34" t="str">
        <f aca="false">IF($G1455="","",IF(AND(H1455=0,I1455=0),"جارية","مغلقة"))</f>
        <v/>
      </c>
      <c r="L1455" s="26" t="str">
        <f aca="false">IF($G1455="","",MAX(0,NETWORKDAYS.INTL($E1455,J1455,رمز_العطلة,أيام_الأجازات)-1))</f>
        <v/>
      </c>
      <c r="M1455" s="26" t="str">
        <f aca="false">IF($G1455="","",MAX(0,L1455-مهلة_المراجعة))</f>
        <v/>
      </c>
      <c r="N1455" s="30" t="str">
        <f aca="false">IF($A1455="",IF(OR($D1455&lt;&gt;"",$E1455&lt;&gt;""),"رقم المخرج ناقص",""),IF(ISNA(MATCH($A1455,قائمة_المخرجات,0)),"رقم مخرج غير موجود",IF($D1455="","نوع الحركة ناقص",IF(NOT(ISNUMBER($E1455)),"التاريخ ناقص",IF($E1455&gt;تاريخ_الاحتساب,"تاريخ بعد تاريخ الاحتساب",IF(AND($D1455&lt;&gt;"تسليم",COUNTIFS($A$5:$A$1504,$A1455,$D$5:$D$1504,"تسليم",$E$5:$E$1504,"&lt;="&amp;$E1455)=0),"لا يوجد تسليم قبل الحركة دي",""))))))</f>
        <v/>
      </c>
    </row>
    <row r="1456" customFormat="false" ht="15" hidden="false" customHeight="false" outlineLevel="0" collapsed="false">
      <c r="A1456" s="20"/>
      <c r="B1456" s="35" t="str">
        <f aca="false">IF($A1456="","",IFERROR(INDEX(مخرج_البند,MATCH($A1456,قائمة_المخرجات,0)),""))</f>
        <v/>
      </c>
      <c r="C1456" s="30" t="str">
        <f aca="false">IF($A1456="","",IFERROR(INDEX(مخرج_الوصف,MATCH($A1456,قائمة_المخرجات,0)),""))</f>
        <v/>
      </c>
      <c r="D1456" s="20"/>
      <c r="E1456" s="31"/>
      <c r="F1456" s="22"/>
      <c r="G1456" s="36" t="str">
        <f aca="false">IF(OR($A1456="",$D1456&lt;&gt;"تسليم",NOT(ISNUMBER($E1456))),"",COUNTIFS($A$5:$A$1504,$A1456,$D$5:$D$1504,"تسليم",$E$5:$E$1504,"&lt;"&amp;$E1456)+1)</f>
        <v/>
      </c>
      <c r="H1456" s="33" t="str">
        <f aca="false">IF($G1456="","",_xlfn.MINIFS($E$5:$E$1504,$A$5:$A$1504,$A1456,$D$5:$D$1504,"&lt;&gt;تسليم",$E$5:$E$1504,"&gt;="&amp;$E1456))</f>
        <v/>
      </c>
      <c r="I1456" s="33" t="str">
        <f aca="false">IF($G1456="","",_xlfn.MINIFS($E$5:$E$1504,$A$5:$A$1504,$A1456,$D$5:$D$1504,"تسليم",$E$5:$E$1504,"&gt;"&amp;$E1456))</f>
        <v/>
      </c>
      <c r="J1456" s="33" t="str">
        <f aca="false">IF($G1456="","",IF(H1456&gt;0,IF(I1456&gt;0,MIN(H1456,I1456),H1456),IF(I1456&gt;0,I1456,تاريخ_الاحتساب)))</f>
        <v/>
      </c>
      <c r="K1456" s="34" t="str">
        <f aca="false">IF($G1456="","",IF(AND(H1456=0,I1456=0),"جارية","مغلقة"))</f>
        <v/>
      </c>
      <c r="L1456" s="26" t="str">
        <f aca="false">IF($G1456="","",MAX(0,NETWORKDAYS.INTL($E1456,J1456,رمز_العطلة,أيام_الأجازات)-1))</f>
        <v/>
      </c>
      <c r="M1456" s="26" t="str">
        <f aca="false">IF($G1456="","",MAX(0,L1456-مهلة_المراجعة))</f>
        <v/>
      </c>
      <c r="N1456" s="30" t="str">
        <f aca="false">IF($A1456="",IF(OR($D1456&lt;&gt;"",$E1456&lt;&gt;""),"رقم المخرج ناقص",""),IF(ISNA(MATCH($A1456,قائمة_المخرجات,0)),"رقم مخرج غير موجود",IF($D1456="","نوع الحركة ناقص",IF(NOT(ISNUMBER($E1456)),"التاريخ ناقص",IF($E1456&gt;تاريخ_الاحتساب,"تاريخ بعد تاريخ الاحتساب",IF(AND($D1456&lt;&gt;"تسليم",COUNTIFS($A$5:$A$1504,$A1456,$D$5:$D$1504,"تسليم",$E$5:$E$1504,"&lt;="&amp;$E1456)=0),"لا يوجد تسليم قبل الحركة دي",""))))))</f>
        <v/>
      </c>
    </row>
    <row r="1457" customFormat="false" ht="15" hidden="false" customHeight="false" outlineLevel="0" collapsed="false">
      <c r="A1457" s="20"/>
      <c r="B1457" s="35" t="str">
        <f aca="false">IF($A1457="","",IFERROR(INDEX(مخرج_البند,MATCH($A1457,قائمة_المخرجات,0)),""))</f>
        <v/>
      </c>
      <c r="C1457" s="30" t="str">
        <f aca="false">IF($A1457="","",IFERROR(INDEX(مخرج_الوصف,MATCH($A1457,قائمة_المخرجات,0)),""))</f>
        <v/>
      </c>
      <c r="D1457" s="20"/>
      <c r="E1457" s="31"/>
      <c r="F1457" s="22"/>
      <c r="G1457" s="36" t="str">
        <f aca="false">IF(OR($A1457="",$D1457&lt;&gt;"تسليم",NOT(ISNUMBER($E1457))),"",COUNTIFS($A$5:$A$1504,$A1457,$D$5:$D$1504,"تسليم",$E$5:$E$1504,"&lt;"&amp;$E1457)+1)</f>
        <v/>
      </c>
      <c r="H1457" s="33" t="str">
        <f aca="false">IF($G1457="","",_xlfn.MINIFS($E$5:$E$1504,$A$5:$A$1504,$A1457,$D$5:$D$1504,"&lt;&gt;تسليم",$E$5:$E$1504,"&gt;="&amp;$E1457))</f>
        <v/>
      </c>
      <c r="I1457" s="33" t="str">
        <f aca="false">IF($G1457="","",_xlfn.MINIFS($E$5:$E$1504,$A$5:$A$1504,$A1457,$D$5:$D$1504,"تسليم",$E$5:$E$1504,"&gt;"&amp;$E1457))</f>
        <v/>
      </c>
      <c r="J1457" s="33" t="str">
        <f aca="false">IF($G1457="","",IF(H1457&gt;0,IF(I1457&gt;0,MIN(H1457,I1457),H1457),IF(I1457&gt;0,I1457,تاريخ_الاحتساب)))</f>
        <v/>
      </c>
      <c r="K1457" s="34" t="str">
        <f aca="false">IF($G1457="","",IF(AND(H1457=0,I1457=0),"جارية","مغلقة"))</f>
        <v/>
      </c>
      <c r="L1457" s="26" t="str">
        <f aca="false">IF($G1457="","",MAX(0,NETWORKDAYS.INTL($E1457,J1457,رمز_العطلة,أيام_الأجازات)-1))</f>
        <v/>
      </c>
      <c r="M1457" s="26" t="str">
        <f aca="false">IF($G1457="","",MAX(0,L1457-مهلة_المراجعة))</f>
        <v/>
      </c>
      <c r="N1457" s="30" t="str">
        <f aca="false">IF($A1457="",IF(OR($D1457&lt;&gt;"",$E1457&lt;&gt;""),"رقم المخرج ناقص",""),IF(ISNA(MATCH($A1457,قائمة_المخرجات,0)),"رقم مخرج غير موجود",IF($D1457="","نوع الحركة ناقص",IF(NOT(ISNUMBER($E1457)),"التاريخ ناقص",IF($E1457&gt;تاريخ_الاحتساب,"تاريخ بعد تاريخ الاحتساب",IF(AND($D1457&lt;&gt;"تسليم",COUNTIFS($A$5:$A$1504,$A1457,$D$5:$D$1504,"تسليم",$E$5:$E$1504,"&lt;="&amp;$E1457)=0),"لا يوجد تسليم قبل الحركة دي",""))))))</f>
        <v/>
      </c>
    </row>
    <row r="1458" customFormat="false" ht="15" hidden="false" customHeight="false" outlineLevel="0" collapsed="false">
      <c r="A1458" s="20"/>
      <c r="B1458" s="35" t="str">
        <f aca="false">IF($A1458="","",IFERROR(INDEX(مخرج_البند,MATCH($A1458,قائمة_المخرجات,0)),""))</f>
        <v/>
      </c>
      <c r="C1458" s="30" t="str">
        <f aca="false">IF($A1458="","",IFERROR(INDEX(مخرج_الوصف,MATCH($A1458,قائمة_المخرجات,0)),""))</f>
        <v/>
      </c>
      <c r="D1458" s="20"/>
      <c r="E1458" s="31"/>
      <c r="F1458" s="22"/>
      <c r="G1458" s="36" t="str">
        <f aca="false">IF(OR($A1458="",$D1458&lt;&gt;"تسليم",NOT(ISNUMBER($E1458))),"",COUNTIFS($A$5:$A$1504,$A1458,$D$5:$D$1504,"تسليم",$E$5:$E$1504,"&lt;"&amp;$E1458)+1)</f>
        <v/>
      </c>
      <c r="H1458" s="33" t="str">
        <f aca="false">IF($G1458="","",_xlfn.MINIFS($E$5:$E$1504,$A$5:$A$1504,$A1458,$D$5:$D$1504,"&lt;&gt;تسليم",$E$5:$E$1504,"&gt;="&amp;$E1458))</f>
        <v/>
      </c>
      <c r="I1458" s="33" t="str">
        <f aca="false">IF($G1458="","",_xlfn.MINIFS($E$5:$E$1504,$A$5:$A$1504,$A1458,$D$5:$D$1504,"تسليم",$E$5:$E$1504,"&gt;"&amp;$E1458))</f>
        <v/>
      </c>
      <c r="J1458" s="33" t="str">
        <f aca="false">IF($G1458="","",IF(H1458&gt;0,IF(I1458&gt;0,MIN(H1458,I1458),H1458),IF(I1458&gt;0,I1458,تاريخ_الاحتساب)))</f>
        <v/>
      </c>
      <c r="K1458" s="34" t="str">
        <f aca="false">IF($G1458="","",IF(AND(H1458=0,I1458=0),"جارية","مغلقة"))</f>
        <v/>
      </c>
      <c r="L1458" s="26" t="str">
        <f aca="false">IF($G1458="","",MAX(0,NETWORKDAYS.INTL($E1458,J1458,رمز_العطلة,أيام_الأجازات)-1))</f>
        <v/>
      </c>
      <c r="M1458" s="26" t="str">
        <f aca="false">IF($G1458="","",MAX(0,L1458-مهلة_المراجعة))</f>
        <v/>
      </c>
      <c r="N1458" s="30" t="str">
        <f aca="false">IF($A1458="",IF(OR($D1458&lt;&gt;"",$E1458&lt;&gt;""),"رقم المخرج ناقص",""),IF(ISNA(MATCH($A1458,قائمة_المخرجات,0)),"رقم مخرج غير موجود",IF($D1458="","نوع الحركة ناقص",IF(NOT(ISNUMBER($E1458)),"التاريخ ناقص",IF($E1458&gt;تاريخ_الاحتساب,"تاريخ بعد تاريخ الاحتساب",IF(AND($D1458&lt;&gt;"تسليم",COUNTIFS($A$5:$A$1504,$A1458,$D$5:$D$1504,"تسليم",$E$5:$E$1504,"&lt;="&amp;$E1458)=0),"لا يوجد تسليم قبل الحركة دي",""))))))</f>
        <v/>
      </c>
    </row>
    <row r="1459" customFormat="false" ht="15" hidden="false" customHeight="false" outlineLevel="0" collapsed="false">
      <c r="A1459" s="20"/>
      <c r="B1459" s="35" t="str">
        <f aca="false">IF($A1459="","",IFERROR(INDEX(مخرج_البند,MATCH($A1459,قائمة_المخرجات,0)),""))</f>
        <v/>
      </c>
      <c r="C1459" s="30" t="str">
        <f aca="false">IF($A1459="","",IFERROR(INDEX(مخرج_الوصف,MATCH($A1459,قائمة_المخرجات,0)),""))</f>
        <v/>
      </c>
      <c r="D1459" s="20"/>
      <c r="E1459" s="31"/>
      <c r="F1459" s="22"/>
      <c r="G1459" s="36" t="str">
        <f aca="false">IF(OR($A1459="",$D1459&lt;&gt;"تسليم",NOT(ISNUMBER($E1459))),"",COUNTIFS($A$5:$A$1504,$A1459,$D$5:$D$1504,"تسليم",$E$5:$E$1504,"&lt;"&amp;$E1459)+1)</f>
        <v/>
      </c>
      <c r="H1459" s="33" t="str">
        <f aca="false">IF($G1459="","",_xlfn.MINIFS($E$5:$E$1504,$A$5:$A$1504,$A1459,$D$5:$D$1504,"&lt;&gt;تسليم",$E$5:$E$1504,"&gt;="&amp;$E1459))</f>
        <v/>
      </c>
      <c r="I1459" s="33" t="str">
        <f aca="false">IF($G1459="","",_xlfn.MINIFS($E$5:$E$1504,$A$5:$A$1504,$A1459,$D$5:$D$1504,"تسليم",$E$5:$E$1504,"&gt;"&amp;$E1459))</f>
        <v/>
      </c>
      <c r="J1459" s="33" t="str">
        <f aca="false">IF($G1459="","",IF(H1459&gt;0,IF(I1459&gt;0,MIN(H1459,I1459),H1459),IF(I1459&gt;0,I1459,تاريخ_الاحتساب)))</f>
        <v/>
      </c>
      <c r="K1459" s="34" t="str">
        <f aca="false">IF($G1459="","",IF(AND(H1459=0,I1459=0),"جارية","مغلقة"))</f>
        <v/>
      </c>
      <c r="L1459" s="26" t="str">
        <f aca="false">IF($G1459="","",MAX(0,NETWORKDAYS.INTL($E1459,J1459,رمز_العطلة,أيام_الأجازات)-1))</f>
        <v/>
      </c>
      <c r="M1459" s="26" t="str">
        <f aca="false">IF($G1459="","",MAX(0,L1459-مهلة_المراجعة))</f>
        <v/>
      </c>
      <c r="N1459" s="30" t="str">
        <f aca="false">IF($A1459="",IF(OR($D1459&lt;&gt;"",$E1459&lt;&gt;""),"رقم المخرج ناقص",""),IF(ISNA(MATCH($A1459,قائمة_المخرجات,0)),"رقم مخرج غير موجود",IF($D1459="","نوع الحركة ناقص",IF(NOT(ISNUMBER($E1459)),"التاريخ ناقص",IF($E1459&gt;تاريخ_الاحتساب,"تاريخ بعد تاريخ الاحتساب",IF(AND($D1459&lt;&gt;"تسليم",COUNTIFS($A$5:$A$1504,$A1459,$D$5:$D$1504,"تسليم",$E$5:$E$1504,"&lt;="&amp;$E1459)=0),"لا يوجد تسليم قبل الحركة دي",""))))))</f>
        <v/>
      </c>
    </row>
    <row r="1460" customFormat="false" ht="15" hidden="false" customHeight="false" outlineLevel="0" collapsed="false">
      <c r="A1460" s="20"/>
      <c r="B1460" s="35" t="str">
        <f aca="false">IF($A1460="","",IFERROR(INDEX(مخرج_البند,MATCH($A1460,قائمة_المخرجات,0)),""))</f>
        <v/>
      </c>
      <c r="C1460" s="30" t="str">
        <f aca="false">IF($A1460="","",IFERROR(INDEX(مخرج_الوصف,MATCH($A1460,قائمة_المخرجات,0)),""))</f>
        <v/>
      </c>
      <c r="D1460" s="20"/>
      <c r="E1460" s="31"/>
      <c r="F1460" s="22"/>
      <c r="G1460" s="36" t="str">
        <f aca="false">IF(OR($A1460="",$D1460&lt;&gt;"تسليم",NOT(ISNUMBER($E1460))),"",COUNTIFS($A$5:$A$1504,$A1460,$D$5:$D$1504,"تسليم",$E$5:$E$1504,"&lt;"&amp;$E1460)+1)</f>
        <v/>
      </c>
      <c r="H1460" s="33" t="str">
        <f aca="false">IF($G1460="","",_xlfn.MINIFS($E$5:$E$1504,$A$5:$A$1504,$A1460,$D$5:$D$1504,"&lt;&gt;تسليم",$E$5:$E$1504,"&gt;="&amp;$E1460))</f>
        <v/>
      </c>
      <c r="I1460" s="33" t="str">
        <f aca="false">IF($G1460="","",_xlfn.MINIFS($E$5:$E$1504,$A$5:$A$1504,$A1460,$D$5:$D$1504,"تسليم",$E$5:$E$1504,"&gt;"&amp;$E1460))</f>
        <v/>
      </c>
      <c r="J1460" s="33" t="str">
        <f aca="false">IF($G1460="","",IF(H1460&gt;0,IF(I1460&gt;0,MIN(H1460,I1460),H1460),IF(I1460&gt;0,I1460,تاريخ_الاحتساب)))</f>
        <v/>
      </c>
      <c r="K1460" s="34" t="str">
        <f aca="false">IF($G1460="","",IF(AND(H1460=0,I1460=0),"جارية","مغلقة"))</f>
        <v/>
      </c>
      <c r="L1460" s="26" t="str">
        <f aca="false">IF($G1460="","",MAX(0,NETWORKDAYS.INTL($E1460,J1460,رمز_العطلة,أيام_الأجازات)-1))</f>
        <v/>
      </c>
      <c r="M1460" s="26" t="str">
        <f aca="false">IF($G1460="","",MAX(0,L1460-مهلة_المراجعة))</f>
        <v/>
      </c>
      <c r="N1460" s="30" t="str">
        <f aca="false">IF($A1460="",IF(OR($D1460&lt;&gt;"",$E1460&lt;&gt;""),"رقم المخرج ناقص",""),IF(ISNA(MATCH($A1460,قائمة_المخرجات,0)),"رقم مخرج غير موجود",IF($D1460="","نوع الحركة ناقص",IF(NOT(ISNUMBER($E1460)),"التاريخ ناقص",IF($E1460&gt;تاريخ_الاحتساب,"تاريخ بعد تاريخ الاحتساب",IF(AND($D1460&lt;&gt;"تسليم",COUNTIFS($A$5:$A$1504,$A1460,$D$5:$D$1504,"تسليم",$E$5:$E$1504,"&lt;="&amp;$E1460)=0),"لا يوجد تسليم قبل الحركة دي",""))))))</f>
        <v/>
      </c>
    </row>
    <row r="1461" customFormat="false" ht="15" hidden="false" customHeight="false" outlineLevel="0" collapsed="false">
      <c r="A1461" s="20"/>
      <c r="B1461" s="35" t="str">
        <f aca="false">IF($A1461="","",IFERROR(INDEX(مخرج_البند,MATCH($A1461,قائمة_المخرجات,0)),""))</f>
        <v/>
      </c>
      <c r="C1461" s="30" t="str">
        <f aca="false">IF($A1461="","",IFERROR(INDEX(مخرج_الوصف,MATCH($A1461,قائمة_المخرجات,0)),""))</f>
        <v/>
      </c>
      <c r="D1461" s="20"/>
      <c r="E1461" s="31"/>
      <c r="F1461" s="22"/>
      <c r="G1461" s="36" t="str">
        <f aca="false">IF(OR($A1461="",$D1461&lt;&gt;"تسليم",NOT(ISNUMBER($E1461))),"",COUNTIFS($A$5:$A$1504,$A1461,$D$5:$D$1504,"تسليم",$E$5:$E$1504,"&lt;"&amp;$E1461)+1)</f>
        <v/>
      </c>
      <c r="H1461" s="33" t="str">
        <f aca="false">IF($G1461="","",_xlfn.MINIFS($E$5:$E$1504,$A$5:$A$1504,$A1461,$D$5:$D$1504,"&lt;&gt;تسليم",$E$5:$E$1504,"&gt;="&amp;$E1461))</f>
        <v/>
      </c>
      <c r="I1461" s="33" t="str">
        <f aca="false">IF($G1461="","",_xlfn.MINIFS($E$5:$E$1504,$A$5:$A$1504,$A1461,$D$5:$D$1504,"تسليم",$E$5:$E$1504,"&gt;"&amp;$E1461))</f>
        <v/>
      </c>
      <c r="J1461" s="33" t="str">
        <f aca="false">IF($G1461="","",IF(H1461&gt;0,IF(I1461&gt;0,MIN(H1461,I1461),H1461),IF(I1461&gt;0,I1461,تاريخ_الاحتساب)))</f>
        <v/>
      </c>
      <c r="K1461" s="34" t="str">
        <f aca="false">IF($G1461="","",IF(AND(H1461=0,I1461=0),"جارية","مغلقة"))</f>
        <v/>
      </c>
      <c r="L1461" s="26" t="str">
        <f aca="false">IF($G1461="","",MAX(0,NETWORKDAYS.INTL($E1461,J1461,رمز_العطلة,أيام_الأجازات)-1))</f>
        <v/>
      </c>
      <c r="M1461" s="26" t="str">
        <f aca="false">IF($G1461="","",MAX(0,L1461-مهلة_المراجعة))</f>
        <v/>
      </c>
      <c r="N1461" s="30" t="str">
        <f aca="false">IF($A1461="",IF(OR($D1461&lt;&gt;"",$E1461&lt;&gt;""),"رقم المخرج ناقص",""),IF(ISNA(MATCH($A1461,قائمة_المخرجات,0)),"رقم مخرج غير موجود",IF($D1461="","نوع الحركة ناقص",IF(NOT(ISNUMBER($E1461)),"التاريخ ناقص",IF($E1461&gt;تاريخ_الاحتساب,"تاريخ بعد تاريخ الاحتساب",IF(AND($D1461&lt;&gt;"تسليم",COUNTIFS($A$5:$A$1504,$A1461,$D$5:$D$1504,"تسليم",$E$5:$E$1504,"&lt;="&amp;$E1461)=0),"لا يوجد تسليم قبل الحركة دي",""))))))</f>
        <v/>
      </c>
    </row>
    <row r="1462" customFormat="false" ht="15" hidden="false" customHeight="false" outlineLevel="0" collapsed="false">
      <c r="A1462" s="20"/>
      <c r="B1462" s="35" t="str">
        <f aca="false">IF($A1462="","",IFERROR(INDEX(مخرج_البند,MATCH($A1462,قائمة_المخرجات,0)),""))</f>
        <v/>
      </c>
      <c r="C1462" s="30" t="str">
        <f aca="false">IF($A1462="","",IFERROR(INDEX(مخرج_الوصف,MATCH($A1462,قائمة_المخرجات,0)),""))</f>
        <v/>
      </c>
      <c r="D1462" s="20"/>
      <c r="E1462" s="31"/>
      <c r="F1462" s="22"/>
      <c r="G1462" s="36" t="str">
        <f aca="false">IF(OR($A1462="",$D1462&lt;&gt;"تسليم",NOT(ISNUMBER($E1462))),"",COUNTIFS($A$5:$A$1504,$A1462,$D$5:$D$1504,"تسليم",$E$5:$E$1504,"&lt;"&amp;$E1462)+1)</f>
        <v/>
      </c>
      <c r="H1462" s="33" t="str">
        <f aca="false">IF($G1462="","",_xlfn.MINIFS($E$5:$E$1504,$A$5:$A$1504,$A1462,$D$5:$D$1504,"&lt;&gt;تسليم",$E$5:$E$1504,"&gt;="&amp;$E1462))</f>
        <v/>
      </c>
      <c r="I1462" s="33" t="str">
        <f aca="false">IF($G1462="","",_xlfn.MINIFS($E$5:$E$1504,$A$5:$A$1504,$A1462,$D$5:$D$1504,"تسليم",$E$5:$E$1504,"&gt;"&amp;$E1462))</f>
        <v/>
      </c>
      <c r="J1462" s="33" t="str">
        <f aca="false">IF($G1462="","",IF(H1462&gt;0,IF(I1462&gt;0,MIN(H1462,I1462),H1462),IF(I1462&gt;0,I1462,تاريخ_الاحتساب)))</f>
        <v/>
      </c>
      <c r="K1462" s="34" t="str">
        <f aca="false">IF($G1462="","",IF(AND(H1462=0,I1462=0),"جارية","مغلقة"))</f>
        <v/>
      </c>
      <c r="L1462" s="26" t="str">
        <f aca="false">IF($G1462="","",MAX(0,NETWORKDAYS.INTL($E1462,J1462,رمز_العطلة,أيام_الأجازات)-1))</f>
        <v/>
      </c>
      <c r="M1462" s="26" t="str">
        <f aca="false">IF($G1462="","",MAX(0,L1462-مهلة_المراجعة))</f>
        <v/>
      </c>
      <c r="N1462" s="30" t="str">
        <f aca="false">IF($A1462="",IF(OR($D1462&lt;&gt;"",$E1462&lt;&gt;""),"رقم المخرج ناقص",""),IF(ISNA(MATCH($A1462,قائمة_المخرجات,0)),"رقم مخرج غير موجود",IF($D1462="","نوع الحركة ناقص",IF(NOT(ISNUMBER($E1462)),"التاريخ ناقص",IF($E1462&gt;تاريخ_الاحتساب,"تاريخ بعد تاريخ الاحتساب",IF(AND($D1462&lt;&gt;"تسليم",COUNTIFS($A$5:$A$1504,$A1462,$D$5:$D$1504,"تسليم",$E$5:$E$1504,"&lt;="&amp;$E1462)=0),"لا يوجد تسليم قبل الحركة دي",""))))))</f>
        <v/>
      </c>
    </row>
    <row r="1463" customFormat="false" ht="15" hidden="false" customHeight="false" outlineLevel="0" collapsed="false">
      <c r="A1463" s="20"/>
      <c r="B1463" s="35" t="str">
        <f aca="false">IF($A1463="","",IFERROR(INDEX(مخرج_البند,MATCH($A1463,قائمة_المخرجات,0)),""))</f>
        <v/>
      </c>
      <c r="C1463" s="30" t="str">
        <f aca="false">IF($A1463="","",IFERROR(INDEX(مخرج_الوصف,MATCH($A1463,قائمة_المخرجات,0)),""))</f>
        <v/>
      </c>
      <c r="D1463" s="20"/>
      <c r="E1463" s="31"/>
      <c r="F1463" s="22"/>
      <c r="G1463" s="36" t="str">
        <f aca="false">IF(OR($A1463="",$D1463&lt;&gt;"تسليم",NOT(ISNUMBER($E1463))),"",COUNTIFS($A$5:$A$1504,$A1463,$D$5:$D$1504,"تسليم",$E$5:$E$1504,"&lt;"&amp;$E1463)+1)</f>
        <v/>
      </c>
      <c r="H1463" s="33" t="str">
        <f aca="false">IF($G1463="","",_xlfn.MINIFS($E$5:$E$1504,$A$5:$A$1504,$A1463,$D$5:$D$1504,"&lt;&gt;تسليم",$E$5:$E$1504,"&gt;="&amp;$E1463))</f>
        <v/>
      </c>
      <c r="I1463" s="33" t="str">
        <f aca="false">IF($G1463="","",_xlfn.MINIFS($E$5:$E$1504,$A$5:$A$1504,$A1463,$D$5:$D$1504,"تسليم",$E$5:$E$1504,"&gt;"&amp;$E1463))</f>
        <v/>
      </c>
      <c r="J1463" s="33" t="str">
        <f aca="false">IF($G1463="","",IF(H1463&gt;0,IF(I1463&gt;0,MIN(H1463,I1463),H1463),IF(I1463&gt;0,I1463,تاريخ_الاحتساب)))</f>
        <v/>
      </c>
      <c r="K1463" s="34" t="str">
        <f aca="false">IF($G1463="","",IF(AND(H1463=0,I1463=0),"جارية","مغلقة"))</f>
        <v/>
      </c>
      <c r="L1463" s="26" t="str">
        <f aca="false">IF($G1463="","",MAX(0,NETWORKDAYS.INTL($E1463,J1463,رمز_العطلة,أيام_الأجازات)-1))</f>
        <v/>
      </c>
      <c r="M1463" s="26" t="str">
        <f aca="false">IF($G1463="","",MAX(0,L1463-مهلة_المراجعة))</f>
        <v/>
      </c>
      <c r="N1463" s="30" t="str">
        <f aca="false">IF($A1463="",IF(OR($D1463&lt;&gt;"",$E1463&lt;&gt;""),"رقم المخرج ناقص",""),IF(ISNA(MATCH($A1463,قائمة_المخرجات,0)),"رقم مخرج غير موجود",IF($D1463="","نوع الحركة ناقص",IF(NOT(ISNUMBER($E1463)),"التاريخ ناقص",IF($E1463&gt;تاريخ_الاحتساب,"تاريخ بعد تاريخ الاحتساب",IF(AND($D1463&lt;&gt;"تسليم",COUNTIFS($A$5:$A$1504,$A1463,$D$5:$D$1504,"تسليم",$E$5:$E$1504,"&lt;="&amp;$E1463)=0),"لا يوجد تسليم قبل الحركة دي",""))))))</f>
        <v/>
      </c>
    </row>
    <row r="1464" customFormat="false" ht="15" hidden="false" customHeight="false" outlineLevel="0" collapsed="false">
      <c r="A1464" s="20"/>
      <c r="B1464" s="35" t="str">
        <f aca="false">IF($A1464="","",IFERROR(INDEX(مخرج_البند,MATCH($A1464,قائمة_المخرجات,0)),""))</f>
        <v/>
      </c>
      <c r="C1464" s="30" t="str">
        <f aca="false">IF($A1464="","",IFERROR(INDEX(مخرج_الوصف,MATCH($A1464,قائمة_المخرجات,0)),""))</f>
        <v/>
      </c>
      <c r="D1464" s="20"/>
      <c r="E1464" s="31"/>
      <c r="F1464" s="22"/>
      <c r="G1464" s="36" t="str">
        <f aca="false">IF(OR($A1464="",$D1464&lt;&gt;"تسليم",NOT(ISNUMBER($E1464))),"",COUNTIFS($A$5:$A$1504,$A1464,$D$5:$D$1504,"تسليم",$E$5:$E$1504,"&lt;"&amp;$E1464)+1)</f>
        <v/>
      </c>
      <c r="H1464" s="33" t="str">
        <f aca="false">IF($G1464="","",_xlfn.MINIFS($E$5:$E$1504,$A$5:$A$1504,$A1464,$D$5:$D$1504,"&lt;&gt;تسليم",$E$5:$E$1504,"&gt;="&amp;$E1464))</f>
        <v/>
      </c>
      <c r="I1464" s="33" t="str">
        <f aca="false">IF($G1464="","",_xlfn.MINIFS($E$5:$E$1504,$A$5:$A$1504,$A1464,$D$5:$D$1504,"تسليم",$E$5:$E$1504,"&gt;"&amp;$E1464))</f>
        <v/>
      </c>
      <c r="J1464" s="33" t="str">
        <f aca="false">IF($G1464="","",IF(H1464&gt;0,IF(I1464&gt;0,MIN(H1464,I1464),H1464),IF(I1464&gt;0,I1464,تاريخ_الاحتساب)))</f>
        <v/>
      </c>
      <c r="K1464" s="34" t="str">
        <f aca="false">IF($G1464="","",IF(AND(H1464=0,I1464=0),"جارية","مغلقة"))</f>
        <v/>
      </c>
      <c r="L1464" s="26" t="str">
        <f aca="false">IF($G1464="","",MAX(0,NETWORKDAYS.INTL($E1464,J1464,رمز_العطلة,أيام_الأجازات)-1))</f>
        <v/>
      </c>
      <c r="M1464" s="26" t="str">
        <f aca="false">IF($G1464="","",MAX(0,L1464-مهلة_المراجعة))</f>
        <v/>
      </c>
      <c r="N1464" s="30" t="str">
        <f aca="false">IF($A1464="",IF(OR($D1464&lt;&gt;"",$E1464&lt;&gt;""),"رقم المخرج ناقص",""),IF(ISNA(MATCH($A1464,قائمة_المخرجات,0)),"رقم مخرج غير موجود",IF($D1464="","نوع الحركة ناقص",IF(NOT(ISNUMBER($E1464)),"التاريخ ناقص",IF($E1464&gt;تاريخ_الاحتساب,"تاريخ بعد تاريخ الاحتساب",IF(AND($D1464&lt;&gt;"تسليم",COUNTIFS($A$5:$A$1504,$A1464,$D$5:$D$1504,"تسليم",$E$5:$E$1504,"&lt;="&amp;$E1464)=0),"لا يوجد تسليم قبل الحركة دي",""))))))</f>
        <v/>
      </c>
    </row>
    <row r="1465" customFormat="false" ht="15" hidden="false" customHeight="false" outlineLevel="0" collapsed="false">
      <c r="A1465" s="20"/>
      <c r="B1465" s="35" t="str">
        <f aca="false">IF($A1465="","",IFERROR(INDEX(مخرج_البند,MATCH($A1465,قائمة_المخرجات,0)),""))</f>
        <v/>
      </c>
      <c r="C1465" s="30" t="str">
        <f aca="false">IF($A1465="","",IFERROR(INDEX(مخرج_الوصف,MATCH($A1465,قائمة_المخرجات,0)),""))</f>
        <v/>
      </c>
      <c r="D1465" s="20"/>
      <c r="E1465" s="31"/>
      <c r="F1465" s="22"/>
      <c r="G1465" s="36" t="str">
        <f aca="false">IF(OR($A1465="",$D1465&lt;&gt;"تسليم",NOT(ISNUMBER($E1465))),"",COUNTIFS($A$5:$A$1504,$A1465,$D$5:$D$1504,"تسليم",$E$5:$E$1504,"&lt;"&amp;$E1465)+1)</f>
        <v/>
      </c>
      <c r="H1465" s="33" t="str">
        <f aca="false">IF($G1465="","",_xlfn.MINIFS($E$5:$E$1504,$A$5:$A$1504,$A1465,$D$5:$D$1504,"&lt;&gt;تسليم",$E$5:$E$1504,"&gt;="&amp;$E1465))</f>
        <v/>
      </c>
      <c r="I1465" s="33" t="str">
        <f aca="false">IF($G1465="","",_xlfn.MINIFS($E$5:$E$1504,$A$5:$A$1504,$A1465,$D$5:$D$1504,"تسليم",$E$5:$E$1504,"&gt;"&amp;$E1465))</f>
        <v/>
      </c>
      <c r="J1465" s="33" t="str">
        <f aca="false">IF($G1465="","",IF(H1465&gt;0,IF(I1465&gt;0,MIN(H1465,I1465),H1465),IF(I1465&gt;0,I1465,تاريخ_الاحتساب)))</f>
        <v/>
      </c>
      <c r="K1465" s="34" t="str">
        <f aca="false">IF($G1465="","",IF(AND(H1465=0,I1465=0),"جارية","مغلقة"))</f>
        <v/>
      </c>
      <c r="L1465" s="26" t="str">
        <f aca="false">IF($G1465="","",MAX(0,NETWORKDAYS.INTL($E1465,J1465,رمز_العطلة,أيام_الأجازات)-1))</f>
        <v/>
      </c>
      <c r="M1465" s="26" t="str">
        <f aca="false">IF($G1465="","",MAX(0,L1465-مهلة_المراجعة))</f>
        <v/>
      </c>
      <c r="N1465" s="30" t="str">
        <f aca="false">IF($A1465="",IF(OR($D1465&lt;&gt;"",$E1465&lt;&gt;""),"رقم المخرج ناقص",""),IF(ISNA(MATCH($A1465,قائمة_المخرجات,0)),"رقم مخرج غير موجود",IF($D1465="","نوع الحركة ناقص",IF(NOT(ISNUMBER($E1465)),"التاريخ ناقص",IF($E1465&gt;تاريخ_الاحتساب,"تاريخ بعد تاريخ الاحتساب",IF(AND($D1465&lt;&gt;"تسليم",COUNTIFS($A$5:$A$1504,$A1465,$D$5:$D$1504,"تسليم",$E$5:$E$1504,"&lt;="&amp;$E1465)=0),"لا يوجد تسليم قبل الحركة دي",""))))))</f>
        <v/>
      </c>
    </row>
    <row r="1466" customFormat="false" ht="15" hidden="false" customHeight="false" outlineLevel="0" collapsed="false">
      <c r="A1466" s="20"/>
      <c r="B1466" s="35" t="str">
        <f aca="false">IF($A1466="","",IFERROR(INDEX(مخرج_البند,MATCH($A1466,قائمة_المخرجات,0)),""))</f>
        <v/>
      </c>
      <c r="C1466" s="30" t="str">
        <f aca="false">IF($A1466="","",IFERROR(INDEX(مخرج_الوصف,MATCH($A1466,قائمة_المخرجات,0)),""))</f>
        <v/>
      </c>
      <c r="D1466" s="20"/>
      <c r="E1466" s="31"/>
      <c r="F1466" s="22"/>
      <c r="G1466" s="36" t="str">
        <f aca="false">IF(OR($A1466="",$D1466&lt;&gt;"تسليم",NOT(ISNUMBER($E1466))),"",COUNTIFS($A$5:$A$1504,$A1466,$D$5:$D$1504,"تسليم",$E$5:$E$1504,"&lt;"&amp;$E1466)+1)</f>
        <v/>
      </c>
      <c r="H1466" s="33" t="str">
        <f aca="false">IF($G1466="","",_xlfn.MINIFS($E$5:$E$1504,$A$5:$A$1504,$A1466,$D$5:$D$1504,"&lt;&gt;تسليم",$E$5:$E$1504,"&gt;="&amp;$E1466))</f>
        <v/>
      </c>
      <c r="I1466" s="33" t="str">
        <f aca="false">IF($G1466="","",_xlfn.MINIFS($E$5:$E$1504,$A$5:$A$1504,$A1466,$D$5:$D$1504,"تسليم",$E$5:$E$1504,"&gt;"&amp;$E1466))</f>
        <v/>
      </c>
      <c r="J1466" s="33" t="str">
        <f aca="false">IF($G1466="","",IF(H1466&gt;0,IF(I1466&gt;0,MIN(H1466,I1466),H1466),IF(I1466&gt;0,I1466,تاريخ_الاحتساب)))</f>
        <v/>
      </c>
      <c r="K1466" s="34" t="str">
        <f aca="false">IF($G1466="","",IF(AND(H1466=0,I1466=0),"جارية","مغلقة"))</f>
        <v/>
      </c>
      <c r="L1466" s="26" t="str">
        <f aca="false">IF($G1466="","",MAX(0,NETWORKDAYS.INTL($E1466,J1466,رمز_العطلة,أيام_الأجازات)-1))</f>
        <v/>
      </c>
      <c r="M1466" s="26" t="str">
        <f aca="false">IF($G1466="","",MAX(0,L1466-مهلة_المراجعة))</f>
        <v/>
      </c>
      <c r="N1466" s="30" t="str">
        <f aca="false">IF($A1466="",IF(OR($D1466&lt;&gt;"",$E1466&lt;&gt;""),"رقم المخرج ناقص",""),IF(ISNA(MATCH($A1466,قائمة_المخرجات,0)),"رقم مخرج غير موجود",IF($D1466="","نوع الحركة ناقص",IF(NOT(ISNUMBER($E1466)),"التاريخ ناقص",IF($E1466&gt;تاريخ_الاحتساب,"تاريخ بعد تاريخ الاحتساب",IF(AND($D1466&lt;&gt;"تسليم",COUNTIFS($A$5:$A$1504,$A1466,$D$5:$D$1504,"تسليم",$E$5:$E$1504,"&lt;="&amp;$E1466)=0),"لا يوجد تسليم قبل الحركة دي",""))))))</f>
        <v/>
      </c>
    </row>
    <row r="1467" customFormat="false" ht="15" hidden="false" customHeight="false" outlineLevel="0" collapsed="false">
      <c r="A1467" s="20"/>
      <c r="B1467" s="35" t="str">
        <f aca="false">IF($A1467="","",IFERROR(INDEX(مخرج_البند,MATCH($A1467,قائمة_المخرجات,0)),""))</f>
        <v/>
      </c>
      <c r="C1467" s="30" t="str">
        <f aca="false">IF($A1467="","",IFERROR(INDEX(مخرج_الوصف,MATCH($A1467,قائمة_المخرجات,0)),""))</f>
        <v/>
      </c>
      <c r="D1467" s="20"/>
      <c r="E1467" s="31"/>
      <c r="F1467" s="22"/>
      <c r="G1467" s="36" t="str">
        <f aca="false">IF(OR($A1467="",$D1467&lt;&gt;"تسليم",NOT(ISNUMBER($E1467))),"",COUNTIFS($A$5:$A$1504,$A1467,$D$5:$D$1504,"تسليم",$E$5:$E$1504,"&lt;"&amp;$E1467)+1)</f>
        <v/>
      </c>
      <c r="H1467" s="33" t="str">
        <f aca="false">IF($G1467="","",_xlfn.MINIFS($E$5:$E$1504,$A$5:$A$1504,$A1467,$D$5:$D$1504,"&lt;&gt;تسليم",$E$5:$E$1504,"&gt;="&amp;$E1467))</f>
        <v/>
      </c>
      <c r="I1467" s="33" t="str">
        <f aca="false">IF($G1467="","",_xlfn.MINIFS($E$5:$E$1504,$A$5:$A$1504,$A1467,$D$5:$D$1504,"تسليم",$E$5:$E$1504,"&gt;"&amp;$E1467))</f>
        <v/>
      </c>
      <c r="J1467" s="33" t="str">
        <f aca="false">IF($G1467="","",IF(H1467&gt;0,IF(I1467&gt;0,MIN(H1467,I1467),H1467),IF(I1467&gt;0,I1467,تاريخ_الاحتساب)))</f>
        <v/>
      </c>
      <c r="K1467" s="34" t="str">
        <f aca="false">IF($G1467="","",IF(AND(H1467=0,I1467=0),"جارية","مغلقة"))</f>
        <v/>
      </c>
      <c r="L1467" s="26" t="str">
        <f aca="false">IF($G1467="","",MAX(0,NETWORKDAYS.INTL($E1467,J1467,رمز_العطلة,أيام_الأجازات)-1))</f>
        <v/>
      </c>
      <c r="M1467" s="26" t="str">
        <f aca="false">IF($G1467="","",MAX(0,L1467-مهلة_المراجعة))</f>
        <v/>
      </c>
      <c r="N1467" s="30" t="str">
        <f aca="false">IF($A1467="",IF(OR($D1467&lt;&gt;"",$E1467&lt;&gt;""),"رقم المخرج ناقص",""),IF(ISNA(MATCH($A1467,قائمة_المخرجات,0)),"رقم مخرج غير موجود",IF($D1467="","نوع الحركة ناقص",IF(NOT(ISNUMBER($E1467)),"التاريخ ناقص",IF($E1467&gt;تاريخ_الاحتساب,"تاريخ بعد تاريخ الاحتساب",IF(AND($D1467&lt;&gt;"تسليم",COUNTIFS($A$5:$A$1504,$A1467,$D$5:$D$1504,"تسليم",$E$5:$E$1504,"&lt;="&amp;$E1467)=0),"لا يوجد تسليم قبل الحركة دي",""))))))</f>
        <v/>
      </c>
    </row>
    <row r="1468" customFormat="false" ht="15" hidden="false" customHeight="false" outlineLevel="0" collapsed="false">
      <c r="A1468" s="20"/>
      <c r="B1468" s="35" t="str">
        <f aca="false">IF($A1468="","",IFERROR(INDEX(مخرج_البند,MATCH($A1468,قائمة_المخرجات,0)),""))</f>
        <v/>
      </c>
      <c r="C1468" s="30" t="str">
        <f aca="false">IF($A1468="","",IFERROR(INDEX(مخرج_الوصف,MATCH($A1468,قائمة_المخرجات,0)),""))</f>
        <v/>
      </c>
      <c r="D1468" s="20"/>
      <c r="E1468" s="31"/>
      <c r="F1468" s="22"/>
      <c r="G1468" s="36" t="str">
        <f aca="false">IF(OR($A1468="",$D1468&lt;&gt;"تسليم",NOT(ISNUMBER($E1468))),"",COUNTIFS($A$5:$A$1504,$A1468,$D$5:$D$1504,"تسليم",$E$5:$E$1504,"&lt;"&amp;$E1468)+1)</f>
        <v/>
      </c>
      <c r="H1468" s="33" t="str">
        <f aca="false">IF($G1468="","",_xlfn.MINIFS($E$5:$E$1504,$A$5:$A$1504,$A1468,$D$5:$D$1504,"&lt;&gt;تسليم",$E$5:$E$1504,"&gt;="&amp;$E1468))</f>
        <v/>
      </c>
      <c r="I1468" s="33" t="str">
        <f aca="false">IF($G1468="","",_xlfn.MINIFS($E$5:$E$1504,$A$5:$A$1504,$A1468,$D$5:$D$1504,"تسليم",$E$5:$E$1504,"&gt;"&amp;$E1468))</f>
        <v/>
      </c>
      <c r="J1468" s="33" t="str">
        <f aca="false">IF($G1468="","",IF(H1468&gt;0,IF(I1468&gt;0,MIN(H1468,I1468),H1468),IF(I1468&gt;0,I1468,تاريخ_الاحتساب)))</f>
        <v/>
      </c>
      <c r="K1468" s="34" t="str">
        <f aca="false">IF($G1468="","",IF(AND(H1468=0,I1468=0),"جارية","مغلقة"))</f>
        <v/>
      </c>
      <c r="L1468" s="26" t="str">
        <f aca="false">IF($G1468="","",MAX(0,NETWORKDAYS.INTL($E1468,J1468,رمز_العطلة,أيام_الأجازات)-1))</f>
        <v/>
      </c>
      <c r="M1468" s="26" t="str">
        <f aca="false">IF($G1468="","",MAX(0,L1468-مهلة_المراجعة))</f>
        <v/>
      </c>
      <c r="N1468" s="30" t="str">
        <f aca="false">IF($A1468="",IF(OR($D1468&lt;&gt;"",$E1468&lt;&gt;""),"رقم المخرج ناقص",""),IF(ISNA(MATCH($A1468,قائمة_المخرجات,0)),"رقم مخرج غير موجود",IF($D1468="","نوع الحركة ناقص",IF(NOT(ISNUMBER($E1468)),"التاريخ ناقص",IF($E1468&gt;تاريخ_الاحتساب,"تاريخ بعد تاريخ الاحتساب",IF(AND($D1468&lt;&gt;"تسليم",COUNTIFS($A$5:$A$1504,$A1468,$D$5:$D$1504,"تسليم",$E$5:$E$1504,"&lt;="&amp;$E1468)=0),"لا يوجد تسليم قبل الحركة دي",""))))))</f>
        <v/>
      </c>
    </row>
    <row r="1469" customFormat="false" ht="15" hidden="false" customHeight="false" outlineLevel="0" collapsed="false">
      <c r="A1469" s="20"/>
      <c r="B1469" s="35" t="str">
        <f aca="false">IF($A1469="","",IFERROR(INDEX(مخرج_البند,MATCH($A1469,قائمة_المخرجات,0)),""))</f>
        <v/>
      </c>
      <c r="C1469" s="30" t="str">
        <f aca="false">IF($A1469="","",IFERROR(INDEX(مخرج_الوصف,MATCH($A1469,قائمة_المخرجات,0)),""))</f>
        <v/>
      </c>
      <c r="D1469" s="20"/>
      <c r="E1469" s="31"/>
      <c r="F1469" s="22"/>
      <c r="G1469" s="36" t="str">
        <f aca="false">IF(OR($A1469="",$D1469&lt;&gt;"تسليم",NOT(ISNUMBER($E1469))),"",COUNTIFS($A$5:$A$1504,$A1469,$D$5:$D$1504,"تسليم",$E$5:$E$1504,"&lt;"&amp;$E1469)+1)</f>
        <v/>
      </c>
      <c r="H1469" s="33" t="str">
        <f aca="false">IF($G1469="","",_xlfn.MINIFS($E$5:$E$1504,$A$5:$A$1504,$A1469,$D$5:$D$1504,"&lt;&gt;تسليم",$E$5:$E$1504,"&gt;="&amp;$E1469))</f>
        <v/>
      </c>
      <c r="I1469" s="33" t="str">
        <f aca="false">IF($G1469="","",_xlfn.MINIFS($E$5:$E$1504,$A$5:$A$1504,$A1469,$D$5:$D$1504,"تسليم",$E$5:$E$1504,"&gt;"&amp;$E1469))</f>
        <v/>
      </c>
      <c r="J1469" s="33" t="str">
        <f aca="false">IF($G1469="","",IF(H1469&gt;0,IF(I1469&gt;0,MIN(H1469,I1469),H1469),IF(I1469&gt;0,I1469,تاريخ_الاحتساب)))</f>
        <v/>
      </c>
      <c r="K1469" s="34" t="str">
        <f aca="false">IF($G1469="","",IF(AND(H1469=0,I1469=0),"جارية","مغلقة"))</f>
        <v/>
      </c>
      <c r="L1469" s="26" t="str">
        <f aca="false">IF($G1469="","",MAX(0,NETWORKDAYS.INTL($E1469,J1469,رمز_العطلة,أيام_الأجازات)-1))</f>
        <v/>
      </c>
      <c r="M1469" s="26" t="str">
        <f aca="false">IF($G1469="","",MAX(0,L1469-مهلة_المراجعة))</f>
        <v/>
      </c>
      <c r="N1469" s="30" t="str">
        <f aca="false">IF($A1469="",IF(OR($D1469&lt;&gt;"",$E1469&lt;&gt;""),"رقم المخرج ناقص",""),IF(ISNA(MATCH($A1469,قائمة_المخرجات,0)),"رقم مخرج غير موجود",IF($D1469="","نوع الحركة ناقص",IF(NOT(ISNUMBER($E1469)),"التاريخ ناقص",IF($E1469&gt;تاريخ_الاحتساب,"تاريخ بعد تاريخ الاحتساب",IF(AND($D1469&lt;&gt;"تسليم",COUNTIFS($A$5:$A$1504,$A1469,$D$5:$D$1504,"تسليم",$E$5:$E$1504,"&lt;="&amp;$E1469)=0),"لا يوجد تسليم قبل الحركة دي",""))))))</f>
        <v/>
      </c>
    </row>
    <row r="1470" customFormat="false" ht="15" hidden="false" customHeight="false" outlineLevel="0" collapsed="false">
      <c r="A1470" s="20"/>
      <c r="B1470" s="35" t="str">
        <f aca="false">IF($A1470="","",IFERROR(INDEX(مخرج_البند,MATCH($A1470,قائمة_المخرجات,0)),""))</f>
        <v/>
      </c>
      <c r="C1470" s="30" t="str">
        <f aca="false">IF($A1470="","",IFERROR(INDEX(مخرج_الوصف,MATCH($A1470,قائمة_المخرجات,0)),""))</f>
        <v/>
      </c>
      <c r="D1470" s="20"/>
      <c r="E1470" s="31"/>
      <c r="F1470" s="22"/>
      <c r="G1470" s="36" t="str">
        <f aca="false">IF(OR($A1470="",$D1470&lt;&gt;"تسليم",NOT(ISNUMBER($E1470))),"",COUNTIFS($A$5:$A$1504,$A1470,$D$5:$D$1504,"تسليم",$E$5:$E$1504,"&lt;"&amp;$E1470)+1)</f>
        <v/>
      </c>
      <c r="H1470" s="33" t="str">
        <f aca="false">IF($G1470="","",_xlfn.MINIFS($E$5:$E$1504,$A$5:$A$1504,$A1470,$D$5:$D$1504,"&lt;&gt;تسليم",$E$5:$E$1504,"&gt;="&amp;$E1470))</f>
        <v/>
      </c>
      <c r="I1470" s="33" t="str">
        <f aca="false">IF($G1470="","",_xlfn.MINIFS($E$5:$E$1504,$A$5:$A$1504,$A1470,$D$5:$D$1504,"تسليم",$E$5:$E$1504,"&gt;"&amp;$E1470))</f>
        <v/>
      </c>
      <c r="J1470" s="33" t="str">
        <f aca="false">IF($G1470="","",IF(H1470&gt;0,IF(I1470&gt;0,MIN(H1470,I1470),H1470),IF(I1470&gt;0,I1470,تاريخ_الاحتساب)))</f>
        <v/>
      </c>
      <c r="K1470" s="34" t="str">
        <f aca="false">IF($G1470="","",IF(AND(H1470=0,I1470=0),"جارية","مغلقة"))</f>
        <v/>
      </c>
      <c r="L1470" s="26" t="str">
        <f aca="false">IF($G1470="","",MAX(0,NETWORKDAYS.INTL($E1470,J1470,رمز_العطلة,أيام_الأجازات)-1))</f>
        <v/>
      </c>
      <c r="M1470" s="26" t="str">
        <f aca="false">IF($G1470="","",MAX(0,L1470-مهلة_المراجعة))</f>
        <v/>
      </c>
      <c r="N1470" s="30" t="str">
        <f aca="false">IF($A1470="",IF(OR($D1470&lt;&gt;"",$E1470&lt;&gt;""),"رقم المخرج ناقص",""),IF(ISNA(MATCH($A1470,قائمة_المخرجات,0)),"رقم مخرج غير موجود",IF($D1470="","نوع الحركة ناقص",IF(NOT(ISNUMBER($E1470)),"التاريخ ناقص",IF($E1470&gt;تاريخ_الاحتساب,"تاريخ بعد تاريخ الاحتساب",IF(AND($D1470&lt;&gt;"تسليم",COUNTIFS($A$5:$A$1504,$A1470,$D$5:$D$1504,"تسليم",$E$5:$E$1504,"&lt;="&amp;$E1470)=0),"لا يوجد تسليم قبل الحركة دي",""))))))</f>
        <v/>
      </c>
    </row>
    <row r="1471" customFormat="false" ht="15" hidden="false" customHeight="false" outlineLevel="0" collapsed="false">
      <c r="A1471" s="20"/>
      <c r="B1471" s="35" t="str">
        <f aca="false">IF($A1471="","",IFERROR(INDEX(مخرج_البند,MATCH($A1471,قائمة_المخرجات,0)),""))</f>
        <v/>
      </c>
      <c r="C1471" s="30" t="str">
        <f aca="false">IF($A1471="","",IFERROR(INDEX(مخرج_الوصف,MATCH($A1471,قائمة_المخرجات,0)),""))</f>
        <v/>
      </c>
      <c r="D1471" s="20"/>
      <c r="E1471" s="31"/>
      <c r="F1471" s="22"/>
      <c r="G1471" s="36" t="str">
        <f aca="false">IF(OR($A1471="",$D1471&lt;&gt;"تسليم",NOT(ISNUMBER($E1471))),"",COUNTIFS($A$5:$A$1504,$A1471,$D$5:$D$1504,"تسليم",$E$5:$E$1504,"&lt;"&amp;$E1471)+1)</f>
        <v/>
      </c>
      <c r="H1471" s="33" t="str">
        <f aca="false">IF($G1471="","",_xlfn.MINIFS($E$5:$E$1504,$A$5:$A$1504,$A1471,$D$5:$D$1504,"&lt;&gt;تسليم",$E$5:$E$1504,"&gt;="&amp;$E1471))</f>
        <v/>
      </c>
      <c r="I1471" s="33" t="str">
        <f aca="false">IF($G1471="","",_xlfn.MINIFS($E$5:$E$1504,$A$5:$A$1504,$A1471,$D$5:$D$1504,"تسليم",$E$5:$E$1504,"&gt;"&amp;$E1471))</f>
        <v/>
      </c>
      <c r="J1471" s="33" t="str">
        <f aca="false">IF($G1471="","",IF(H1471&gt;0,IF(I1471&gt;0,MIN(H1471,I1471),H1471),IF(I1471&gt;0,I1471,تاريخ_الاحتساب)))</f>
        <v/>
      </c>
      <c r="K1471" s="34" t="str">
        <f aca="false">IF($G1471="","",IF(AND(H1471=0,I1471=0),"جارية","مغلقة"))</f>
        <v/>
      </c>
      <c r="L1471" s="26" t="str">
        <f aca="false">IF($G1471="","",MAX(0,NETWORKDAYS.INTL($E1471,J1471,رمز_العطلة,أيام_الأجازات)-1))</f>
        <v/>
      </c>
      <c r="M1471" s="26" t="str">
        <f aca="false">IF($G1471="","",MAX(0,L1471-مهلة_المراجعة))</f>
        <v/>
      </c>
      <c r="N1471" s="30" t="str">
        <f aca="false">IF($A1471="",IF(OR($D1471&lt;&gt;"",$E1471&lt;&gt;""),"رقم المخرج ناقص",""),IF(ISNA(MATCH($A1471,قائمة_المخرجات,0)),"رقم مخرج غير موجود",IF($D1471="","نوع الحركة ناقص",IF(NOT(ISNUMBER($E1471)),"التاريخ ناقص",IF($E1471&gt;تاريخ_الاحتساب,"تاريخ بعد تاريخ الاحتساب",IF(AND($D1471&lt;&gt;"تسليم",COUNTIFS($A$5:$A$1504,$A1471,$D$5:$D$1504,"تسليم",$E$5:$E$1504,"&lt;="&amp;$E1471)=0),"لا يوجد تسليم قبل الحركة دي",""))))))</f>
        <v/>
      </c>
    </row>
    <row r="1472" customFormat="false" ht="15" hidden="false" customHeight="false" outlineLevel="0" collapsed="false">
      <c r="A1472" s="20"/>
      <c r="B1472" s="35" t="str">
        <f aca="false">IF($A1472="","",IFERROR(INDEX(مخرج_البند,MATCH($A1472,قائمة_المخرجات,0)),""))</f>
        <v/>
      </c>
      <c r="C1472" s="30" t="str">
        <f aca="false">IF($A1472="","",IFERROR(INDEX(مخرج_الوصف,MATCH($A1472,قائمة_المخرجات,0)),""))</f>
        <v/>
      </c>
      <c r="D1472" s="20"/>
      <c r="E1472" s="31"/>
      <c r="F1472" s="22"/>
      <c r="G1472" s="36" t="str">
        <f aca="false">IF(OR($A1472="",$D1472&lt;&gt;"تسليم",NOT(ISNUMBER($E1472))),"",COUNTIFS($A$5:$A$1504,$A1472,$D$5:$D$1504,"تسليم",$E$5:$E$1504,"&lt;"&amp;$E1472)+1)</f>
        <v/>
      </c>
      <c r="H1472" s="33" t="str">
        <f aca="false">IF($G1472="","",_xlfn.MINIFS($E$5:$E$1504,$A$5:$A$1504,$A1472,$D$5:$D$1504,"&lt;&gt;تسليم",$E$5:$E$1504,"&gt;="&amp;$E1472))</f>
        <v/>
      </c>
      <c r="I1472" s="33" t="str">
        <f aca="false">IF($G1472="","",_xlfn.MINIFS($E$5:$E$1504,$A$5:$A$1504,$A1472,$D$5:$D$1504,"تسليم",$E$5:$E$1504,"&gt;"&amp;$E1472))</f>
        <v/>
      </c>
      <c r="J1472" s="33" t="str">
        <f aca="false">IF($G1472="","",IF(H1472&gt;0,IF(I1472&gt;0,MIN(H1472,I1472),H1472),IF(I1472&gt;0,I1472,تاريخ_الاحتساب)))</f>
        <v/>
      </c>
      <c r="K1472" s="34" t="str">
        <f aca="false">IF($G1472="","",IF(AND(H1472=0,I1472=0),"جارية","مغلقة"))</f>
        <v/>
      </c>
      <c r="L1472" s="26" t="str">
        <f aca="false">IF($G1472="","",MAX(0,NETWORKDAYS.INTL($E1472,J1472,رمز_العطلة,أيام_الأجازات)-1))</f>
        <v/>
      </c>
      <c r="M1472" s="26" t="str">
        <f aca="false">IF($G1472="","",MAX(0,L1472-مهلة_المراجعة))</f>
        <v/>
      </c>
      <c r="N1472" s="30" t="str">
        <f aca="false">IF($A1472="",IF(OR($D1472&lt;&gt;"",$E1472&lt;&gt;""),"رقم المخرج ناقص",""),IF(ISNA(MATCH($A1472,قائمة_المخرجات,0)),"رقم مخرج غير موجود",IF($D1472="","نوع الحركة ناقص",IF(NOT(ISNUMBER($E1472)),"التاريخ ناقص",IF($E1472&gt;تاريخ_الاحتساب,"تاريخ بعد تاريخ الاحتساب",IF(AND($D1472&lt;&gt;"تسليم",COUNTIFS($A$5:$A$1504,$A1472,$D$5:$D$1504,"تسليم",$E$5:$E$1504,"&lt;="&amp;$E1472)=0),"لا يوجد تسليم قبل الحركة دي",""))))))</f>
        <v/>
      </c>
    </row>
    <row r="1473" customFormat="false" ht="15" hidden="false" customHeight="false" outlineLevel="0" collapsed="false">
      <c r="A1473" s="20"/>
      <c r="B1473" s="35" t="str">
        <f aca="false">IF($A1473="","",IFERROR(INDEX(مخرج_البند,MATCH($A1473,قائمة_المخرجات,0)),""))</f>
        <v/>
      </c>
      <c r="C1473" s="30" t="str">
        <f aca="false">IF($A1473="","",IFERROR(INDEX(مخرج_الوصف,MATCH($A1473,قائمة_المخرجات,0)),""))</f>
        <v/>
      </c>
      <c r="D1473" s="20"/>
      <c r="E1473" s="31"/>
      <c r="F1473" s="22"/>
      <c r="G1473" s="36" t="str">
        <f aca="false">IF(OR($A1473="",$D1473&lt;&gt;"تسليم",NOT(ISNUMBER($E1473))),"",COUNTIFS($A$5:$A$1504,$A1473,$D$5:$D$1504,"تسليم",$E$5:$E$1504,"&lt;"&amp;$E1473)+1)</f>
        <v/>
      </c>
      <c r="H1473" s="33" t="str">
        <f aca="false">IF($G1473="","",_xlfn.MINIFS($E$5:$E$1504,$A$5:$A$1504,$A1473,$D$5:$D$1504,"&lt;&gt;تسليم",$E$5:$E$1504,"&gt;="&amp;$E1473))</f>
        <v/>
      </c>
      <c r="I1473" s="33" t="str">
        <f aca="false">IF($G1473="","",_xlfn.MINIFS($E$5:$E$1504,$A$5:$A$1504,$A1473,$D$5:$D$1504,"تسليم",$E$5:$E$1504,"&gt;"&amp;$E1473))</f>
        <v/>
      </c>
      <c r="J1473" s="33" t="str">
        <f aca="false">IF($G1473="","",IF(H1473&gt;0,IF(I1473&gt;0,MIN(H1473,I1473),H1473),IF(I1473&gt;0,I1473,تاريخ_الاحتساب)))</f>
        <v/>
      </c>
      <c r="K1473" s="34" t="str">
        <f aca="false">IF($G1473="","",IF(AND(H1473=0,I1473=0),"جارية","مغلقة"))</f>
        <v/>
      </c>
      <c r="L1473" s="26" t="str">
        <f aca="false">IF($G1473="","",MAX(0,NETWORKDAYS.INTL($E1473,J1473,رمز_العطلة,أيام_الأجازات)-1))</f>
        <v/>
      </c>
      <c r="M1473" s="26" t="str">
        <f aca="false">IF($G1473="","",MAX(0,L1473-مهلة_المراجعة))</f>
        <v/>
      </c>
      <c r="N1473" s="30" t="str">
        <f aca="false">IF($A1473="",IF(OR($D1473&lt;&gt;"",$E1473&lt;&gt;""),"رقم المخرج ناقص",""),IF(ISNA(MATCH($A1473,قائمة_المخرجات,0)),"رقم مخرج غير موجود",IF($D1473="","نوع الحركة ناقص",IF(NOT(ISNUMBER($E1473)),"التاريخ ناقص",IF($E1473&gt;تاريخ_الاحتساب,"تاريخ بعد تاريخ الاحتساب",IF(AND($D1473&lt;&gt;"تسليم",COUNTIFS($A$5:$A$1504,$A1473,$D$5:$D$1504,"تسليم",$E$5:$E$1504,"&lt;="&amp;$E1473)=0),"لا يوجد تسليم قبل الحركة دي",""))))))</f>
        <v/>
      </c>
    </row>
    <row r="1474" customFormat="false" ht="15" hidden="false" customHeight="false" outlineLevel="0" collapsed="false">
      <c r="A1474" s="20"/>
      <c r="B1474" s="35" t="str">
        <f aca="false">IF($A1474="","",IFERROR(INDEX(مخرج_البند,MATCH($A1474,قائمة_المخرجات,0)),""))</f>
        <v/>
      </c>
      <c r="C1474" s="30" t="str">
        <f aca="false">IF($A1474="","",IFERROR(INDEX(مخرج_الوصف,MATCH($A1474,قائمة_المخرجات,0)),""))</f>
        <v/>
      </c>
      <c r="D1474" s="20"/>
      <c r="E1474" s="31"/>
      <c r="F1474" s="22"/>
      <c r="G1474" s="36" t="str">
        <f aca="false">IF(OR($A1474="",$D1474&lt;&gt;"تسليم",NOT(ISNUMBER($E1474))),"",COUNTIFS($A$5:$A$1504,$A1474,$D$5:$D$1504,"تسليم",$E$5:$E$1504,"&lt;"&amp;$E1474)+1)</f>
        <v/>
      </c>
      <c r="H1474" s="33" t="str">
        <f aca="false">IF($G1474="","",_xlfn.MINIFS($E$5:$E$1504,$A$5:$A$1504,$A1474,$D$5:$D$1504,"&lt;&gt;تسليم",$E$5:$E$1504,"&gt;="&amp;$E1474))</f>
        <v/>
      </c>
      <c r="I1474" s="33" t="str">
        <f aca="false">IF($G1474="","",_xlfn.MINIFS($E$5:$E$1504,$A$5:$A$1504,$A1474,$D$5:$D$1504,"تسليم",$E$5:$E$1504,"&gt;"&amp;$E1474))</f>
        <v/>
      </c>
      <c r="J1474" s="33" t="str">
        <f aca="false">IF($G1474="","",IF(H1474&gt;0,IF(I1474&gt;0,MIN(H1474,I1474),H1474),IF(I1474&gt;0,I1474,تاريخ_الاحتساب)))</f>
        <v/>
      </c>
      <c r="K1474" s="34" t="str">
        <f aca="false">IF($G1474="","",IF(AND(H1474=0,I1474=0),"جارية","مغلقة"))</f>
        <v/>
      </c>
      <c r="L1474" s="26" t="str">
        <f aca="false">IF($G1474="","",MAX(0,NETWORKDAYS.INTL($E1474,J1474,رمز_العطلة,أيام_الأجازات)-1))</f>
        <v/>
      </c>
      <c r="M1474" s="26" t="str">
        <f aca="false">IF($G1474="","",MAX(0,L1474-مهلة_المراجعة))</f>
        <v/>
      </c>
      <c r="N1474" s="30" t="str">
        <f aca="false">IF($A1474="",IF(OR($D1474&lt;&gt;"",$E1474&lt;&gt;""),"رقم المخرج ناقص",""),IF(ISNA(MATCH($A1474,قائمة_المخرجات,0)),"رقم مخرج غير موجود",IF($D1474="","نوع الحركة ناقص",IF(NOT(ISNUMBER($E1474)),"التاريخ ناقص",IF($E1474&gt;تاريخ_الاحتساب,"تاريخ بعد تاريخ الاحتساب",IF(AND($D1474&lt;&gt;"تسليم",COUNTIFS($A$5:$A$1504,$A1474,$D$5:$D$1504,"تسليم",$E$5:$E$1504,"&lt;="&amp;$E1474)=0),"لا يوجد تسليم قبل الحركة دي",""))))))</f>
        <v/>
      </c>
    </row>
    <row r="1475" customFormat="false" ht="15" hidden="false" customHeight="false" outlineLevel="0" collapsed="false">
      <c r="A1475" s="20"/>
      <c r="B1475" s="35" t="str">
        <f aca="false">IF($A1475="","",IFERROR(INDEX(مخرج_البند,MATCH($A1475,قائمة_المخرجات,0)),""))</f>
        <v/>
      </c>
      <c r="C1475" s="30" t="str">
        <f aca="false">IF($A1475="","",IFERROR(INDEX(مخرج_الوصف,MATCH($A1475,قائمة_المخرجات,0)),""))</f>
        <v/>
      </c>
      <c r="D1475" s="20"/>
      <c r="E1475" s="31"/>
      <c r="F1475" s="22"/>
      <c r="G1475" s="36" t="str">
        <f aca="false">IF(OR($A1475="",$D1475&lt;&gt;"تسليم",NOT(ISNUMBER($E1475))),"",COUNTIFS($A$5:$A$1504,$A1475,$D$5:$D$1504,"تسليم",$E$5:$E$1504,"&lt;"&amp;$E1475)+1)</f>
        <v/>
      </c>
      <c r="H1475" s="33" t="str">
        <f aca="false">IF($G1475="","",_xlfn.MINIFS($E$5:$E$1504,$A$5:$A$1504,$A1475,$D$5:$D$1504,"&lt;&gt;تسليم",$E$5:$E$1504,"&gt;="&amp;$E1475))</f>
        <v/>
      </c>
      <c r="I1475" s="33" t="str">
        <f aca="false">IF($G1475="","",_xlfn.MINIFS($E$5:$E$1504,$A$5:$A$1504,$A1475,$D$5:$D$1504,"تسليم",$E$5:$E$1504,"&gt;"&amp;$E1475))</f>
        <v/>
      </c>
      <c r="J1475" s="33" t="str">
        <f aca="false">IF($G1475="","",IF(H1475&gt;0,IF(I1475&gt;0,MIN(H1475,I1475),H1475),IF(I1475&gt;0,I1475,تاريخ_الاحتساب)))</f>
        <v/>
      </c>
      <c r="K1475" s="34" t="str">
        <f aca="false">IF($G1475="","",IF(AND(H1475=0,I1475=0),"جارية","مغلقة"))</f>
        <v/>
      </c>
      <c r="L1475" s="26" t="str">
        <f aca="false">IF($G1475="","",MAX(0,NETWORKDAYS.INTL($E1475,J1475,رمز_العطلة,أيام_الأجازات)-1))</f>
        <v/>
      </c>
      <c r="M1475" s="26" t="str">
        <f aca="false">IF($G1475="","",MAX(0,L1475-مهلة_المراجعة))</f>
        <v/>
      </c>
      <c r="N1475" s="30" t="str">
        <f aca="false">IF($A1475="",IF(OR($D1475&lt;&gt;"",$E1475&lt;&gt;""),"رقم المخرج ناقص",""),IF(ISNA(MATCH($A1475,قائمة_المخرجات,0)),"رقم مخرج غير موجود",IF($D1475="","نوع الحركة ناقص",IF(NOT(ISNUMBER($E1475)),"التاريخ ناقص",IF($E1475&gt;تاريخ_الاحتساب,"تاريخ بعد تاريخ الاحتساب",IF(AND($D1475&lt;&gt;"تسليم",COUNTIFS($A$5:$A$1504,$A1475,$D$5:$D$1504,"تسليم",$E$5:$E$1504,"&lt;="&amp;$E1475)=0),"لا يوجد تسليم قبل الحركة دي",""))))))</f>
        <v/>
      </c>
    </row>
    <row r="1476" customFormat="false" ht="15" hidden="false" customHeight="false" outlineLevel="0" collapsed="false">
      <c r="A1476" s="20"/>
      <c r="B1476" s="35" t="str">
        <f aca="false">IF($A1476="","",IFERROR(INDEX(مخرج_البند,MATCH($A1476,قائمة_المخرجات,0)),""))</f>
        <v/>
      </c>
      <c r="C1476" s="30" t="str">
        <f aca="false">IF($A1476="","",IFERROR(INDEX(مخرج_الوصف,MATCH($A1476,قائمة_المخرجات,0)),""))</f>
        <v/>
      </c>
      <c r="D1476" s="20"/>
      <c r="E1476" s="31"/>
      <c r="F1476" s="22"/>
      <c r="G1476" s="36" t="str">
        <f aca="false">IF(OR($A1476="",$D1476&lt;&gt;"تسليم",NOT(ISNUMBER($E1476))),"",COUNTIFS($A$5:$A$1504,$A1476,$D$5:$D$1504,"تسليم",$E$5:$E$1504,"&lt;"&amp;$E1476)+1)</f>
        <v/>
      </c>
      <c r="H1476" s="33" t="str">
        <f aca="false">IF($G1476="","",_xlfn.MINIFS($E$5:$E$1504,$A$5:$A$1504,$A1476,$D$5:$D$1504,"&lt;&gt;تسليم",$E$5:$E$1504,"&gt;="&amp;$E1476))</f>
        <v/>
      </c>
      <c r="I1476" s="33" t="str">
        <f aca="false">IF($G1476="","",_xlfn.MINIFS($E$5:$E$1504,$A$5:$A$1504,$A1476,$D$5:$D$1504,"تسليم",$E$5:$E$1504,"&gt;"&amp;$E1476))</f>
        <v/>
      </c>
      <c r="J1476" s="33" t="str">
        <f aca="false">IF($G1476="","",IF(H1476&gt;0,IF(I1476&gt;0,MIN(H1476,I1476),H1476),IF(I1476&gt;0,I1476,تاريخ_الاحتساب)))</f>
        <v/>
      </c>
      <c r="K1476" s="34" t="str">
        <f aca="false">IF($G1476="","",IF(AND(H1476=0,I1476=0),"جارية","مغلقة"))</f>
        <v/>
      </c>
      <c r="L1476" s="26" t="str">
        <f aca="false">IF($G1476="","",MAX(0,NETWORKDAYS.INTL($E1476,J1476,رمز_العطلة,أيام_الأجازات)-1))</f>
        <v/>
      </c>
      <c r="M1476" s="26" t="str">
        <f aca="false">IF($G1476="","",MAX(0,L1476-مهلة_المراجعة))</f>
        <v/>
      </c>
      <c r="N1476" s="30" t="str">
        <f aca="false">IF($A1476="",IF(OR($D1476&lt;&gt;"",$E1476&lt;&gt;""),"رقم المخرج ناقص",""),IF(ISNA(MATCH($A1476,قائمة_المخرجات,0)),"رقم مخرج غير موجود",IF($D1476="","نوع الحركة ناقص",IF(NOT(ISNUMBER($E1476)),"التاريخ ناقص",IF($E1476&gt;تاريخ_الاحتساب,"تاريخ بعد تاريخ الاحتساب",IF(AND($D1476&lt;&gt;"تسليم",COUNTIFS($A$5:$A$1504,$A1476,$D$5:$D$1504,"تسليم",$E$5:$E$1504,"&lt;="&amp;$E1476)=0),"لا يوجد تسليم قبل الحركة دي",""))))))</f>
        <v/>
      </c>
    </row>
    <row r="1477" customFormat="false" ht="15" hidden="false" customHeight="false" outlineLevel="0" collapsed="false">
      <c r="A1477" s="20"/>
      <c r="B1477" s="35" t="str">
        <f aca="false">IF($A1477="","",IFERROR(INDEX(مخرج_البند,MATCH($A1477,قائمة_المخرجات,0)),""))</f>
        <v/>
      </c>
      <c r="C1477" s="30" t="str">
        <f aca="false">IF($A1477="","",IFERROR(INDEX(مخرج_الوصف,MATCH($A1477,قائمة_المخرجات,0)),""))</f>
        <v/>
      </c>
      <c r="D1477" s="20"/>
      <c r="E1477" s="31"/>
      <c r="F1477" s="22"/>
      <c r="G1477" s="36" t="str">
        <f aca="false">IF(OR($A1477="",$D1477&lt;&gt;"تسليم",NOT(ISNUMBER($E1477))),"",COUNTIFS($A$5:$A$1504,$A1477,$D$5:$D$1504,"تسليم",$E$5:$E$1504,"&lt;"&amp;$E1477)+1)</f>
        <v/>
      </c>
      <c r="H1477" s="33" t="str">
        <f aca="false">IF($G1477="","",_xlfn.MINIFS($E$5:$E$1504,$A$5:$A$1504,$A1477,$D$5:$D$1504,"&lt;&gt;تسليم",$E$5:$E$1504,"&gt;="&amp;$E1477))</f>
        <v/>
      </c>
      <c r="I1477" s="33" t="str">
        <f aca="false">IF($G1477="","",_xlfn.MINIFS($E$5:$E$1504,$A$5:$A$1504,$A1477,$D$5:$D$1504,"تسليم",$E$5:$E$1504,"&gt;"&amp;$E1477))</f>
        <v/>
      </c>
      <c r="J1477" s="33" t="str">
        <f aca="false">IF($G1477="","",IF(H1477&gt;0,IF(I1477&gt;0,MIN(H1477,I1477),H1477),IF(I1477&gt;0,I1477,تاريخ_الاحتساب)))</f>
        <v/>
      </c>
      <c r="K1477" s="34" t="str">
        <f aca="false">IF($G1477="","",IF(AND(H1477=0,I1477=0),"جارية","مغلقة"))</f>
        <v/>
      </c>
      <c r="L1477" s="26" t="str">
        <f aca="false">IF($G1477="","",MAX(0,NETWORKDAYS.INTL($E1477,J1477,رمز_العطلة,أيام_الأجازات)-1))</f>
        <v/>
      </c>
      <c r="M1477" s="26" t="str">
        <f aca="false">IF($G1477="","",MAX(0,L1477-مهلة_المراجعة))</f>
        <v/>
      </c>
      <c r="N1477" s="30" t="str">
        <f aca="false">IF($A1477="",IF(OR($D1477&lt;&gt;"",$E1477&lt;&gt;""),"رقم المخرج ناقص",""),IF(ISNA(MATCH($A1477,قائمة_المخرجات,0)),"رقم مخرج غير موجود",IF($D1477="","نوع الحركة ناقص",IF(NOT(ISNUMBER($E1477)),"التاريخ ناقص",IF($E1477&gt;تاريخ_الاحتساب,"تاريخ بعد تاريخ الاحتساب",IF(AND($D1477&lt;&gt;"تسليم",COUNTIFS($A$5:$A$1504,$A1477,$D$5:$D$1504,"تسليم",$E$5:$E$1504,"&lt;="&amp;$E1477)=0),"لا يوجد تسليم قبل الحركة دي",""))))))</f>
        <v/>
      </c>
    </row>
    <row r="1478" customFormat="false" ht="15" hidden="false" customHeight="false" outlineLevel="0" collapsed="false">
      <c r="A1478" s="20"/>
      <c r="B1478" s="35" t="str">
        <f aca="false">IF($A1478="","",IFERROR(INDEX(مخرج_البند,MATCH($A1478,قائمة_المخرجات,0)),""))</f>
        <v/>
      </c>
      <c r="C1478" s="30" t="str">
        <f aca="false">IF($A1478="","",IFERROR(INDEX(مخرج_الوصف,MATCH($A1478,قائمة_المخرجات,0)),""))</f>
        <v/>
      </c>
      <c r="D1478" s="20"/>
      <c r="E1478" s="31"/>
      <c r="F1478" s="22"/>
      <c r="G1478" s="36" t="str">
        <f aca="false">IF(OR($A1478="",$D1478&lt;&gt;"تسليم",NOT(ISNUMBER($E1478))),"",COUNTIFS($A$5:$A$1504,$A1478,$D$5:$D$1504,"تسليم",$E$5:$E$1504,"&lt;"&amp;$E1478)+1)</f>
        <v/>
      </c>
      <c r="H1478" s="33" t="str">
        <f aca="false">IF($G1478="","",_xlfn.MINIFS($E$5:$E$1504,$A$5:$A$1504,$A1478,$D$5:$D$1504,"&lt;&gt;تسليم",$E$5:$E$1504,"&gt;="&amp;$E1478))</f>
        <v/>
      </c>
      <c r="I1478" s="33" t="str">
        <f aca="false">IF($G1478="","",_xlfn.MINIFS($E$5:$E$1504,$A$5:$A$1504,$A1478,$D$5:$D$1504,"تسليم",$E$5:$E$1504,"&gt;"&amp;$E1478))</f>
        <v/>
      </c>
      <c r="J1478" s="33" t="str">
        <f aca="false">IF($G1478="","",IF(H1478&gt;0,IF(I1478&gt;0,MIN(H1478,I1478),H1478),IF(I1478&gt;0,I1478,تاريخ_الاحتساب)))</f>
        <v/>
      </c>
      <c r="K1478" s="34" t="str">
        <f aca="false">IF($G1478="","",IF(AND(H1478=0,I1478=0),"جارية","مغلقة"))</f>
        <v/>
      </c>
      <c r="L1478" s="26" t="str">
        <f aca="false">IF($G1478="","",MAX(0,NETWORKDAYS.INTL($E1478,J1478,رمز_العطلة,أيام_الأجازات)-1))</f>
        <v/>
      </c>
      <c r="M1478" s="26" t="str">
        <f aca="false">IF($G1478="","",MAX(0,L1478-مهلة_المراجعة))</f>
        <v/>
      </c>
      <c r="N1478" s="30" t="str">
        <f aca="false">IF($A1478="",IF(OR($D1478&lt;&gt;"",$E1478&lt;&gt;""),"رقم المخرج ناقص",""),IF(ISNA(MATCH($A1478,قائمة_المخرجات,0)),"رقم مخرج غير موجود",IF($D1478="","نوع الحركة ناقص",IF(NOT(ISNUMBER($E1478)),"التاريخ ناقص",IF($E1478&gt;تاريخ_الاحتساب,"تاريخ بعد تاريخ الاحتساب",IF(AND($D1478&lt;&gt;"تسليم",COUNTIFS($A$5:$A$1504,$A1478,$D$5:$D$1504,"تسليم",$E$5:$E$1504,"&lt;="&amp;$E1478)=0),"لا يوجد تسليم قبل الحركة دي",""))))))</f>
        <v/>
      </c>
    </row>
    <row r="1479" customFormat="false" ht="15" hidden="false" customHeight="false" outlineLevel="0" collapsed="false">
      <c r="A1479" s="20"/>
      <c r="B1479" s="35" t="str">
        <f aca="false">IF($A1479="","",IFERROR(INDEX(مخرج_البند,MATCH($A1479,قائمة_المخرجات,0)),""))</f>
        <v/>
      </c>
      <c r="C1479" s="30" t="str">
        <f aca="false">IF($A1479="","",IFERROR(INDEX(مخرج_الوصف,MATCH($A1479,قائمة_المخرجات,0)),""))</f>
        <v/>
      </c>
      <c r="D1479" s="20"/>
      <c r="E1479" s="31"/>
      <c r="F1479" s="22"/>
      <c r="G1479" s="36" t="str">
        <f aca="false">IF(OR($A1479="",$D1479&lt;&gt;"تسليم",NOT(ISNUMBER($E1479))),"",COUNTIFS($A$5:$A$1504,$A1479,$D$5:$D$1504,"تسليم",$E$5:$E$1504,"&lt;"&amp;$E1479)+1)</f>
        <v/>
      </c>
      <c r="H1479" s="33" t="str">
        <f aca="false">IF($G1479="","",_xlfn.MINIFS($E$5:$E$1504,$A$5:$A$1504,$A1479,$D$5:$D$1504,"&lt;&gt;تسليم",$E$5:$E$1504,"&gt;="&amp;$E1479))</f>
        <v/>
      </c>
      <c r="I1479" s="33" t="str">
        <f aca="false">IF($G1479="","",_xlfn.MINIFS($E$5:$E$1504,$A$5:$A$1504,$A1479,$D$5:$D$1504,"تسليم",$E$5:$E$1504,"&gt;"&amp;$E1479))</f>
        <v/>
      </c>
      <c r="J1479" s="33" t="str">
        <f aca="false">IF($G1479="","",IF(H1479&gt;0,IF(I1479&gt;0,MIN(H1479,I1479),H1479),IF(I1479&gt;0,I1479,تاريخ_الاحتساب)))</f>
        <v/>
      </c>
      <c r="K1479" s="34" t="str">
        <f aca="false">IF($G1479="","",IF(AND(H1479=0,I1479=0),"جارية","مغلقة"))</f>
        <v/>
      </c>
      <c r="L1479" s="26" t="str">
        <f aca="false">IF($G1479="","",MAX(0,NETWORKDAYS.INTL($E1479,J1479,رمز_العطلة,أيام_الأجازات)-1))</f>
        <v/>
      </c>
      <c r="M1479" s="26" t="str">
        <f aca="false">IF($G1479="","",MAX(0,L1479-مهلة_المراجعة))</f>
        <v/>
      </c>
      <c r="N1479" s="30" t="str">
        <f aca="false">IF($A1479="",IF(OR($D1479&lt;&gt;"",$E1479&lt;&gt;""),"رقم المخرج ناقص",""),IF(ISNA(MATCH($A1479,قائمة_المخرجات,0)),"رقم مخرج غير موجود",IF($D1479="","نوع الحركة ناقص",IF(NOT(ISNUMBER($E1479)),"التاريخ ناقص",IF($E1479&gt;تاريخ_الاحتساب,"تاريخ بعد تاريخ الاحتساب",IF(AND($D1479&lt;&gt;"تسليم",COUNTIFS($A$5:$A$1504,$A1479,$D$5:$D$1504,"تسليم",$E$5:$E$1504,"&lt;="&amp;$E1479)=0),"لا يوجد تسليم قبل الحركة دي",""))))))</f>
        <v/>
      </c>
    </row>
    <row r="1480" customFormat="false" ht="15" hidden="false" customHeight="false" outlineLevel="0" collapsed="false">
      <c r="A1480" s="20"/>
      <c r="B1480" s="35" t="str">
        <f aca="false">IF($A1480="","",IFERROR(INDEX(مخرج_البند,MATCH($A1480,قائمة_المخرجات,0)),""))</f>
        <v/>
      </c>
      <c r="C1480" s="30" t="str">
        <f aca="false">IF($A1480="","",IFERROR(INDEX(مخرج_الوصف,MATCH($A1480,قائمة_المخرجات,0)),""))</f>
        <v/>
      </c>
      <c r="D1480" s="20"/>
      <c r="E1480" s="31"/>
      <c r="F1480" s="22"/>
      <c r="G1480" s="36" t="str">
        <f aca="false">IF(OR($A1480="",$D1480&lt;&gt;"تسليم",NOT(ISNUMBER($E1480))),"",COUNTIFS($A$5:$A$1504,$A1480,$D$5:$D$1504,"تسليم",$E$5:$E$1504,"&lt;"&amp;$E1480)+1)</f>
        <v/>
      </c>
      <c r="H1480" s="33" t="str">
        <f aca="false">IF($G1480="","",_xlfn.MINIFS($E$5:$E$1504,$A$5:$A$1504,$A1480,$D$5:$D$1504,"&lt;&gt;تسليم",$E$5:$E$1504,"&gt;="&amp;$E1480))</f>
        <v/>
      </c>
      <c r="I1480" s="33" t="str">
        <f aca="false">IF($G1480="","",_xlfn.MINIFS($E$5:$E$1504,$A$5:$A$1504,$A1480,$D$5:$D$1504,"تسليم",$E$5:$E$1504,"&gt;"&amp;$E1480))</f>
        <v/>
      </c>
      <c r="J1480" s="33" t="str">
        <f aca="false">IF($G1480="","",IF(H1480&gt;0,IF(I1480&gt;0,MIN(H1480,I1480),H1480),IF(I1480&gt;0,I1480,تاريخ_الاحتساب)))</f>
        <v/>
      </c>
      <c r="K1480" s="34" t="str">
        <f aca="false">IF($G1480="","",IF(AND(H1480=0,I1480=0),"جارية","مغلقة"))</f>
        <v/>
      </c>
      <c r="L1480" s="26" t="str">
        <f aca="false">IF($G1480="","",MAX(0,NETWORKDAYS.INTL($E1480,J1480,رمز_العطلة,أيام_الأجازات)-1))</f>
        <v/>
      </c>
      <c r="M1480" s="26" t="str">
        <f aca="false">IF($G1480="","",MAX(0,L1480-مهلة_المراجعة))</f>
        <v/>
      </c>
      <c r="N1480" s="30" t="str">
        <f aca="false">IF($A1480="",IF(OR($D1480&lt;&gt;"",$E1480&lt;&gt;""),"رقم المخرج ناقص",""),IF(ISNA(MATCH($A1480,قائمة_المخرجات,0)),"رقم مخرج غير موجود",IF($D1480="","نوع الحركة ناقص",IF(NOT(ISNUMBER($E1480)),"التاريخ ناقص",IF($E1480&gt;تاريخ_الاحتساب,"تاريخ بعد تاريخ الاحتساب",IF(AND($D1480&lt;&gt;"تسليم",COUNTIFS($A$5:$A$1504,$A1480,$D$5:$D$1504,"تسليم",$E$5:$E$1504,"&lt;="&amp;$E1480)=0),"لا يوجد تسليم قبل الحركة دي",""))))))</f>
        <v/>
      </c>
    </row>
    <row r="1481" customFormat="false" ht="15" hidden="false" customHeight="false" outlineLevel="0" collapsed="false">
      <c r="A1481" s="20"/>
      <c r="B1481" s="35" t="str">
        <f aca="false">IF($A1481="","",IFERROR(INDEX(مخرج_البند,MATCH($A1481,قائمة_المخرجات,0)),""))</f>
        <v/>
      </c>
      <c r="C1481" s="30" t="str">
        <f aca="false">IF($A1481="","",IFERROR(INDEX(مخرج_الوصف,MATCH($A1481,قائمة_المخرجات,0)),""))</f>
        <v/>
      </c>
      <c r="D1481" s="20"/>
      <c r="E1481" s="31"/>
      <c r="F1481" s="22"/>
      <c r="G1481" s="36" t="str">
        <f aca="false">IF(OR($A1481="",$D1481&lt;&gt;"تسليم",NOT(ISNUMBER($E1481))),"",COUNTIFS($A$5:$A$1504,$A1481,$D$5:$D$1504,"تسليم",$E$5:$E$1504,"&lt;"&amp;$E1481)+1)</f>
        <v/>
      </c>
      <c r="H1481" s="33" t="str">
        <f aca="false">IF($G1481="","",_xlfn.MINIFS($E$5:$E$1504,$A$5:$A$1504,$A1481,$D$5:$D$1504,"&lt;&gt;تسليم",$E$5:$E$1504,"&gt;="&amp;$E1481))</f>
        <v/>
      </c>
      <c r="I1481" s="33" t="str">
        <f aca="false">IF($G1481="","",_xlfn.MINIFS($E$5:$E$1504,$A$5:$A$1504,$A1481,$D$5:$D$1504,"تسليم",$E$5:$E$1504,"&gt;"&amp;$E1481))</f>
        <v/>
      </c>
      <c r="J1481" s="33" t="str">
        <f aca="false">IF($G1481="","",IF(H1481&gt;0,IF(I1481&gt;0,MIN(H1481,I1481),H1481),IF(I1481&gt;0,I1481,تاريخ_الاحتساب)))</f>
        <v/>
      </c>
      <c r="K1481" s="34" t="str">
        <f aca="false">IF($G1481="","",IF(AND(H1481=0,I1481=0),"جارية","مغلقة"))</f>
        <v/>
      </c>
      <c r="L1481" s="26" t="str">
        <f aca="false">IF($G1481="","",MAX(0,NETWORKDAYS.INTL($E1481,J1481,رمز_العطلة,أيام_الأجازات)-1))</f>
        <v/>
      </c>
      <c r="M1481" s="26" t="str">
        <f aca="false">IF($G1481="","",MAX(0,L1481-مهلة_المراجعة))</f>
        <v/>
      </c>
      <c r="N1481" s="30" t="str">
        <f aca="false">IF($A1481="",IF(OR($D1481&lt;&gt;"",$E1481&lt;&gt;""),"رقم المخرج ناقص",""),IF(ISNA(MATCH($A1481,قائمة_المخرجات,0)),"رقم مخرج غير موجود",IF($D1481="","نوع الحركة ناقص",IF(NOT(ISNUMBER($E1481)),"التاريخ ناقص",IF($E1481&gt;تاريخ_الاحتساب,"تاريخ بعد تاريخ الاحتساب",IF(AND($D1481&lt;&gt;"تسليم",COUNTIFS($A$5:$A$1504,$A1481,$D$5:$D$1504,"تسليم",$E$5:$E$1504,"&lt;="&amp;$E1481)=0),"لا يوجد تسليم قبل الحركة دي",""))))))</f>
        <v/>
      </c>
    </row>
    <row r="1482" customFormat="false" ht="15" hidden="false" customHeight="false" outlineLevel="0" collapsed="false">
      <c r="A1482" s="20"/>
      <c r="B1482" s="35" t="str">
        <f aca="false">IF($A1482="","",IFERROR(INDEX(مخرج_البند,MATCH($A1482,قائمة_المخرجات,0)),""))</f>
        <v/>
      </c>
      <c r="C1482" s="30" t="str">
        <f aca="false">IF($A1482="","",IFERROR(INDEX(مخرج_الوصف,MATCH($A1482,قائمة_المخرجات,0)),""))</f>
        <v/>
      </c>
      <c r="D1482" s="20"/>
      <c r="E1482" s="31"/>
      <c r="F1482" s="22"/>
      <c r="G1482" s="36" t="str">
        <f aca="false">IF(OR($A1482="",$D1482&lt;&gt;"تسليم",NOT(ISNUMBER($E1482))),"",COUNTIFS($A$5:$A$1504,$A1482,$D$5:$D$1504,"تسليم",$E$5:$E$1504,"&lt;"&amp;$E1482)+1)</f>
        <v/>
      </c>
      <c r="H1482" s="33" t="str">
        <f aca="false">IF($G1482="","",_xlfn.MINIFS($E$5:$E$1504,$A$5:$A$1504,$A1482,$D$5:$D$1504,"&lt;&gt;تسليم",$E$5:$E$1504,"&gt;="&amp;$E1482))</f>
        <v/>
      </c>
      <c r="I1482" s="33" t="str">
        <f aca="false">IF($G1482="","",_xlfn.MINIFS($E$5:$E$1504,$A$5:$A$1504,$A1482,$D$5:$D$1504,"تسليم",$E$5:$E$1504,"&gt;"&amp;$E1482))</f>
        <v/>
      </c>
      <c r="J1482" s="33" t="str">
        <f aca="false">IF($G1482="","",IF(H1482&gt;0,IF(I1482&gt;0,MIN(H1482,I1482),H1482),IF(I1482&gt;0,I1482,تاريخ_الاحتساب)))</f>
        <v/>
      </c>
      <c r="K1482" s="34" t="str">
        <f aca="false">IF($G1482="","",IF(AND(H1482=0,I1482=0),"جارية","مغلقة"))</f>
        <v/>
      </c>
      <c r="L1482" s="26" t="str">
        <f aca="false">IF($G1482="","",MAX(0,NETWORKDAYS.INTL($E1482,J1482,رمز_العطلة,أيام_الأجازات)-1))</f>
        <v/>
      </c>
      <c r="M1482" s="26" t="str">
        <f aca="false">IF($G1482="","",MAX(0,L1482-مهلة_المراجعة))</f>
        <v/>
      </c>
      <c r="N1482" s="30" t="str">
        <f aca="false">IF($A1482="",IF(OR($D1482&lt;&gt;"",$E1482&lt;&gt;""),"رقم المخرج ناقص",""),IF(ISNA(MATCH($A1482,قائمة_المخرجات,0)),"رقم مخرج غير موجود",IF($D1482="","نوع الحركة ناقص",IF(NOT(ISNUMBER($E1482)),"التاريخ ناقص",IF($E1482&gt;تاريخ_الاحتساب,"تاريخ بعد تاريخ الاحتساب",IF(AND($D1482&lt;&gt;"تسليم",COUNTIFS($A$5:$A$1504,$A1482,$D$5:$D$1504,"تسليم",$E$5:$E$1504,"&lt;="&amp;$E1482)=0),"لا يوجد تسليم قبل الحركة دي",""))))))</f>
        <v/>
      </c>
    </row>
    <row r="1483" customFormat="false" ht="15" hidden="false" customHeight="false" outlineLevel="0" collapsed="false">
      <c r="A1483" s="20"/>
      <c r="B1483" s="35" t="str">
        <f aca="false">IF($A1483="","",IFERROR(INDEX(مخرج_البند,MATCH($A1483,قائمة_المخرجات,0)),""))</f>
        <v/>
      </c>
      <c r="C1483" s="30" t="str">
        <f aca="false">IF($A1483="","",IFERROR(INDEX(مخرج_الوصف,MATCH($A1483,قائمة_المخرجات,0)),""))</f>
        <v/>
      </c>
      <c r="D1483" s="20"/>
      <c r="E1483" s="31"/>
      <c r="F1483" s="22"/>
      <c r="G1483" s="36" t="str">
        <f aca="false">IF(OR($A1483="",$D1483&lt;&gt;"تسليم",NOT(ISNUMBER($E1483))),"",COUNTIFS($A$5:$A$1504,$A1483,$D$5:$D$1504,"تسليم",$E$5:$E$1504,"&lt;"&amp;$E1483)+1)</f>
        <v/>
      </c>
      <c r="H1483" s="33" t="str">
        <f aca="false">IF($G1483="","",_xlfn.MINIFS($E$5:$E$1504,$A$5:$A$1504,$A1483,$D$5:$D$1504,"&lt;&gt;تسليم",$E$5:$E$1504,"&gt;="&amp;$E1483))</f>
        <v/>
      </c>
      <c r="I1483" s="33" t="str">
        <f aca="false">IF($G1483="","",_xlfn.MINIFS($E$5:$E$1504,$A$5:$A$1504,$A1483,$D$5:$D$1504,"تسليم",$E$5:$E$1504,"&gt;"&amp;$E1483))</f>
        <v/>
      </c>
      <c r="J1483" s="33" t="str">
        <f aca="false">IF($G1483="","",IF(H1483&gt;0,IF(I1483&gt;0,MIN(H1483,I1483),H1483),IF(I1483&gt;0,I1483,تاريخ_الاحتساب)))</f>
        <v/>
      </c>
      <c r="K1483" s="34" t="str">
        <f aca="false">IF($G1483="","",IF(AND(H1483=0,I1483=0),"جارية","مغلقة"))</f>
        <v/>
      </c>
      <c r="L1483" s="26" t="str">
        <f aca="false">IF($G1483="","",MAX(0,NETWORKDAYS.INTL($E1483,J1483,رمز_العطلة,أيام_الأجازات)-1))</f>
        <v/>
      </c>
      <c r="M1483" s="26" t="str">
        <f aca="false">IF($G1483="","",MAX(0,L1483-مهلة_المراجعة))</f>
        <v/>
      </c>
      <c r="N1483" s="30" t="str">
        <f aca="false">IF($A1483="",IF(OR($D1483&lt;&gt;"",$E1483&lt;&gt;""),"رقم المخرج ناقص",""),IF(ISNA(MATCH($A1483,قائمة_المخرجات,0)),"رقم مخرج غير موجود",IF($D1483="","نوع الحركة ناقص",IF(NOT(ISNUMBER($E1483)),"التاريخ ناقص",IF($E1483&gt;تاريخ_الاحتساب,"تاريخ بعد تاريخ الاحتساب",IF(AND($D1483&lt;&gt;"تسليم",COUNTIFS($A$5:$A$1504,$A1483,$D$5:$D$1504,"تسليم",$E$5:$E$1504,"&lt;="&amp;$E1483)=0),"لا يوجد تسليم قبل الحركة دي",""))))))</f>
        <v/>
      </c>
    </row>
    <row r="1484" customFormat="false" ht="15" hidden="false" customHeight="false" outlineLevel="0" collapsed="false">
      <c r="A1484" s="20"/>
      <c r="B1484" s="35" t="str">
        <f aca="false">IF($A1484="","",IFERROR(INDEX(مخرج_البند,MATCH($A1484,قائمة_المخرجات,0)),""))</f>
        <v/>
      </c>
      <c r="C1484" s="30" t="str">
        <f aca="false">IF($A1484="","",IFERROR(INDEX(مخرج_الوصف,MATCH($A1484,قائمة_المخرجات,0)),""))</f>
        <v/>
      </c>
      <c r="D1484" s="20"/>
      <c r="E1484" s="31"/>
      <c r="F1484" s="22"/>
      <c r="G1484" s="36" t="str">
        <f aca="false">IF(OR($A1484="",$D1484&lt;&gt;"تسليم",NOT(ISNUMBER($E1484))),"",COUNTIFS($A$5:$A$1504,$A1484,$D$5:$D$1504,"تسليم",$E$5:$E$1504,"&lt;"&amp;$E1484)+1)</f>
        <v/>
      </c>
      <c r="H1484" s="33" t="str">
        <f aca="false">IF($G1484="","",_xlfn.MINIFS($E$5:$E$1504,$A$5:$A$1504,$A1484,$D$5:$D$1504,"&lt;&gt;تسليم",$E$5:$E$1504,"&gt;="&amp;$E1484))</f>
        <v/>
      </c>
      <c r="I1484" s="33" t="str">
        <f aca="false">IF($G1484="","",_xlfn.MINIFS($E$5:$E$1504,$A$5:$A$1504,$A1484,$D$5:$D$1504,"تسليم",$E$5:$E$1504,"&gt;"&amp;$E1484))</f>
        <v/>
      </c>
      <c r="J1484" s="33" t="str">
        <f aca="false">IF($G1484="","",IF(H1484&gt;0,IF(I1484&gt;0,MIN(H1484,I1484),H1484),IF(I1484&gt;0,I1484,تاريخ_الاحتساب)))</f>
        <v/>
      </c>
      <c r="K1484" s="34" t="str">
        <f aca="false">IF($G1484="","",IF(AND(H1484=0,I1484=0),"جارية","مغلقة"))</f>
        <v/>
      </c>
      <c r="L1484" s="26" t="str">
        <f aca="false">IF($G1484="","",MAX(0,NETWORKDAYS.INTL($E1484,J1484,رمز_العطلة,أيام_الأجازات)-1))</f>
        <v/>
      </c>
      <c r="M1484" s="26" t="str">
        <f aca="false">IF($G1484="","",MAX(0,L1484-مهلة_المراجعة))</f>
        <v/>
      </c>
      <c r="N1484" s="30" t="str">
        <f aca="false">IF($A1484="",IF(OR($D1484&lt;&gt;"",$E1484&lt;&gt;""),"رقم المخرج ناقص",""),IF(ISNA(MATCH($A1484,قائمة_المخرجات,0)),"رقم مخرج غير موجود",IF($D1484="","نوع الحركة ناقص",IF(NOT(ISNUMBER($E1484)),"التاريخ ناقص",IF($E1484&gt;تاريخ_الاحتساب,"تاريخ بعد تاريخ الاحتساب",IF(AND($D1484&lt;&gt;"تسليم",COUNTIFS($A$5:$A$1504,$A1484,$D$5:$D$1504,"تسليم",$E$5:$E$1504,"&lt;="&amp;$E1484)=0),"لا يوجد تسليم قبل الحركة دي",""))))))</f>
        <v/>
      </c>
    </row>
    <row r="1485" customFormat="false" ht="15" hidden="false" customHeight="false" outlineLevel="0" collapsed="false">
      <c r="A1485" s="20"/>
      <c r="B1485" s="35" t="str">
        <f aca="false">IF($A1485="","",IFERROR(INDEX(مخرج_البند,MATCH($A1485,قائمة_المخرجات,0)),""))</f>
        <v/>
      </c>
      <c r="C1485" s="30" t="str">
        <f aca="false">IF($A1485="","",IFERROR(INDEX(مخرج_الوصف,MATCH($A1485,قائمة_المخرجات,0)),""))</f>
        <v/>
      </c>
      <c r="D1485" s="20"/>
      <c r="E1485" s="31"/>
      <c r="F1485" s="22"/>
      <c r="G1485" s="36" t="str">
        <f aca="false">IF(OR($A1485="",$D1485&lt;&gt;"تسليم",NOT(ISNUMBER($E1485))),"",COUNTIFS($A$5:$A$1504,$A1485,$D$5:$D$1504,"تسليم",$E$5:$E$1504,"&lt;"&amp;$E1485)+1)</f>
        <v/>
      </c>
      <c r="H1485" s="33" t="str">
        <f aca="false">IF($G1485="","",_xlfn.MINIFS($E$5:$E$1504,$A$5:$A$1504,$A1485,$D$5:$D$1504,"&lt;&gt;تسليم",$E$5:$E$1504,"&gt;="&amp;$E1485))</f>
        <v/>
      </c>
      <c r="I1485" s="33" t="str">
        <f aca="false">IF($G1485="","",_xlfn.MINIFS($E$5:$E$1504,$A$5:$A$1504,$A1485,$D$5:$D$1504,"تسليم",$E$5:$E$1504,"&gt;"&amp;$E1485))</f>
        <v/>
      </c>
      <c r="J1485" s="33" t="str">
        <f aca="false">IF($G1485="","",IF(H1485&gt;0,IF(I1485&gt;0,MIN(H1485,I1485),H1485),IF(I1485&gt;0,I1485,تاريخ_الاحتساب)))</f>
        <v/>
      </c>
      <c r="K1485" s="34" t="str">
        <f aca="false">IF($G1485="","",IF(AND(H1485=0,I1485=0),"جارية","مغلقة"))</f>
        <v/>
      </c>
      <c r="L1485" s="26" t="str">
        <f aca="false">IF($G1485="","",MAX(0,NETWORKDAYS.INTL($E1485,J1485,رمز_العطلة,أيام_الأجازات)-1))</f>
        <v/>
      </c>
      <c r="M1485" s="26" t="str">
        <f aca="false">IF($G1485="","",MAX(0,L1485-مهلة_المراجعة))</f>
        <v/>
      </c>
      <c r="N1485" s="30" t="str">
        <f aca="false">IF($A1485="",IF(OR($D1485&lt;&gt;"",$E1485&lt;&gt;""),"رقم المخرج ناقص",""),IF(ISNA(MATCH($A1485,قائمة_المخرجات,0)),"رقم مخرج غير موجود",IF($D1485="","نوع الحركة ناقص",IF(NOT(ISNUMBER($E1485)),"التاريخ ناقص",IF($E1485&gt;تاريخ_الاحتساب,"تاريخ بعد تاريخ الاحتساب",IF(AND($D1485&lt;&gt;"تسليم",COUNTIFS($A$5:$A$1504,$A1485,$D$5:$D$1504,"تسليم",$E$5:$E$1504,"&lt;="&amp;$E1485)=0),"لا يوجد تسليم قبل الحركة دي",""))))))</f>
        <v/>
      </c>
    </row>
    <row r="1486" customFormat="false" ht="15" hidden="false" customHeight="false" outlineLevel="0" collapsed="false">
      <c r="A1486" s="20"/>
      <c r="B1486" s="35" t="str">
        <f aca="false">IF($A1486="","",IFERROR(INDEX(مخرج_البند,MATCH($A1486,قائمة_المخرجات,0)),""))</f>
        <v/>
      </c>
      <c r="C1486" s="30" t="str">
        <f aca="false">IF($A1486="","",IFERROR(INDEX(مخرج_الوصف,MATCH($A1486,قائمة_المخرجات,0)),""))</f>
        <v/>
      </c>
      <c r="D1486" s="20"/>
      <c r="E1486" s="31"/>
      <c r="F1486" s="22"/>
      <c r="G1486" s="36" t="str">
        <f aca="false">IF(OR($A1486="",$D1486&lt;&gt;"تسليم",NOT(ISNUMBER($E1486))),"",COUNTIFS($A$5:$A$1504,$A1486,$D$5:$D$1504,"تسليم",$E$5:$E$1504,"&lt;"&amp;$E1486)+1)</f>
        <v/>
      </c>
      <c r="H1486" s="33" t="str">
        <f aca="false">IF($G1486="","",_xlfn.MINIFS($E$5:$E$1504,$A$5:$A$1504,$A1486,$D$5:$D$1504,"&lt;&gt;تسليم",$E$5:$E$1504,"&gt;="&amp;$E1486))</f>
        <v/>
      </c>
      <c r="I1486" s="33" t="str">
        <f aca="false">IF($G1486="","",_xlfn.MINIFS($E$5:$E$1504,$A$5:$A$1504,$A1486,$D$5:$D$1504,"تسليم",$E$5:$E$1504,"&gt;"&amp;$E1486))</f>
        <v/>
      </c>
      <c r="J1486" s="33" t="str">
        <f aca="false">IF($G1486="","",IF(H1486&gt;0,IF(I1486&gt;0,MIN(H1486,I1486),H1486),IF(I1486&gt;0,I1486,تاريخ_الاحتساب)))</f>
        <v/>
      </c>
      <c r="K1486" s="34" t="str">
        <f aca="false">IF($G1486="","",IF(AND(H1486=0,I1486=0),"جارية","مغلقة"))</f>
        <v/>
      </c>
      <c r="L1486" s="26" t="str">
        <f aca="false">IF($G1486="","",MAX(0,NETWORKDAYS.INTL($E1486,J1486,رمز_العطلة,أيام_الأجازات)-1))</f>
        <v/>
      </c>
      <c r="M1486" s="26" t="str">
        <f aca="false">IF($G1486="","",MAX(0,L1486-مهلة_المراجعة))</f>
        <v/>
      </c>
      <c r="N1486" s="30" t="str">
        <f aca="false">IF($A1486="",IF(OR($D1486&lt;&gt;"",$E1486&lt;&gt;""),"رقم المخرج ناقص",""),IF(ISNA(MATCH($A1486,قائمة_المخرجات,0)),"رقم مخرج غير موجود",IF($D1486="","نوع الحركة ناقص",IF(NOT(ISNUMBER($E1486)),"التاريخ ناقص",IF($E1486&gt;تاريخ_الاحتساب,"تاريخ بعد تاريخ الاحتساب",IF(AND($D1486&lt;&gt;"تسليم",COUNTIFS($A$5:$A$1504,$A1486,$D$5:$D$1504,"تسليم",$E$5:$E$1504,"&lt;="&amp;$E1486)=0),"لا يوجد تسليم قبل الحركة دي",""))))))</f>
        <v/>
      </c>
    </row>
    <row r="1487" customFormat="false" ht="15" hidden="false" customHeight="false" outlineLevel="0" collapsed="false">
      <c r="A1487" s="20"/>
      <c r="B1487" s="35" t="str">
        <f aca="false">IF($A1487="","",IFERROR(INDEX(مخرج_البند,MATCH($A1487,قائمة_المخرجات,0)),""))</f>
        <v/>
      </c>
      <c r="C1487" s="30" t="str">
        <f aca="false">IF($A1487="","",IFERROR(INDEX(مخرج_الوصف,MATCH($A1487,قائمة_المخرجات,0)),""))</f>
        <v/>
      </c>
      <c r="D1487" s="20"/>
      <c r="E1487" s="31"/>
      <c r="F1487" s="22"/>
      <c r="G1487" s="36" t="str">
        <f aca="false">IF(OR($A1487="",$D1487&lt;&gt;"تسليم",NOT(ISNUMBER($E1487))),"",COUNTIFS($A$5:$A$1504,$A1487,$D$5:$D$1504,"تسليم",$E$5:$E$1504,"&lt;"&amp;$E1487)+1)</f>
        <v/>
      </c>
      <c r="H1487" s="33" t="str">
        <f aca="false">IF($G1487="","",_xlfn.MINIFS($E$5:$E$1504,$A$5:$A$1504,$A1487,$D$5:$D$1504,"&lt;&gt;تسليم",$E$5:$E$1504,"&gt;="&amp;$E1487))</f>
        <v/>
      </c>
      <c r="I1487" s="33" t="str">
        <f aca="false">IF($G1487="","",_xlfn.MINIFS($E$5:$E$1504,$A$5:$A$1504,$A1487,$D$5:$D$1504,"تسليم",$E$5:$E$1504,"&gt;"&amp;$E1487))</f>
        <v/>
      </c>
      <c r="J1487" s="33" t="str">
        <f aca="false">IF($G1487="","",IF(H1487&gt;0,IF(I1487&gt;0,MIN(H1487,I1487),H1487),IF(I1487&gt;0,I1487,تاريخ_الاحتساب)))</f>
        <v/>
      </c>
      <c r="K1487" s="34" t="str">
        <f aca="false">IF($G1487="","",IF(AND(H1487=0,I1487=0),"جارية","مغلقة"))</f>
        <v/>
      </c>
      <c r="L1487" s="26" t="str">
        <f aca="false">IF($G1487="","",MAX(0,NETWORKDAYS.INTL($E1487,J1487,رمز_العطلة,أيام_الأجازات)-1))</f>
        <v/>
      </c>
      <c r="M1487" s="26" t="str">
        <f aca="false">IF($G1487="","",MAX(0,L1487-مهلة_المراجعة))</f>
        <v/>
      </c>
      <c r="N1487" s="30" t="str">
        <f aca="false">IF($A1487="",IF(OR($D1487&lt;&gt;"",$E1487&lt;&gt;""),"رقم المخرج ناقص",""),IF(ISNA(MATCH($A1487,قائمة_المخرجات,0)),"رقم مخرج غير موجود",IF($D1487="","نوع الحركة ناقص",IF(NOT(ISNUMBER($E1487)),"التاريخ ناقص",IF($E1487&gt;تاريخ_الاحتساب,"تاريخ بعد تاريخ الاحتساب",IF(AND($D1487&lt;&gt;"تسليم",COUNTIFS($A$5:$A$1504,$A1487,$D$5:$D$1504,"تسليم",$E$5:$E$1504,"&lt;="&amp;$E1487)=0),"لا يوجد تسليم قبل الحركة دي",""))))))</f>
        <v/>
      </c>
    </row>
    <row r="1488" customFormat="false" ht="15" hidden="false" customHeight="false" outlineLevel="0" collapsed="false">
      <c r="A1488" s="20"/>
      <c r="B1488" s="35" t="str">
        <f aca="false">IF($A1488="","",IFERROR(INDEX(مخرج_البند,MATCH($A1488,قائمة_المخرجات,0)),""))</f>
        <v/>
      </c>
      <c r="C1488" s="30" t="str">
        <f aca="false">IF($A1488="","",IFERROR(INDEX(مخرج_الوصف,MATCH($A1488,قائمة_المخرجات,0)),""))</f>
        <v/>
      </c>
      <c r="D1488" s="20"/>
      <c r="E1488" s="31"/>
      <c r="F1488" s="22"/>
      <c r="G1488" s="36" t="str">
        <f aca="false">IF(OR($A1488="",$D1488&lt;&gt;"تسليم",NOT(ISNUMBER($E1488))),"",COUNTIFS($A$5:$A$1504,$A1488,$D$5:$D$1504,"تسليم",$E$5:$E$1504,"&lt;"&amp;$E1488)+1)</f>
        <v/>
      </c>
      <c r="H1488" s="33" t="str">
        <f aca="false">IF($G1488="","",_xlfn.MINIFS($E$5:$E$1504,$A$5:$A$1504,$A1488,$D$5:$D$1504,"&lt;&gt;تسليم",$E$5:$E$1504,"&gt;="&amp;$E1488))</f>
        <v/>
      </c>
      <c r="I1488" s="33" t="str">
        <f aca="false">IF($G1488="","",_xlfn.MINIFS($E$5:$E$1504,$A$5:$A$1504,$A1488,$D$5:$D$1504,"تسليم",$E$5:$E$1504,"&gt;"&amp;$E1488))</f>
        <v/>
      </c>
      <c r="J1488" s="33" t="str">
        <f aca="false">IF($G1488="","",IF(H1488&gt;0,IF(I1488&gt;0,MIN(H1488,I1488),H1488),IF(I1488&gt;0,I1488,تاريخ_الاحتساب)))</f>
        <v/>
      </c>
      <c r="K1488" s="34" t="str">
        <f aca="false">IF($G1488="","",IF(AND(H1488=0,I1488=0),"جارية","مغلقة"))</f>
        <v/>
      </c>
      <c r="L1488" s="26" t="str">
        <f aca="false">IF($G1488="","",MAX(0,NETWORKDAYS.INTL($E1488,J1488,رمز_العطلة,أيام_الأجازات)-1))</f>
        <v/>
      </c>
      <c r="M1488" s="26" t="str">
        <f aca="false">IF($G1488="","",MAX(0,L1488-مهلة_المراجعة))</f>
        <v/>
      </c>
      <c r="N1488" s="30" t="str">
        <f aca="false">IF($A1488="",IF(OR($D1488&lt;&gt;"",$E1488&lt;&gt;""),"رقم المخرج ناقص",""),IF(ISNA(MATCH($A1488,قائمة_المخرجات,0)),"رقم مخرج غير موجود",IF($D1488="","نوع الحركة ناقص",IF(NOT(ISNUMBER($E1488)),"التاريخ ناقص",IF($E1488&gt;تاريخ_الاحتساب,"تاريخ بعد تاريخ الاحتساب",IF(AND($D1488&lt;&gt;"تسليم",COUNTIFS($A$5:$A$1504,$A1488,$D$5:$D$1504,"تسليم",$E$5:$E$1504,"&lt;="&amp;$E1488)=0),"لا يوجد تسليم قبل الحركة دي",""))))))</f>
        <v/>
      </c>
    </row>
    <row r="1489" customFormat="false" ht="15" hidden="false" customHeight="false" outlineLevel="0" collapsed="false">
      <c r="A1489" s="20"/>
      <c r="B1489" s="35" t="str">
        <f aca="false">IF($A1489="","",IFERROR(INDEX(مخرج_البند,MATCH($A1489,قائمة_المخرجات,0)),""))</f>
        <v/>
      </c>
      <c r="C1489" s="30" t="str">
        <f aca="false">IF($A1489="","",IFERROR(INDEX(مخرج_الوصف,MATCH($A1489,قائمة_المخرجات,0)),""))</f>
        <v/>
      </c>
      <c r="D1489" s="20"/>
      <c r="E1489" s="31"/>
      <c r="F1489" s="22"/>
      <c r="G1489" s="36" t="str">
        <f aca="false">IF(OR($A1489="",$D1489&lt;&gt;"تسليم",NOT(ISNUMBER($E1489))),"",COUNTIFS($A$5:$A$1504,$A1489,$D$5:$D$1504,"تسليم",$E$5:$E$1504,"&lt;"&amp;$E1489)+1)</f>
        <v/>
      </c>
      <c r="H1489" s="33" t="str">
        <f aca="false">IF($G1489="","",_xlfn.MINIFS($E$5:$E$1504,$A$5:$A$1504,$A1489,$D$5:$D$1504,"&lt;&gt;تسليم",$E$5:$E$1504,"&gt;="&amp;$E1489))</f>
        <v/>
      </c>
      <c r="I1489" s="33" t="str">
        <f aca="false">IF($G1489="","",_xlfn.MINIFS($E$5:$E$1504,$A$5:$A$1504,$A1489,$D$5:$D$1504,"تسليم",$E$5:$E$1504,"&gt;"&amp;$E1489))</f>
        <v/>
      </c>
      <c r="J1489" s="33" t="str">
        <f aca="false">IF($G1489="","",IF(H1489&gt;0,IF(I1489&gt;0,MIN(H1489,I1489),H1489),IF(I1489&gt;0,I1489,تاريخ_الاحتساب)))</f>
        <v/>
      </c>
      <c r="K1489" s="34" t="str">
        <f aca="false">IF($G1489="","",IF(AND(H1489=0,I1489=0),"جارية","مغلقة"))</f>
        <v/>
      </c>
      <c r="L1489" s="26" t="str">
        <f aca="false">IF($G1489="","",MAX(0,NETWORKDAYS.INTL($E1489,J1489,رمز_العطلة,أيام_الأجازات)-1))</f>
        <v/>
      </c>
      <c r="M1489" s="26" t="str">
        <f aca="false">IF($G1489="","",MAX(0,L1489-مهلة_المراجعة))</f>
        <v/>
      </c>
      <c r="N1489" s="30" t="str">
        <f aca="false">IF($A1489="",IF(OR($D1489&lt;&gt;"",$E1489&lt;&gt;""),"رقم المخرج ناقص",""),IF(ISNA(MATCH($A1489,قائمة_المخرجات,0)),"رقم مخرج غير موجود",IF($D1489="","نوع الحركة ناقص",IF(NOT(ISNUMBER($E1489)),"التاريخ ناقص",IF($E1489&gt;تاريخ_الاحتساب,"تاريخ بعد تاريخ الاحتساب",IF(AND($D1489&lt;&gt;"تسليم",COUNTIFS($A$5:$A$1504,$A1489,$D$5:$D$1504,"تسليم",$E$5:$E$1504,"&lt;="&amp;$E1489)=0),"لا يوجد تسليم قبل الحركة دي",""))))))</f>
        <v/>
      </c>
    </row>
    <row r="1490" customFormat="false" ht="15" hidden="false" customHeight="false" outlineLevel="0" collapsed="false">
      <c r="A1490" s="20"/>
      <c r="B1490" s="35" t="str">
        <f aca="false">IF($A1490="","",IFERROR(INDEX(مخرج_البند,MATCH($A1490,قائمة_المخرجات,0)),""))</f>
        <v/>
      </c>
      <c r="C1490" s="30" t="str">
        <f aca="false">IF($A1490="","",IFERROR(INDEX(مخرج_الوصف,MATCH($A1490,قائمة_المخرجات,0)),""))</f>
        <v/>
      </c>
      <c r="D1490" s="20"/>
      <c r="E1490" s="31"/>
      <c r="F1490" s="22"/>
      <c r="G1490" s="36" t="str">
        <f aca="false">IF(OR($A1490="",$D1490&lt;&gt;"تسليم",NOT(ISNUMBER($E1490))),"",COUNTIFS($A$5:$A$1504,$A1490,$D$5:$D$1504,"تسليم",$E$5:$E$1504,"&lt;"&amp;$E1490)+1)</f>
        <v/>
      </c>
      <c r="H1490" s="33" t="str">
        <f aca="false">IF($G1490="","",_xlfn.MINIFS($E$5:$E$1504,$A$5:$A$1504,$A1490,$D$5:$D$1504,"&lt;&gt;تسليم",$E$5:$E$1504,"&gt;="&amp;$E1490))</f>
        <v/>
      </c>
      <c r="I1490" s="33" t="str">
        <f aca="false">IF($G1490="","",_xlfn.MINIFS($E$5:$E$1504,$A$5:$A$1504,$A1490,$D$5:$D$1504,"تسليم",$E$5:$E$1504,"&gt;"&amp;$E1490))</f>
        <v/>
      </c>
      <c r="J1490" s="33" t="str">
        <f aca="false">IF($G1490="","",IF(H1490&gt;0,IF(I1490&gt;0,MIN(H1490,I1490),H1490),IF(I1490&gt;0,I1490,تاريخ_الاحتساب)))</f>
        <v/>
      </c>
      <c r="K1490" s="34" t="str">
        <f aca="false">IF($G1490="","",IF(AND(H1490=0,I1490=0),"جارية","مغلقة"))</f>
        <v/>
      </c>
      <c r="L1490" s="26" t="str">
        <f aca="false">IF($G1490="","",MAX(0,NETWORKDAYS.INTL($E1490,J1490,رمز_العطلة,أيام_الأجازات)-1))</f>
        <v/>
      </c>
      <c r="M1490" s="26" t="str">
        <f aca="false">IF($G1490="","",MAX(0,L1490-مهلة_المراجعة))</f>
        <v/>
      </c>
      <c r="N1490" s="30" t="str">
        <f aca="false">IF($A1490="",IF(OR($D1490&lt;&gt;"",$E1490&lt;&gt;""),"رقم المخرج ناقص",""),IF(ISNA(MATCH($A1490,قائمة_المخرجات,0)),"رقم مخرج غير موجود",IF($D1490="","نوع الحركة ناقص",IF(NOT(ISNUMBER($E1490)),"التاريخ ناقص",IF($E1490&gt;تاريخ_الاحتساب,"تاريخ بعد تاريخ الاحتساب",IF(AND($D1490&lt;&gt;"تسليم",COUNTIFS($A$5:$A$1504,$A1490,$D$5:$D$1504,"تسليم",$E$5:$E$1504,"&lt;="&amp;$E1490)=0),"لا يوجد تسليم قبل الحركة دي",""))))))</f>
        <v/>
      </c>
    </row>
    <row r="1491" customFormat="false" ht="15" hidden="false" customHeight="false" outlineLevel="0" collapsed="false">
      <c r="A1491" s="20"/>
      <c r="B1491" s="35" t="str">
        <f aca="false">IF($A1491="","",IFERROR(INDEX(مخرج_البند,MATCH($A1491,قائمة_المخرجات,0)),""))</f>
        <v/>
      </c>
      <c r="C1491" s="30" t="str">
        <f aca="false">IF($A1491="","",IFERROR(INDEX(مخرج_الوصف,MATCH($A1491,قائمة_المخرجات,0)),""))</f>
        <v/>
      </c>
      <c r="D1491" s="20"/>
      <c r="E1491" s="31"/>
      <c r="F1491" s="22"/>
      <c r="G1491" s="36" t="str">
        <f aca="false">IF(OR($A1491="",$D1491&lt;&gt;"تسليم",NOT(ISNUMBER($E1491))),"",COUNTIFS($A$5:$A$1504,$A1491,$D$5:$D$1504,"تسليم",$E$5:$E$1504,"&lt;"&amp;$E1491)+1)</f>
        <v/>
      </c>
      <c r="H1491" s="33" t="str">
        <f aca="false">IF($G1491="","",_xlfn.MINIFS($E$5:$E$1504,$A$5:$A$1504,$A1491,$D$5:$D$1504,"&lt;&gt;تسليم",$E$5:$E$1504,"&gt;="&amp;$E1491))</f>
        <v/>
      </c>
      <c r="I1491" s="33" t="str">
        <f aca="false">IF($G1491="","",_xlfn.MINIFS($E$5:$E$1504,$A$5:$A$1504,$A1491,$D$5:$D$1504,"تسليم",$E$5:$E$1504,"&gt;"&amp;$E1491))</f>
        <v/>
      </c>
      <c r="J1491" s="33" t="str">
        <f aca="false">IF($G1491="","",IF(H1491&gt;0,IF(I1491&gt;0,MIN(H1491,I1491),H1491),IF(I1491&gt;0,I1491,تاريخ_الاحتساب)))</f>
        <v/>
      </c>
      <c r="K1491" s="34" t="str">
        <f aca="false">IF($G1491="","",IF(AND(H1491=0,I1491=0),"جارية","مغلقة"))</f>
        <v/>
      </c>
      <c r="L1491" s="26" t="str">
        <f aca="false">IF($G1491="","",MAX(0,NETWORKDAYS.INTL($E1491,J1491,رمز_العطلة,أيام_الأجازات)-1))</f>
        <v/>
      </c>
      <c r="M1491" s="26" t="str">
        <f aca="false">IF($G1491="","",MAX(0,L1491-مهلة_المراجعة))</f>
        <v/>
      </c>
      <c r="N1491" s="30" t="str">
        <f aca="false">IF($A1491="",IF(OR($D1491&lt;&gt;"",$E1491&lt;&gt;""),"رقم المخرج ناقص",""),IF(ISNA(MATCH($A1491,قائمة_المخرجات,0)),"رقم مخرج غير موجود",IF($D1491="","نوع الحركة ناقص",IF(NOT(ISNUMBER($E1491)),"التاريخ ناقص",IF($E1491&gt;تاريخ_الاحتساب,"تاريخ بعد تاريخ الاحتساب",IF(AND($D1491&lt;&gt;"تسليم",COUNTIFS($A$5:$A$1504,$A1491,$D$5:$D$1504,"تسليم",$E$5:$E$1504,"&lt;="&amp;$E1491)=0),"لا يوجد تسليم قبل الحركة دي",""))))))</f>
        <v/>
      </c>
    </row>
    <row r="1492" customFormat="false" ht="15" hidden="false" customHeight="false" outlineLevel="0" collapsed="false">
      <c r="A1492" s="20"/>
      <c r="B1492" s="35" t="str">
        <f aca="false">IF($A1492="","",IFERROR(INDEX(مخرج_البند,MATCH($A1492,قائمة_المخرجات,0)),""))</f>
        <v/>
      </c>
      <c r="C1492" s="30" t="str">
        <f aca="false">IF($A1492="","",IFERROR(INDEX(مخرج_الوصف,MATCH($A1492,قائمة_المخرجات,0)),""))</f>
        <v/>
      </c>
      <c r="D1492" s="20"/>
      <c r="E1492" s="31"/>
      <c r="F1492" s="22"/>
      <c r="G1492" s="36" t="str">
        <f aca="false">IF(OR($A1492="",$D1492&lt;&gt;"تسليم",NOT(ISNUMBER($E1492))),"",COUNTIFS($A$5:$A$1504,$A1492,$D$5:$D$1504,"تسليم",$E$5:$E$1504,"&lt;"&amp;$E1492)+1)</f>
        <v/>
      </c>
      <c r="H1492" s="33" t="str">
        <f aca="false">IF($G1492="","",_xlfn.MINIFS($E$5:$E$1504,$A$5:$A$1504,$A1492,$D$5:$D$1504,"&lt;&gt;تسليم",$E$5:$E$1504,"&gt;="&amp;$E1492))</f>
        <v/>
      </c>
      <c r="I1492" s="33" t="str">
        <f aca="false">IF($G1492="","",_xlfn.MINIFS($E$5:$E$1504,$A$5:$A$1504,$A1492,$D$5:$D$1504,"تسليم",$E$5:$E$1504,"&gt;"&amp;$E1492))</f>
        <v/>
      </c>
      <c r="J1492" s="33" t="str">
        <f aca="false">IF($G1492="","",IF(H1492&gt;0,IF(I1492&gt;0,MIN(H1492,I1492),H1492),IF(I1492&gt;0,I1492,تاريخ_الاحتساب)))</f>
        <v/>
      </c>
      <c r="K1492" s="34" t="str">
        <f aca="false">IF($G1492="","",IF(AND(H1492=0,I1492=0),"جارية","مغلقة"))</f>
        <v/>
      </c>
      <c r="L1492" s="26" t="str">
        <f aca="false">IF($G1492="","",MAX(0,NETWORKDAYS.INTL($E1492,J1492,رمز_العطلة,أيام_الأجازات)-1))</f>
        <v/>
      </c>
      <c r="M1492" s="26" t="str">
        <f aca="false">IF($G1492="","",MAX(0,L1492-مهلة_المراجعة))</f>
        <v/>
      </c>
      <c r="N1492" s="30" t="str">
        <f aca="false">IF($A1492="",IF(OR($D1492&lt;&gt;"",$E1492&lt;&gt;""),"رقم المخرج ناقص",""),IF(ISNA(MATCH($A1492,قائمة_المخرجات,0)),"رقم مخرج غير موجود",IF($D1492="","نوع الحركة ناقص",IF(NOT(ISNUMBER($E1492)),"التاريخ ناقص",IF($E1492&gt;تاريخ_الاحتساب,"تاريخ بعد تاريخ الاحتساب",IF(AND($D1492&lt;&gt;"تسليم",COUNTIFS($A$5:$A$1504,$A1492,$D$5:$D$1504,"تسليم",$E$5:$E$1504,"&lt;="&amp;$E1492)=0),"لا يوجد تسليم قبل الحركة دي",""))))))</f>
        <v/>
      </c>
    </row>
    <row r="1493" customFormat="false" ht="15" hidden="false" customHeight="false" outlineLevel="0" collapsed="false">
      <c r="A1493" s="20"/>
      <c r="B1493" s="35" t="str">
        <f aca="false">IF($A1493="","",IFERROR(INDEX(مخرج_البند,MATCH($A1493,قائمة_المخرجات,0)),""))</f>
        <v/>
      </c>
      <c r="C1493" s="30" t="str">
        <f aca="false">IF($A1493="","",IFERROR(INDEX(مخرج_الوصف,MATCH($A1493,قائمة_المخرجات,0)),""))</f>
        <v/>
      </c>
      <c r="D1493" s="20"/>
      <c r="E1493" s="31"/>
      <c r="F1493" s="22"/>
      <c r="G1493" s="36" t="str">
        <f aca="false">IF(OR($A1493="",$D1493&lt;&gt;"تسليم",NOT(ISNUMBER($E1493))),"",COUNTIFS($A$5:$A$1504,$A1493,$D$5:$D$1504,"تسليم",$E$5:$E$1504,"&lt;"&amp;$E1493)+1)</f>
        <v/>
      </c>
      <c r="H1493" s="33" t="str">
        <f aca="false">IF($G1493="","",_xlfn.MINIFS($E$5:$E$1504,$A$5:$A$1504,$A1493,$D$5:$D$1504,"&lt;&gt;تسليم",$E$5:$E$1504,"&gt;="&amp;$E1493))</f>
        <v/>
      </c>
      <c r="I1493" s="33" t="str">
        <f aca="false">IF($G1493="","",_xlfn.MINIFS($E$5:$E$1504,$A$5:$A$1504,$A1493,$D$5:$D$1504,"تسليم",$E$5:$E$1504,"&gt;"&amp;$E1493))</f>
        <v/>
      </c>
      <c r="J1493" s="33" t="str">
        <f aca="false">IF($G1493="","",IF(H1493&gt;0,IF(I1493&gt;0,MIN(H1493,I1493),H1493),IF(I1493&gt;0,I1493,تاريخ_الاحتساب)))</f>
        <v/>
      </c>
      <c r="K1493" s="34" t="str">
        <f aca="false">IF($G1493="","",IF(AND(H1493=0,I1493=0),"جارية","مغلقة"))</f>
        <v/>
      </c>
      <c r="L1493" s="26" t="str">
        <f aca="false">IF($G1493="","",MAX(0,NETWORKDAYS.INTL($E1493,J1493,رمز_العطلة,أيام_الأجازات)-1))</f>
        <v/>
      </c>
      <c r="M1493" s="26" t="str">
        <f aca="false">IF($G1493="","",MAX(0,L1493-مهلة_المراجعة))</f>
        <v/>
      </c>
      <c r="N1493" s="30" t="str">
        <f aca="false">IF($A1493="",IF(OR($D1493&lt;&gt;"",$E1493&lt;&gt;""),"رقم المخرج ناقص",""),IF(ISNA(MATCH($A1493,قائمة_المخرجات,0)),"رقم مخرج غير موجود",IF($D1493="","نوع الحركة ناقص",IF(NOT(ISNUMBER($E1493)),"التاريخ ناقص",IF($E1493&gt;تاريخ_الاحتساب,"تاريخ بعد تاريخ الاحتساب",IF(AND($D1493&lt;&gt;"تسليم",COUNTIFS($A$5:$A$1504,$A1493,$D$5:$D$1504,"تسليم",$E$5:$E$1504,"&lt;="&amp;$E1493)=0),"لا يوجد تسليم قبل الحركة دي",""))))))</f>
        <v/>
      </c>
    </row>
    <row r="1494" customFormat="false" ht="15" hidden="false" customHeight="false" outlineLevel="0" collapsed="false">
      <c r="A1494" s="20"/>
      <c r="B1494" s="35" t="str">
        <f aca="false">IF($A1494="","",IFERROR(INDEX(مخرج_البند,MATCH($A1494,قائمة_المخرجات,0)),""))</f>
        <v/>
      </c>
      <c r="C1494" s="30" t="str">
        <f aca="false">IF($A1494="","",IFERROR(INDEX(مخرج_الوصف,MATCH($A1494,قائمة_المخرجات,0)),""))</f>
        <v/>
      </c>
      <c r="D1494" s="20"/>
      <c r="E1494" s="31"/>
      <c r="F1494" s="22"/>
      <c r="G1494" s="36" t="str">
        <f aca="false">IF(OR($A1494="",$D1494&lt;&gt;"تسليم",NOT(ISNUMBER($E1494))),"",COUNTIFS($A$5:$A$1504,$A1494,$D$5:$D$1504,"تسليم",$E$5:$E$1504,"&lt;"&amp;$E1494)+1)</f>
        <v/>
      </c>
      <c r="H1494" s="33" t="str">
        <f aca="false">IF($G1494="","",_xlfn.MINIFS($E$5:$E$1504,$A$5:$A$1504,$A1494,$D$5:$D$1504,"&lt;&gt;تسليم",$E$5:$E$1504,"&gt;="&amp;$E1494))</f>
        <v/>
      </c>
      <c r="I1494" s="33" t="str">
        <f aca="false">IF($G1494="","",_xlfn.MINIFS($E$5:$E$1504,$A$5:$A$1504,$A1494,$D$5:$D$1504,"تسليم",$E$5:$E$1504,"&gt;"&amp;$E1494))</f>
        <v/>
      </c>
      <c r="J1494" s="33" t="str">
        <f aca="false">IF($G1494="","",IF(H1494&gt;0,IF(I1494&gt;0,MIN(H1494,I1494),H1494),IF(I1494&gt;0,I1494,تاريخ_الاحتساب)))</f>
        <v/>
      </c>
      <c r="K1494" s="34" t="str">
        <f aca="false">IF($G1494="","",IF(AND(H1494=0,I1494=0),"جارية","مغلقة"))</f>
        <v/>
      </c>
      <c r="L1494" s="26" t="str">
        <f aca="false">IF($G1494="","",MAX(0,NETWORKDAYS.INTL($E1494,J1494,رمز_العطلة,أيام_الأجازات)-1))</f>
        <v/>
      </c>
      <c r="M1494" s="26" t="str">
        <f aca="false">IF($G1494="","",MAX(0,L1494-مهلة_المراجعة))</f>
        <v/>
      </c>
      <c r="N1494" s="30" t="str">
        <f aca="false">IF($A1494="",IF(OR($D1494&lt;&gt;"",$E1494&lt;&gt;""),"رقم المخرج ناقص",""),IF(ISNA(MATCH($A1494,قائمة_المخرجات,0)),"رقم مخرج غير موجود",IF($D1494="","نوع الحركة ناقص",IF(NOT(ISNUMBER($E1494)),"التاريخ ناقص",IF($E1494&gt;تاريخ_الاحتساب,"تاريخ بعد تاريخ الاحتساب",IF(AND($D1494&lt;&gt;"تسليم",COUNTIFS($A$5:$A$1504,$A1494,$D$5:$D$1504,"تسليم",$E$5:$E$1504,"&lt;="&amp;$E1494)=0),"لا يوجد تسليم قبل الحركة دي",""))))))</f>
        <v/>
      </c>
    </row>
    <row r="1495" customFormat="false" ht="15" hidden="false" customHeight="false" outlineLevel="0" collapsed="false">
      <c r="A1495" s="20"/>
      <c r="B1495" s="35" t="str">
        <f aca="false">IF($A1495="","",IFERROR(INDEX(مخرج_البند,MATCH($A1495,قائمة_المخرجات,0)),""))</f>
        <v/>
      </c>
      <c r="C1495" s="30" t="str">
        <f aca="false">IF($A1495="","",IFERROR(INDEX(مخرج_الوصف,MATCH($A1495,قائمة_المخرجات,0)),""))</f>
        <v/>
      </c>
      <c r="D1495" s="20"/>
      <c r="E1495" s="31"/>
      <c r="F1495" s="22"/>
      <c r="G1495" s="36" t="str">
        <f aca="false">IF(OR($A1495="",$D1495&lt;&gt;"تسليم",NOT(ISNUMBER($E1495))),"",COUNTIFS($A$5:$A$1504,$A1495,$D$5:$D$1504,"تسليم",$E$5:$E$1504,"&lt;"&amp;$E1495)+1)</f>
        <v/>
      </c>
      <c r="H1495" s="33" t="str">
        <f aca="false">IF($G1495="","",_xlfn.MINIFS($E$5:$E$1504,$A$5:$A$1504,$A1495,$D$5:$D$1504,"&lt;&gt;تسليم",$E$5:$E$1504,"&gt;="&amp;$E1495))</f>
        <v/>
      </c>
      <c r="I1495" s="33" t="str">
        <f aca="false">IF($G1495="","",_xlfn.MINIFS($E$5:$E$1504,$A$5:$A$1504,$A1495,$D$5:$D$1504,"تسليم",$E$5:$E$1504,"&gt;"&amp;$E1495))</f>
        <v/>
      </c>
      <c r="J1495" s="33" t="str">
        <f aca="false">IF($G1495="","",IF(H1495&gt;0,IF(I1495&gt;0,MIN(H1495,I1495),H1495),IF(I1495&gt;0,I1495,تاريخ_الاحتساب)))</f>
        <v/>
      </c>
      <c r="K1495" s="34" t="str">
        <f aca="false">IF($G1495="","",IF(AND(H1495=0,I1495=0),"جارية","مغلقة"))</f>
        <v/>
      </c>
      <c r="L1495" s="26" t="str">
        <f aca="false">IF($G1495="","",MAX(0,NETWORKDAYS.INTL($E1495,J1495,رمز_العطلة,أيام_الأجازات)-1))</f>
        <v/>
      </c>
      <c r="M1495" s="26" t="str">
        <f aca="false">IF($G1495="","",MAX(0,L1495-مهلة_المراجعة))</f>
        <v/>
      </c>
      <c r="N1495" s="30" t="str">
        <f aca="false">IF($A1495="",IF(OR($D1495&lt;&gt;"",$E1495&lt;&gt;""),"رقم المخرج ناقص",""),IF(ISNA(MATCH($A1495,قائمة_المخرجات,0)),"رقم مخرج غير موجود",IF($D1495="","نوع الحركة ناقص",IF(NOT(ISNUMBER($E1495)),"التاريخ ناقص",IF($E1495&gt;تاريخ_الاحتساب,"تاريخ بعد تاريخ الاحتساب",IF(AND($D1495&lt;&gt;"تسليم",COUNTIFS($A$5:$A$1504,$A1495,$D$5:$D$1504,"تسليم",$E$5:$E$1504,"&lt;="&amp;$E1495)=0),"لا يوجد تسليم قبل الحركة دي",""))))))</f>
        <v/>
      </c>
    </row>
    <row r="1496" customFormat="false" ht="15" hidden="false" customHeight="false" outlineLevel="0" collapsed="false">
      <c r="A1496" s="20"/>
      <c r="B1496" s="35" t="str">
        <f aca="false">IF($A1496="","",IFERROR(INDEX(مخرج_البند,MATCH($A1496,قائمة_المخرجات,0)),""))</f>
        <v/>
      </c>
      <c r="C1496" s="30" t="str">
        <f aca="false">IF($A1496="","",IFERROR(INDEX(مخرج_الوصف,MATCH($A1496,قائمة_المخرجات,0)),""))</f>
        <v/>
      </c>
      <c r="D1496" s="20"/>
      <c r="E1496" s="31"/>
      <c r="F1496" s="22"/>
      <c r="G1496" s="36" t="str">
        <f aca="false">IF(OR($A1496="",$D1496&lt;&gt;"تسليم",NOT(ISNUMBER($E1496))),"",COUNTIFS($A$5:$A$1504,$A1496,$D$5:$D$1504,"تسليم",$E$5:$E$1504,"&lt;"&amp;$E1496)+1)</f>
        <v/>
      </c>
      <c r="H1496" s="33" t="str">
        <f aca="false">IF($G1496="","",_xlfn.MINIFS($E$5:$E$1504,$A$5:$A$1504,$A1496,$D$5:$D$1504,"&lt;&gt;تسليم",$E$5:$E$1504,"&gt;="&amp;$E1496))</f>
        <v/>
      </c>
      <c r="I1496" s="33" t="str">
        <f aca="false">IF($G1496="","",_xlfn.MINIFS($E$5:$E$1504,$A$5:$A$1504,$A1496,$D$5:$D$1504,"تسليم",$E$5:$E$1504,"&gt;"&amp;$E1496))</f>
        <v/>
      </c>
      <c r="J1496" s="33" t="str">
        <f aca="false">IF($G1496="","",IF(H1496&gt;0,IF(I1496&gt;0,MIN(H1496,I1496),H1496),IF(I1496&gt;0,I1496,تاريخ_الاحتساب)))</f>
        <v/>
      </c>
      <c r="K1496" s="34" t="str">
        <f aca="false">IF($G1496="","",IF(AND(H1496=0,I1496=0),"جارية","مغلقة"))</f>
        <v/>
      </c>
      <c r="L1496" s="26" t="str">
        <f aca="false">IF($G1496="","",MAX(0,NETWORKDAYS.INTL($E1496,J1496,رمز_العطلة,أيام_الأجازات)-1))</f>
        <v/>
      </c>
      <c r="M1496" s="26" t="str">
        <f aca="false">IF($G1496="","",MAX(0,L1496-مهلة_المراجعة))</f>
        <v/>
      </c>
      <c r="N1496" s="30" t="str">
        <f aca="false">IF($A1496="",IF(OR($D1496&lt;&gt;"",$E1496&lt;&gt;""),"رقم المخرج ناقص",""),IF(ISNA(MATCH($A1496,قائمة_المخرجات,0)),"رقم مخرج غير موجود",IF($D1496="","نوع الحركة ناقص",IF(NOT(ISNUMBER($E1496)),"التاريخ ناقص",IF($E1496&gt;تاريخ_الاحتساب,"تاريخ بعد تاريخ الاحتساب",IF(AND($D1496&lt;&gt;"تسليم",COUNTIFS($A$5:$A$1504,$A1496,$D$5:$D$1504,"تسليم",$E$5:$E$1504,"&lt;="&amp;$E1496)=0),"لا يوجد تسليم قبل الحركة دي",""))))))</f>
        <v/>
      </c>
    </row>
    <row r="1497" customFormat="false" ht="15" hidden="false" customHeight="false" outlineLevel="0" collapsed="false">
      <c r="A1497" s="20"/>
      <c r="B1497" s="35" t="str">
        <f aca="false">IF($A1497="","",IFERROR(INDEX(مخرج_البند,MATCH($A1497,قائمة_المخرجات,0)),""))</f>
        <v/>
      </c>
      <c r="C1497" s="30" t="str">
        <f aca="false">IF($A1497="","",IFERROR(INDEX(مخرج_الوصف,MATCH($A1497,قائمة_المخرجات,0)),""))</f>
        <v/>
      </c>
      <c r="D1497" s="20"/>
      <c r="E1497" s="31"/>
      <c r="F1497" s="22"/>
      <c r="G1497" s="36" t="str">
        <f aca="false">IF(OR($A1497="",$D1497&lt;&gt;"تسليم",NOT(ISNUMBER($E1497))),"",COUNTIFS($A$5:$A$1504,$A1497,$D$5:$D$1504,"تسليم",$E$5:$E$1504,"&lt;"&amp;$E1497)+1)</f>
        <v/>
      </c>
      <c r="H1497" s="33" t="str">
        <f aca="false">IF($G1497="","",_xlfn.MINIFS($E$5:$E$1504,$A$5:$A$1504,$A1497,$D$5:$D$1504,"&lt;&gt;تسليم",$E$5:$E$1504,"&gt;="&amp;$E1497))</f>
        <v/>
      </c>
      <c r="I1497" s="33" t="str">
        <f aca="false">IF($G1497="","",_xlfn.MINIFS($E$5:$E$1504,$A$5:$A$1504,$A1497,$D$5:$D$1504,"تسليم",$E$5:$E$1504,"&gt;"&amp;$E1497))</f>
        <v/>
      </c>
      <c r="J1497" s="33" t="str">
        <f aca="false">IF($G1497="","",IF(H1497&gt;0,IF(I1497&gt;0,MIN(H1497,I1497),H1497),IF(I1497&gt;0,I1497,تاريخ_الاحتساب)))</f>
        <v/>
      </c>
      <c r="K1497" s="34" t="str">
        <f aca="false">IF($G1497="","",IF(AND(H1497=0,I1497=0),"جارية","مغلقة"))</f>
        <v/>
      </c>
      <c r="L1497" s="26" t="str">
        <f aca="false">IF($G1497="","",MAX(0,NETWORKDAYS.INTL($E1497,J1497,رمز_العطلة,أيام_الأجازات)-1))</f>
        <v/>
      </c>
      <c r="M1497" s="26" t="str">
        <f aca="false">IF($G1497="","",MAX(0,L1497-مهلة_المراجعة))</f>
        <v/>
      </c>
      <c r="N1497" s="30" t="str">
        <f aca="false">IF($A1497="",IF(OR($D1497&lt;&gt;"",$E1497&lt;&gt;""),"رقم المخرج ناقص",""),IF(ISNA(MATCH($A1497,قائمة_المخرجات,0)),"رقم مخرج غير موجود",IF($D1497="","نوع الحركة ناقص",IF(NOT(ISNUMBER($E1497)),"التاريخ ناقص",IF($E1497&gt;تاريخ_الاحتساب,"تاريخ بعد تاريخ الاحتساب",IF(AND($D1497&lt;&gt;"تسليم",COUNTIFS($A$5:$A$1504,$A1497,$D$5:$D$1504,"تسليم",$E$5:$E$1504,"&lt;="&amp;$E1497)=0),"لا يوجد تسليم قبل الحركة دي",""))))))</f>
        <v/>
      </c>
    </row>
    <row r="1498" customFormat="false" ht="15" hidden="false" customHeight="false" outlineLevel="0" collapsed="false">
      <c r="A1498" s="20"/>
      <c r="B1498" s="35" t="str">
        <f aca="false">IF($A1498="","",IFERROR(INDEX(مخرج_البند,MATCH($A1498,قائمة_المخرجات,0)),""))</f>
        <v/>
      </c>
      <c r="C1498" s="30" t="str">
        <f aca="false">IF($A1498="","",IFERROR(INDEX(مخرج_الوصف,MATCH($A1498,قائمة_المخرجات,0)),""))</f>
        <v/>
      </c>
      <c r="D1498" s="20"/>
      <c r="E1498" s="31"/>
      <c r="F1498" s="22"/>
      <c r="G1498" s="36" t="str">
        <f aca="false">IF(OR($A1498="",$D1498&lt;&gt;"تسليم",NOT(ISNUMBER($E1498))),"",COUNTIFS($A$5:$A$1504,$A1498,$D$5:$D$1504,"تسليم",$E$5:$E$1504,"&lt;"&amp;$E1498)+1)</f>
        <v/>
      </c>
      <c r="H1498" s="33" t="str">
        <f aca="false">IF($G1498="","",_xlfn.MINIFS($E$5:$E$1504,$A$5:$A$1504,$A1498,$D$5:$D$1504,"&lt;&gt;تسليم",$E$5:$E$1504,"&gt;="&amp;$E1498))</f>
        <v/>
      </c>
      <c r="I1498" s="33" t="str">
        <f aca="false">IF($G1498="","",_xlfn.MINIFS($E$5:$E$1504,$A$5:$A$1504,$A1498,$D$5:$D$1504,"تسليم",$E$5:$E$1504,"&gt;"&amp;$E1498))</f>
        <v/>
      </c>
      <c r="J1498" s="33" t="str">
        <f aca="false">IF($G1498="","",IF(H1498&gt;0,IF(I1498&gt;0,MIN(H1498,I1498),H1498),IF(I1498&gt;0,I1498,تاريخ_الاحتساب)))</f>
        <v/>
      </c>
      <c r="K1498" s="34" t="str">
        <f aca="false">IF($G1498="","",IF(AND(H1498=0,I1498=0),"جارية","مغلقة"))</f>
        <v/>
      </c>
      <c r="L1498" s="26" t="str">
        <f aca="false">IF($G1498="","",MAX(0,NETWORKDAYS.INTL($E1498,J1498,رمز_العطلة,أيام_الأجازات)-1))</f>
        <v/>
      </c>
      <c r="M1498" s="26" t="str">
        <f aca="false">IF($G1498="","",MAX(0,L1498-مهلة_المراجعة))</f>
        <v/>
      </c>
      <c r="N1498" s="30" t="str">
        <f aca="false">IF($A1498="",IF(OR($D1498&lt;&gt;"",$E1498&lt;&gt;""),"رقم المخرج ناقص",""),IF(ISNA(MATCH($A1498,قائمة_المخرجات,0)),"رقم مخرج غير موجود",IF($D1498="","نوع الحركة ناقص",IF(NOT(ISNUMBER($E1498)),"التاريخ ناقص",IF($E1498&gt;تاريخ_الاحتساب,"تاريخ بعد تاريخ الاحتساب",IF(AND($D1498&lt;&gt;"تسليم",COUNTIFS($A$5:$A$1504,$A1498,$D$5:$D$1504,"تسليم",$E$5:$E$1504,"&lt;="&amp;$E1498)=0),"لا يوجد تسليم قبل الحركة دي",""))))))</f>
        <v/>
      </c>
    </row>
    <row r="1499" customFormat="false" ht="15" hidden="false" customHeight="false" outlineLevel="0" collapsed="false">
      <c r="A1499" s="20"/>
      <c r="B1499" s="35" t="str">
        <f aca="false">IF($A1499="","",IFERROR(INDEX(مخرج_البند,MATCH($A1499,قائمة_المخرجات,0)),""))</f>
        <v/>
      </c>
      <c r="C1499" s="30" t="str">
        <f aca="false">IF($A1499="","",IFERROR(INDEX(مخرج_الوصف,MATCH($A1499,قائمة_المخرجات,0)),""))</f>
        <v/>
      </c>
      <c r="D1499" s="20"/>
      <c r="E1499" s="31"/>
      <c r="F1499" s="22"/>
      <c r="G1499" s="36" t="str">
        <f aca="false">IF(OR($A1499="",$D1499&lt;&gt;"تسليم",NOT(ISNUMBER($E1499))),"",COUNTIFS($A$5:$A$1504,$A1499,$D$5:$D$1504,"تسليم",$E$5:$E$1504,"&lt;"&amp;$E1499)+1)</f>
        <v/>
      </c>
      <c r="H1499" s="33" t="str">
        <f aca="false">IF($G1499="","",_xlfn.MINIFS($E$5:$E$1504,$A$5:$A$1504,$A1499,$D$5:$D$1504,"&lt;&gt;تسليم",$E$5:$E$1504,"&gt;="&amp;$E1499))</f>
        <v/>
      </c>
      <c r="I1499" s="33" t="str">
        <f aca="false">IF($G1499="","",_xlfn.MINIFS($E$5:$E$1504,$A$5:$A$1504,$A1499,$D$5:$D$1504,"تسليم",$E$5:$E$1504,"&gt;"&amp;$E1499))</f>
        <v/>
      </c>
      <c r="J1499" s="33" t="str">
        <f aca="false">IF($G1499="","",IF(H1499&gt;0,IF(I1499&gt;0,MIN(H1499,I1499),H1499),IF(I1499&gt;0,I1499,تاريخ_الاحتساب)))</f>
        <v/>
      </c>
      <c r="K1499" s="34" t="str">
        <f aca="false">IF($G1499="","",IF(AND(H1499=0,I1499=0),"جارية","مغلقة"))</f>
        <v/>
      </c>
      <c r="L1499" s="26" t="str">
        <f aca="false">IF($G1499="","",MAX(0,NETWORKDAYS.INTL($E1499,J1499,رمز_العطلة,أيام_الأجازات)-1))</f>
        <v/>
      </c>
      <c r="M1499" s="26" t="str">
        <f aca="false">IF($G1499="","",MAX(0,L1499-مهلة_المراجعة))</f>
        <v/>
      </c>
      <c r="N1499" s="30" t="str">
        <f aca="false">IF($A1499="",IF(OR($D1499&lt;&gt;"",$E1499&lt;&gt;""),"رقم المخرج ناقص",""),IF(ISNA(MATCH($A1499,قائمة_المخرجات,0)),"رقم مخرج غير موجود",IF($D1499="","نوع الحركة ناقص",IF(NOT(ISNUMBER($E1499)),"التاريخ ناقص",IF($E1499&gt;تاريخ_الاحتساب,"تاريخ بعد تاريخ الاحتساب",IF(AND($D1499&lt;&gt;"تسليم",COUNTIFS($A$5:$A$1504,$A1499,$D$5:$D$1504,"تسليم",$E$5:$E$1504,"&lt;="&amp;$E1499)=0),"لا يوجد تسليم قبل الحركة دي",""))))))</f>
        <v/>
      </c>
    </row>
    <row r="1500" customFormat="false" ht="15" hidden="false" customHeight="false" outlineLevel="0" collapsed="false">
      <c r="A1500" s="20"/>
      <c r="B1500" s="35" t="str">
        <f aca="false">IF($A1500="","",IFERROR(INDEX(مخرج_البند,MATCH($A1500,قائمة_المخرجات,0)),""))</f>
        <v/>
      </c>
      <c r="C1500" s="30" t="str">
        <f aca="false">IF($A1500="","",IFERROR(INDEX(مخرج_الوصف,MATCH($A1500,قائمة_المخرجات,0)),""))</f>
        <v/>
      </c>
      <c r="D1500" s="20"/>
      <c r="E1500" s="31"/>
      <c r="F1500" s="22"/>
      <c r="G1500" s="36" t="str">
        <f aca="false">IF(OR($A1500="",$D1500&lt;&gt;"تسليم",NOT(ISNUMBER($E1500))),"",COUNTIFS($A$5:$A$1504,$A1500,$D$5:$D$1504,"تسليم",$E$5:$E$1504,"&lt;"&amp;$E1500)+1)</f>
        <v/>
      </c>
      <c r="H1500" s="33" t="str">
        <f aca="false">IF($G1500="","",_xlfn.MINIFS($E$5:$E$1504,$A$5:$A$1504,$A1500,$D$5:$D$1504,"&lt;&gt;تسليم",$E$5:$E$1504,"&gt;="&amp;$E1500))</f>
        <v/>
      </c>
      <c r="I1500" s="33" t="str">
        <f aca="false">IF($G1500="","",_xlfn.MINIFS($E$5:$E$1504,$A$5:$A$1504,$A1500,$D$5:$D$1504,"تسليم",$E$5:$E$1504,"&gt;"&amp;$E1500))</f>
        <v/>
      </c>
      <c r="J1500" s="33" t="str">
        <f aca="false">IF($G1500="","",IF(H1500&gt;0,IF(I1500&gt;0,MIN(H1500,I1500),H1500),IF(I1500&gt;0,I1500,تاريخ_الاحتساب)))</f>
        <v/>
      </c>
      <c r="K1500" s="34" t="str">
        <f aca="false">IF($G1500="","",IF(AND(H1500=0,I1500=0),"جارية","مغلقة"))</f>
        <v/>
      </c>
      <c r="L1500" s="26" t="str">
        <f aca="false">IF($G1500="","",MAX(0,NETWORKDAYS.INTL($E1500,J1500,رمز_العطلة,أيام_الأجازات)-1))</f>
        <v/>
      </c>
      <c r="M1500" s="26" t="str">
        <f aca="false">IF($G1500="","",MAX(0,L1500-مهلة_المراجعة))</f>
        <v/>
      </c>
      <c r="N1500" s="30" t="str">
        <f aca="false">IF($A1500="",IF(OR($D1500&lt;&gt;"",$E1500&lt;&gt;""),"رقم المخرج ناقص",""),IF(ISNA(MATCH($A1500,قائمة_المخرجات,0)),"رقم مخرج غير موجود",IF($D1500="","نوع الحركة ناقص",IF(NOT(ISNUMBER($E1500)),"التاريخ ناقص",IF($E1500&gt;تاريخ_الاحتساب,"تاريخ بعد تاريخ الاحتساب",IF(AND($D1500&lt;&gt;"تسليم",COUNTIFS($A$5:$A$1504,$A1500,$D$5:$D$1504,"تسليم",$E$5:$E$1504,"&lt;="&amp;$E1500)=0),"لا يوجد تسليم قبل الحركة دي",""))))))</f>
        <v/>
      </c>
    </row>
    <row r="1501" customFormat="false" ht="15" hidden="false" customHeight="false" outlineLevel="0" collapsed="false">
      <c r="A1501" s="20"/>
      <c r="B1501" s="35" t="str">
        <f aca="false">IF($A1501="","",IFERROR(INDEX(مخرج_البند,MATCH($A1501,قائمة_المخرجات,0)),""))</f>
        <v/>
      </c>
      <c r="C1501" s="30" t="str">
        <f aca="false">IF($A1501="","",IFERROR(INDEX(مخرج_الوصف,MATCH($A1501,قائمة_المخرجات,0)),""))</f>
        <v/>
      </c>
      <c r="D1501" s="20"/>
      <c r="E1501" s="31"/>
      <c r="F1501" s="22"/>
      <c r="G1501" s="36" t="str">
        <f aca="false">IF(OR($A1501="",$D1501&lt;&gt;"تسليم",NOT(ISNUMBER($E1501))),"",COUNTIFS($A$5:$A$1504,$A1501,$D$5:$D$1504,"تسليم",$E$5:$E$1504,"&lt;"&amp;$E1501)+1)</f>
        <v/>
      </c>
      <c r="H1501" s="33" t="str">
        <f aca="false">IF($G1501="","",_xlfn.MINIFS($E$5:$E$1504,$A$5:$A$1504,$A1501,$D$5:$D$1504,"&lt;&gt;تسليم",$E$5:$E$1504,"&gt;="&amp;$E1501))</f>
        <v/>
      </c>
      <c r="I1501" s="33" t="str">
        <f aca="false">IF($G1501="","",_xlfn.MINIFS($E$5:$E$1504,$A$5:$A$1504,$A1501,$D$5:$D$1504,"تسليم",$E$5:$E$1504,"&gt;"&amp;$E1501))</f>
        <v/>
      </c>
      <c r="J1501" s="33" t="str">
        <f aca="false">IF($G1501="","",IF(H1501&gt;0,IF(I1501&gt;0,MIN(H1501,I1501),H1501),IF(I1501&gt;0,I1501,تاريخ_الاحتساب)))</f>
        <v/>
      </c>
      <c r="K1501" s="34" t="str">
        <f aca="false">IF($G1501="","",IF(AND(H1501=0,I1501=0),"جارية","مغلقة"))</f>
        <v/>
      </c>
      <c r="L1501" s="26" t="str">
        <f aca="false">IF($G1501="","",MAX(0,NETWORKDAYS.INTL($E1501,J1501,رمز_العطلة,أيام_الأجازات)-1))</f>
        <v/>
      </c>
      <c r="M1501" s="26" t="str">
        <f aca="false">IF($G1501="","",MAX(0,L1501-مهلة_المراجعة))</f>
        <v/>
      </c>
      <c r="N1501" s="30" t="str">
        <f aca="false">IF($A1501="",IF(OR($D1501&lt;&gt;"",$E1501&lt;&gt;""),"رقم المخرج ناقص",""),IF(ISNA(MATCH($A1501,قائمة_المخرجات,0)),"رقم مخرج غير موجود",IF($D1501="","نوع الحركة ناقص",IF(NOT(ISNUMBER($E1501)),"التاريخ ناقص",IF($E1501&gt;تاريخ_الاحتساب,"تاريخ بعد تاريخ الاحتساب",IF(AND($D1501&lt;&gt;"تسليم",COUNTIFS($A$5:$A$1504,$A1501,$D$5:$D$1504,"تسليم",$E$5:$E$1504,"&lt;="&amp;$E1501)=0),"لا يوجد تسليم قبل الحركة دي",""))))))</f>
        <v/>
      </c>
    </row>
    <row r="1502" customFormat="false" ht="15" hidden="false" customHeight="false" outlineLevel="0" collapsed="false">
      <c r="A1502" s="20"/>
      <c r="B1502" s="35" t="str">
        <f aca="false">IF($A1502="","",IFERROR(INDEX(مخرج_البند,MATCH($A1502,قائمة_المخرجات,0)),""))</f>
        <v/>
      </c>
      <c r="C1502" s="30" t="str">
        <f aca="false">IF($A1502="","",IFERROR(INDEX(مخرج_الوصف,MATCH($A1502,قائمة_المخرجات,0)),""))</f>
        <v/>
      </c>
      <c r="D1502" s="20"/>
      <c r="E1502" s="31"/>
      <c r="F1502" s="22"/>
      <c r="G1502" s="36" t="str">
        <f aca="false">IF(OR($A1502="",$D1502&lt;&gt;"تسليم",NOT(ISNUMBER($E1502))),"",COUNTIFS($A$5:$A$1504,$A1502,$D$5:$D$1504,"تسليم",$E$5:$E$1504,"&lt;"&amp;$E1502)+1)</f>
        <v/>
      </c>
      <c r="H1502" s="33" t="str">
        <f aca="false">IF($G1502="","",_xlfn.MINIFS($E$5:$E$1504,$A$5:$A$1504,$A1502,$D$5:$D$1504,"&lt;&gt;تسليم",$E$5:$E$1504,"&gt;="&amp;$E1502))</f>
        <v/>
      </c>
      <c r="I1502" s="33" t="str">
        <f aca="false">IF($G1502="","",_xlfn.MINIFS($E$5:$E$1504,$A$5:$A$1504,$A1502,$D$5:$D$1504,"تسليم",$E$5:$E$1504,"&gt;"&amp;$E1502))</f>
        <v/>
      </c>
      <c r="J1502" s="33" t="str">
        <f aca="false">IF($G1502="","",IF(H1502&gt;0,IF(I1502&gt;0,MIN(H1502,I1502),H1502),IF(I1502&gt;0,I1502,تاريخ_الاحتساب)))</f>
        <v/>
      </c>
      <c r="K1502" s="34" t="str">
        <f aca="false">IF($G1502="","",IF(AND(H1502=0,I1502=0),"جارية","مغلقة"))</f>
        <v/>
      </c>
      <c r="L1502" s="26" t="str">
        <f aca="false">IF($G1502="","",MAX(0,NETWORKDAYS.INTL($E1502,J1502,رمز_العطلة,أيام_الأجازات)-1))</f>
        <v/>
      </c>
      <c r="M1502" s="26" t="str">
        <f aca="false">IF($G1502="","",MAX(0,L1502-مهلة_المراجعة))</f>
        <v/>
      </c>
      <c r="N1502" s="30" t="str">
        <f aca="false">IF($A1502="",IF(OR($D1502&lt;&gt;"",$E1502&lt;&gt;""),"رقم المخرج ناقص",""),IF(ISNA(MATCH($A1502,قائمة_المخرجات,0)),"رقم مخرج غير موجود",IF($D1502="","نوع الحركة ناقص",IF(NOT(ISNUMBER($E1502)),"التاريخ ناقص",IF($E1502&gt;تاريخ_الاحتساب,"تاريخ بعد تاريخ الاحتساب",IF(AND($D1502&lt;&gt;"تسليم",COUNTIFS($A$5:$A$1504,$A1502,$D$5:$D$1504,"تسليم",$E$5:$E$1504,"&lt;="&amp;$E1502)=0),"لا يوجد تسليم قبل الحركة دي",""))))))</f>
        <v/>
      </c>
    </row>
    <row r="1503" customFormat="false" ht="15" hidden="false" customHeight="false" outlineLevel="0" collapsed="false">
      <c r="A1503" s="20"/>
      <c r="B1503" s="35" t="str">
        <f aca="false">IF($A1503="","",IFERROR(INDEX(مخرج_البند,MATCH($A1503,قائمة_المخرجات,0)),""))</f>
        <v/>
      </c>
      <c r="C1503" s="30" t="str">
        <f aca="false">IF($A1503="","",IFERROR(INDEX(مخرج_الوصف,MATCH($A1503,قائمة_المخرجات,0)),""))</f>
        <v/>
      </c>
      <c r="D1503" s="20"/>
      <c r="E1503" s="31"/>
      <c r="F1503" s="22"/>
      <c r="G1503" s="36" t="str">
        <f aca="false">IF(OR($A1503="",$D1503&lt;&gt;"تسليم",NOT(ISNUMBER($E1503))),"",COUNTIFS($A$5:$A$1504,$A1503,$D$5:$D$1504,"تسليم",$E$5:$E$1504,"&lt;"&amp;$E1503)+1)</f>
        <v/>
      </c>
      <c r="H1503" s="33" t="str">
        <f aca="false">IF($G1503="","",_xlfn.MINIFS($E$5:$E$1504,$A$5:$A$1504,$A1503,$D$5:$D$1504,"&lt;&gt;تسليم",$E$5:$E$1504,"&gt;="&amp;$E1503))</f>
        <v/>
      </c>
      <c r="I1503" s="33" t="str">
        <f aca="false">IF($G1503="","",_xlfn.MINIFS($E$5:$E$1504,$A$5:$A$1504,$A1503,$D$5:$D$1504,"تسليم",$E$5:$E$1504,"&gt;"&amp;$E1503))</f>
        <v/>
      </c>
      <c r="J1503" s="33" t="str">
        <f aca="false">IF($G1503="","",IF(H1503&gt;0,IF(I1503&gt;0,MIN(H1503,I1503),H1503),IF(I1503&gt;0,I1503,تاريخ_الاحتساب)))</f>
        <v/>
      </c>
      <c r="K1503" s="34" t="str">
        <f aca="false">IF($G1503="","",IF(AND(H1503=0,I1503=0),"جارية","مغلقة"))</f>
        <v/>
      </c>
      <c r="L1503" s="26" t="str">
        <f aca="false">IF($G1503="","",MAX(0,NETWORKDAYS.INTL($E1503,J1503,رمز_العطلة,أيام_الأجازات)-1))</f>
        <v/>
      </c>
      <c r="M1503" s="26" t="str">
        <f aca="false">IF($G1503="","",MAX(0,L1503-مهلة_المراجعة))</f>
        <v/>
      </c>
      <c r="N1503" s="30" t="str">
        <f aca="false">IF($A1503="",IF(OR($D1503&lt;&gt;"",$E1503&lt;&gt;""),"رقم المخرج ناقص",""),IF(ISNA(MATCH($A1503,قائمة_المخرجات,0)),"رقم مخرج غير موجود",IF($D1503="","نوع الحركة ناقص",IF(NOT(ISNUMBER($E1503)),"التاريخ ناقص",IF($E1503&gt;تاريخ_الاحتساب,"تاريخ بعد تاريخ الاحتساب",IF(AND($D1503&lt;&gt;"تسليم",COUNTIFS($A$5:$A$1504,$A1503,$D$5:$D$1504,"تسليم",$E$5:$E$1504,"&lt;="&amp;$E1503)=0),"لا يوجد تسليم قبل الحركة دي",""))))))</f>
        <v/>
      </c>
    </row>
    <row r="1504" customFormat="false" ht="15" hidden="false" customHeight="false" outlineLevel="0" collapsed="false">
      <c r="A1504" s="20"/>
      <c r="B1504" s="35" t="str">
        <f aca="false">IF($A1504="","",IFERROR(INDEX(مخرج_البند,MATCH($A1504,قائمة_المخرجات,0)),""))</f>
        <v/>
      </c>
      <c r="C1504" s="30" t="str">
        <f aca="false">IF($A1504="","",IFERROR(INDEX(مخرج_الوصف,MATCH($A1504,قائمة_المخرجات,0)),""))</f>
        <v/>
      </c>
      <c r="D1504" s="20"/>
      <c r="E1504" s="31"/>
      <c r="F1504" s="22"/>
      <c r="G1504" s="36" t="str">
        <f aca="false">IF(OR($A1504="",$D1504&lt;&gt;"تسليم",NOT(ISNUMBER($E1504))),"",COUNTIFS($A$5:$A$1504,$A1504,$D$5:$D$1504,"تسليم",$E$5:$E$1504,"&lt;"&amp;$E1504)+1)</f>
        <v/>
      </c>
      <c r="H1504" s="33" t="str">
        <f aca="false">IF($G1504="","",_xlfn.MINIFS($E$5:$E$1504,$A$5:$A$1504,$A1504,$D$5:$D$1504,"&lt;&gt;تسليم",$E$5:$E$1504,"&gt;="&amp;$E1504))</f>
        <v/>
      </c>
      <c r="I1504" s="33" t="str">
        <f aca="false">IF($G1504="","",_xlfn.MINIFS($E$5:$E$1504,$A$5:$A$1504,$A1504,$D$5:$D$1504,"تسليم",$E$5:$E$1504,"&gt;"&amp;$E1504))</f>
        <v/>
      </c>
      <c r="J1504" s="33" t="str">
        <f aca="false">IF($G1504="","",IF(H1504&gt;0,IF(I1504&gt;0,MIN(H1504,I1504),H1504),IF(I1504&gt;0,I1504,تاريخ_الاحتساب)))</f>
        <v/>
      </c>
      <c r="K1504" s="34" t="str">
        <f aca="false">IF($G1504="","",IF(AND(H1504=0,I1504=0),"جارية","مغلقة"))</f>
        <v/>
      </c>
      <c r="L1504" s="26" t="str">
        <f aca="false">IF($G1504="","",MAX(0,NETWORKDAYS.INTL($E1504,J1504,رمز_العطلة,أيام_الأجازات)-1))</f>
        <v/>
      </c>
      <c r="M1504" s="26" t="str">
        <f aca="false">IF($G1504="","",MAX(0,L1504-مهلة_المراجعة))</f>
        <v/>
      </c>
      <c r="N1504" s="30" t="str">
        <f aca="false">IF($A1504="",IF(OR($D1504&lt;&gt;"",$E1504&lt;&gt;""),"رقم المخرج ناقص",""),IF(ISNA(MATCH($A1504,قائمة_المخرجات,0)),"رقم مخرج غير موجود",IF($D1504="","نوع الحركة ناقص",IF(NOT(ISNUMBER($E1504)),"التاريخ ناقص",IF($E1504&gt;تاريخ_الاحتساب,"تاريخ بعد تاريخ الاحتساب",IF(AND($D1504&lt;&gt;"تسليم",COUNTIFS($A$5:$A$1504,$A1504,$D$5:$D$1504,"تسليم",$E$5:$E$1504,"&lt;="&amp;$E1504)=0),"لا يوجد تسليم قبل الحركة دي",""))))))</f>
        <v/>
      </c>
    </row>
  </sheetData>
  <autoFilter ref="A4:N1504"/>
  <conditionalFormatting sqref="M5:M1504">
    <cfRule type="expression" priority="2" aboveAverage="0" equalAverage="0" bottom="0" percent="0" rank="0" text="" dxfId="25">
      <formula>AND(ISNUMBER(M5),M5&gt;0)</formula>
    </cfRule>
  </conditionalFormatting>
  <conditionalFormatting sqref="N5:N1504">
    <cfRule type="expression" priority="3" aboveAverage="0" equalAverage="0" bottom="0" percent="0" rank="0" text="" dxfId="6">
      <formula>N5&lt;&gt;""</formula>
    </cfRule>
  </conditionalFormatting>
  <conditionalFormatting sqref="K5:K1504">
    <cfRule type="expression" priority="4" aboveAverage="0" equalAverage="0" bottom="0" percent="0" rank="0" text="" dxfId="26">
      <formula>K5="جارية"</formula>
    </cfRule>
  </conditionalFormatting>
  <dataValidations count="3">
    <dataValidation allowBlank="true" error="اختر قيمة من القائمة" errorStyle="stop" errorTitle="قيمة غير صحيحة" operator="between" showDropDown="false" showErrorMessage="true" showInputMessage="false" sqref="A5:A1504" type="list">
      <formula1>قائمة_المخرجات</formula1>
      <formula2>0</formula2>
    </dataValidation>
    <dataValidation allowBlank="true" error="اختر قيمة من القائمة" errorStyle="stop" errorTitle="قيمة غير صحيحة" operator="between" showDropDown="false" showErrorMessage="true" showInputMessage="false" sqref="D5:D1504" type="list">
      <formula1>قائمة_الحركات</formula1>
      <formula2>0</formula2>
    </dataValidation>
    <dataValidation allowBlank="true" error="اكتب تاريخ صحيح (مثال: 2026-01-15)" errorStyle="stop" errorTitle="تاريخ غير صحيح" operator="between" showDropDown="false" showErrorMessage="true" showInputMessage="false" sqref="E5:E1504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C204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30"/>
    <col collapsed="false" customWidth="true" hidden="false" outlineLevel="0" max="3" min="3" style="0" width="24"/>
  </cols>
  <sheetData>
    <row r="1" customFormat="false" ht="19.7" hidden="false" customHeight="false" outlineLevel="0" collapsed="false">
      <c r="A1" s="1" t="s">
        <v>138</v>
      </c>
    </row>
    <row r="2" customFormat="false" ht="15" hidden="false" customHeight="false" outlineLevel="0" collapsed="false">
      <c r="A2" s="2" t="s">
        <v>139</v>
      </c>
    </row>
    <row r="4" customFormat="false" ht="42" hidden="false" customHeight="true" outlineLevel="0" collapsed="false">
      <c r="A4" s="18" t="s">
        <v>127</v>
      </c>
      <c r="B4" s="18" t="s">
        <v>140</v>
      </c>
      <c r="C4" s="18" t="s">
        <v>34</v>
      </c>
    </row>
    <row r="5" customFormat="false" ht="15" hidden="false" customHeight="false" outlineLevel="0" collapsed="false">
      <c r="A5" s="31" t="n">
        <v>45710</v>
      </c>
      <c r="B5" s="21" t="s">
        <v>141</v>
      </c>
      <c r="C5" s="21"/>
    </row>
    <row r="6" customFormat="false" ht="15" hidden="false" customHeight="false" outlineLevel="0" collapsed="false">
      <c r="A6" s="31" t="n">
        <v>45746</v>
      </c>
      <c r="B6" s="21" t="s">
        <v>142</v>
      </c>
      <c r="C6" s="21" t="s">
        <v>143</v>
      </c>
    </row>
    <row r="7" customFormat="false" ht="15" hidden="false" customHeight="false" outlineLevel="0" collapsed="false">
      <c r="A7" s="31" t="n">
        <v>45747</v>
      </c>
      <c r="B7" s="21" t="s">
        <v>142</v>
      </c>
      <c r="C7" s="21" t="s">
        <v>143</v>
      </c>
    </row>
    <row r="8" customFormat="false" ht="15" hidden="false" customHeight="false" outlineLevel="0" collapsed="false">
      <c r="A8" s="31" t="n">
        <v>45748</v>
      </c>
      <c r="B8" s="21" t="s">
        <v>142</v>
      </c>
      <c r="C8" s="21" t="s">
        <v>143</v>
      </c>
    </row>
    <row r="9" customFormat="false" ht="15" hidden="false" customHeight="false" outlineLevel="0" collapsed="false">
      <c r="A9" s="31" t="n">
        <v>45749</v>
      </c>
      <c r="B9" s="21" t="s">
        <v>142</v>
      </c>
      <c r="C9" s="21" t="s">
        <v>143</v>
      </c>
    </row>
    <row r="10" customFormat="false" ht="15" hidden="false" customHeight="false" outlineLevel="0" collapsed="false">
      <c r="A10" s="31" t="n">
        <v>45813</v>
      </c>
      <c r="B10" s="21" t="s">
        <v>144</v>
      </c>
      <c r="C10" s="21" t="s">
        <v>143</v>
      </c>
    </row>
    <row r="11" customFormat="false" ht="15" hidden="false" customHeight="false" outlineLevel="0" collapsed="false">
      <c r="A11" s="31" t="n">
        <v>45814</v>
      </c>
      <c r="B11" s="21" t="s">
        <v>144</v>
      </c>
      <c r="C11" s="21" t="s">
        <v>143</v>
      </c>
    </row>
    <row r="12" customFormat="false" ht="15" hidden="false" customHeight="false" outlineLevel="0" collapsed="false">
      <c r="A12" s="31" t="n">
        <v>45815</v>
      </c>
      <c r="B12" s="21" t="s">
        <v>144</v>
      </c>
      <c r="C12" s="21" t="s">
        <v>143</v>
      </c>
    </row>
    <row r="13" customFormat="false" ht="15" hidden="false" customHeight="false" outlineLevel="0" collapsed="false">
      <c r="A13" s="31" t="n">
        <v>45816</v>
      </c>
      <c r="B13" s="21" t="s">
        <v>144</v>
      </c>
      <c r="C13" s="21" t="s">
        <v>143</v>
      </c>
    </row>
    <row r="14" customFormat="false" ht="15" hidden="false" customHeight="false" outlineLevel="0" collapsed="false">
      <c r="A14" s="31" t="n">
        <v>45923</v>
      </c>
      <c r="B14" s="21" t="s">
        <v>145</v>
      </c>
      <c r="C14" s="21"/>
    </row>
    <row r="15" customFormat="false" ht="15" hidden="false" customHeight="false" outlineLevel="0" collapsed="false">
      <c r="A15" s="31" t="n">
        <v>46075</v>
      </c>
      <c r="B15" s="21" t="s">
        <v>146</v>
      </c>
      <c r="C15" s="21"/>
    </row>
    <row r="16" customFormat="false" ht="15" hidden="false" customHeight="false" outlineLevel="0" collapsed="false">
      <c r="A16" s="31" t="n">
        <v>46101</v>
      </c>
      <c r="B16" s="21" t="s">
        <v>147</v>
      </c>
      <c r="C16" s="21" t="s">
        <v>143</v>
      </c>
    </row>
    <row r="17" customFormat="false" ht="15" hidden="false" customHeight="false" outlineLevel="0" collapsed="false">
      <c r="A17" s="31" t="n">
        <v>46102</v>
      </c>
      <c r="B17" s="21" t="s">
        <v>147</v>
      </c>
      <c r="C17" s="21" t="s">
        <v>143</v>
      </c>
    </row>
    <row r="18" customFormat="false" ht="15" hidden="false" customHeight="false" outlineLevel="0" collapsed="false">
      <c r="A18" s="31" t="n">
        <v>46103</v>
      </c>
      <c r="B18" s="21" t="s">
        <v>147</v>
      </c>
      <c r="C18" s="21" t="s">
        <v>143</v>
      </c>
    </row>
    <row r="19" customFormat="false" ht="15" hidden="false" customHeight="false" outlineLevel="0" collapsed="false">
      <c r="A19" s="31" t="n">
        <v>46104</v>
      </c>
      <c r="B19" s="21" t="s">
        <v>147</v>
      </c>
      <c r="C19" s="21" t="s">
        <v>143</v>
      </c>
    </row>
    <row r="20" customFormat="false" ht="15" hidden="false" customHeight="false" outlineLevel="0" collapsed="false">
      <c r="A20" s="31" t="n">
        <v>46168</v>
      </c>
      <c r="B20" s="21" t="s">
        <v>148</v>
      </c>
      <c r="C20" s="21" t="s">
        <v>143</v>
      </c>
    </row>
    <row r="21" customFormat="false" ht="15" hidden="false" customHeight="false" outlineLevel="0" collapsed="false">
      <c r="A21" s="31" t="n">
        <v>46169</v>
      </c>
      <c r="B21" s="21" t="s">
        <v>148</v>
      </c>
      <c r="C21" s="21" t="s">
        <v>143</v>
      </c>
    </row>
    <row r="22" customFormat="false" ht="15" hidden="false" customHeight="false" outlineLevel="0" collapsed="false">
      <c r="A22" s="31" t="n">
        <v>46170</v>
      </c>
      <c r="B22" s="21" t="s">
        <v>148</v>
      </c>
      <c r="C22" s="21" t="s">
        <v>143</v>
      </c>
    </row>
    <row r="23" customFormat="false" ht="15" hidden="false" customHeight="false" outlineLevel="0" collapsed="false">
      <c r="A23" s="31" t="n">
        <v>46171</v>
      </c>
      <c r="B23" s="21" t="s">
        <v>148</v>
      </c>
      <c r="C23" s="21" t="s">
        <v>143</v>
      </c>
    </row>
    <row r="24" customFormat="false" ht="15" hidden="false" customHeight="false" outlineLevel="0" collapsed="false">
      <c r="A24" s="31" t="n">
        <v>46288</v>
      </c>
      <c r="B24" s="21" t="s">
        <v>149</v>
      </c>
      <c r="C24" s="21"/>
    </row>
    <row r="25" customFormat="false" ht="15" hidden="false" customHeight="false" outlineLevel="0" collapsed="false">
      <c r="A25" s="31" t="n">
        <v>46440</v>
      </c>
      <c r="B25" s="21" t="s">
        <v>150</v>
      </c>
      <c r="C25" s="21"/>
    </row>
    <row r="26" customFormat="false" ht="15" hidden="false" customHeight="false" outlineLevel="0" collapsed="false">
      <c r="A26" s="31" t="n">
        <v>46653</v>
      </c>
      <c r="B26" s="21" t="s">
        <v>151</v>
      </c>
      <c r="C26" s="21"/>
    </row>
    <row r="27" customFormat="false" ht="15" hidden="false" customHeight="false" outlineLevel="0" collapsed="false">
      <c r="A27" s="31"/>
      <c r="B27" s="21"/>
      <c r="C27" s="21"/>
    </row>
    <row r="28" customFormat="false" ht="15" hidden="false" customHeight="false" outlineLevel="0" collapsed="false">
      <c r="A28" s="31"/>
      <c r="B28" s="21"/>
      <c r="C28" s="21"/>
    </row>
    <row r="29" customFormat="false" ht="15" hidden="false" customHeight="false" outlineLevel="0" collapsed="false">
      <c r="A29" s="31"/>
      <c r="B29" s="21"/>
      <c r="C29" s="21"/>
    </row>
    <row r="30" customFormat="false" ht="15" hidden="false" customHeight="false" outlineLevel="0" collapsed="false">
      <c r="A30" s="31"/>
      <c r="B30" s="21"/>
      <c r="C30" s="21"/>
    </row>
    <row r="31" customFormat="false" ht="15" hidden="false" customHeight="false" outlineLevel="0" collapsed="false">
      <c r="A31" s="31"/>
      <c r="B31" s="21"/>
      <c r="C31" s="21"/>
    </row>
    <row r="32" customFormat="false" ht="15" hidden="false" customHeight="false" outlineLevel="0" collapsed="false">
      <c r="A32" s="31"/>
      <c r="B32" s="21"/>
      <c r="C32" s="21"/>
    </row>
    <row r="33" customFormat="false" ht="15" hidden="false" customHeight="false" outlineLevel="0" collapsed="false">
      <c r="A33" s="31"/>
      <c r="B33" s="21"/>
      <c r="C33" s="21"/>
    </row>
    <row r="34" customFormat="false" ht="15" hidden="false" customHeight="false" outlineLevel="0" collapsed="false">
      <c r="A34" s="31"/>
      <c r="B34" s="21"/>
      <c r="C34" s="21"/>
    </row>
    <row r="35" customFormat="false" ht="15" hidden="false" customHeight="false" outlineLevel="0" collapsed="false">
      <c r="A35" s="31"/>
      <c r="B35" s="21"/>
      <c r="C35" s="21"/>
    </row>
    <row r="36" customFormat="false" ht="15" hidden="false" customHeight="false" outlineLevel="0" collapsed="false">
      <c r="A36" s="31"/>
      <c r="B36" s="21"/>
      <c r="C36" s="21"/>
    </row>
    <row r="37" customFormat="false" ht="15" hidden="false" customHeight="false" outlineLevel="0" collapsed="false">
      <c r="A37" s="31"/>
      <c r="B37" s="21"/>
      <c r="C37" s="21"/>
    </row>
    <row r="38" customFormat="false" ht="15" hidden="false" customHeight="false" outlineLevel="0" collapsed="false">
      <c r="A38" s="31"/>
      <c r="B38" s="21"/>
      <c r="C38" s="21"/>
    </row>
    <row r="39" customFormat="false" ht="15" hidden="false" customHeight="false" outlineLevel="0" collapsed="false">
      <c r="A39" s="31"/>
      <c r="B39" s="21"/>
      <c r="C39" s="21"/>
    </row>
    <row r="40" customFormat="false" ht="15" hidden="false" customHeight="false" outlineLevel="0" collapsed="false">
      <c r="A40" s="31"/>
      <c r="B40" s="21"/>
      <c r="C40" s="21"/>
    </row>
    <row r="41" customFormat="false" ht="15" hidden="false" customHeight="false" outlineLevel="0" collapsed="false">
      <c r="A41" s="31"/>
      <c r="B41" s="21"/>
      <c r="C41" s="21"/>
    </row>
    <row r="42" customFormat="false" ht="15" hidden="false" customHeight="false" outlineLevel="0" collapsed="false">
      <c r="A42" s="31"/>
      <c r="B42" s="21"/>
      <c r="C42" s="21"/>
    </row>
    <row r="43" customFormat="false" ht="15" hidden="false" customHeight="false" outlineLevel="0" collapsed="false">
      <c r="A43" s="31"/>
      <c r="B43" s="21"/>
      <c r="C43" s="21"/>
    </row>
    <row r="44" customFormat="false" ht="15" hidden="false" customHeight="false" outlineLevel="0" collapsed="false">
      <c r="A44" s="31"/>
      <c r="B44" s="21"/>
      <c r="C44" s="21"/>
    </row>
    <row r="45" customFormat="false" ht="15" hidden="false" customHeight="false" outlineLevel="0" collapsed="false">
      <c r="A45" s="31"/>
      <c r="B45" s="21"/>
      <c r="C45" s="21"/>
    </row>
    <row r="46" customFormat="false" ht="15" hidden="false" customHeight="false" outlineLevel="0" collapsed="false">
      <c r="A46" s="31"/>
      <c r="B46" s="21"/>
      <c r="C46" s="21"/>
    </row>
    <row r="47" customFormat="false" ht="15" hidden="false" customHeight="false" outlineLevel="0" collapsed="false">
      <c r="A47" s="31"/>
      <c r="B47" s="21"/>
      <c r="C47" s="21"/>
    </row>
    <row r="48" customFormat="false" ht="15" hidden="false" customHeight="false" outlineLevel="0" collapsed="false">
      <c r="A48" s="31"/>
      <c r="B48" s="21"/>
      <c r="C48" s="21"/>
    </row>
    <row r="49" customFormat="false" ht="15" hidden="false" customHeight="false" outlineLevel="0" collapsed="false">
      <c r="A49" s="31"/>
      <c r="B49" s="21"/>
      <c r="C49" s="21"/>
    </row>
    <row r="50" customFormat="false" ht="15" hidden="false" customHeight="false" outlineLevel="0" collapsed="false">
      <c r="A50" s="31"/>
      <c r="B50" s="21"/>
      <c r="C50" s="21"/>
    </row>
    <row r="51" customFormat="false" ht="15" hidden="false" customHeight="false" outlineLevel="0" collapsed="false">
      <c r="A51" s="31"/>
      <c r="B51" s="21"/>
      <c r="C51" s="21"/>
    </row>
    <row r="52" customFormat="false" ht="15" hidden="false" customHeight="false" outlineLevel="0" collapsed="false">
      <c r="A52" s="31"/>
      <c r="B52" s="21"/>
      <c r="C52" s="21"/>
    </row>
    <row r="53" customFormat="false" ht="15" hidden="false" customHeight="false" outlineLevel="0" collapsed="false">
      <c r="A53" s="31"/>
      <c r="B53" s="21"/>
      <c r="C53" s="21"/>
    </row>
    <row r="54" customFormat="false" ht="15" hidden="false" customHeight="false" outlineLevel="0" collapsed="false">
      <c r="A54" s="31"/>
      <c r="B54" s="21"/>
      <c r="C54" s="21"/>
    </row>
    <row r="55" customFormat="false" ht="15" hidden="false" customHeight="false" outlineLevel="0" collapsed="false">
      <c r="A55" s="31"/>
      <c r="B55" s="21"/>
      <c r="C55" s="21"/>
    </row>
    <row r="56" customFormat="false" ht="15" hidden="false" customHeight="false" outlineLevel="0" collapsed="false">
      <c r="A56" s="31"/>
      <c r="B56" s="21"/>
      <c r="C56" s="21"/>
    </row>
    <row r="57" customFormat="false" ht="15" hidden="false" customHeight="false" outlineLevel="0" collapsed="false">
      <c r="A57" s="31"/>
      <c r="B57" s="21"/>
      <c r="C57" s="21"/>
    </row>
    <row r="58" customFormat="false" ht="15" hidden="false" customHeight="false" outlineLevel="0" collapsed="false">
      <c r="A58" s="31"/>
      <c r="B58" s="21"/>
      <c r="C58" s="21"/>
    </row>
    <row r="59" customFormat="false" ht="15" hidden="false" customHeight="false" outlineLevel="0" collapsed="false">
      <c r="A59" s="31"/>
      <c r="B59" s="21"/>
      <c r="C59" s="21"/>
    </row>
    <row r="60" customFormat="false" ht="15" hidden="false" customHeight="false" outlineLevel="0" collapsed="false">
      <c r="A60" s="31"/>
      <c r="B60" s="21"/>
      <c r="C60" s="21"/>
    </row>
    <row r="61" customFormat="false" ht="15" hidden="false" customHeight="false" outlineLevel="0" collapsed="false">
      <c r="A61" s="31"/>
      <c r="B61" s="21"/>
      <c r="C61" s="21"/>
    </row>
    <row r="62" customFormat="false" ht="15" hidden="false" customHeight="false" outlineLevel="0" collapsed="false">
      <c r="A62" s="31"/>
      <c r="B62" s="21"/>
      <c r="C62" s="21"/>
    </row>
    <row r="63" customFormat="false" ht="15" hidden="false" customHeight="false" outlineLevel="0" collapsed="false">
      <c r="A63" s="31"/>
      <c r="B63" s="21"/>
      <c r="C63" s="21"/>
    </row>
    <row r="64" customFormat="false" ht="15" hidden="false" customHeight="false" outlineLevel="0" collapsed="false">
      <c r="A64" s="31"/>
      <c r="B64" s="21"/>
      <c r="C64" s="21"/>
    </row>
    <row r="65" customFormat="false" ht="15" hidden="false" customHeight="false" outlineLevel="0" collapsed="false">
      <c r="A65" s="31"/>
      <c r="B65" s="21"/>
      <c r="C65" s="21"/>
    </row>
    <row r="66" customFormat="false" ht="15" hidden="false" customHeight="false" outlineLevel="0" collapsed="false">
      <c r="A66" s="31"/>
      <c r="B66" s="21"/>
      <c r="C66" s="21"/>
    </row>
    <row r="67" customFormat="false" ht="15" hidden="false" customHeight="false" outlineLevel="0" collapsed="false">
      <c r="A67" s="31"/>
      <c r="B67" s="21"/>
      <c r="C67" s="21"/>
    </row>
    <row r="68" customFormat="false" ht="15" hidden="false" customHeight="false" outlineLevel="0" collapsed="false">
      <c r="A68" s="31"/>
      <c r="B68" s="21"/>
      <c r="C68" s="21"/>
    </row>
    <row r="69" customFormat="false" ht="15" hidden="false" customHeight="false" outlineLevel="0" collapsed="false">
      <c r="A69" s="31"/>
      <c r="B69" s="21"/>
      <c r="C69" s="21"/>
    </row>
    <row r="70" customFormat="false" ht="15" hidden="false" customHeight="false" outlineLevel="0" collapsed="false">
      <c r="A70" s="31"/>
      <c r="B70" s="21"/>
      <c r="C70" s="21"/>
    </row>
    <row r="71" customFormat="false" ht="15" hidden="false" customHeight="false" outlineLevel="0" collapsed="false">
      <c r="A71" s="31"/>
      <c r="B71" s="21"/>
      <c r="C71" s="21"/>
    </row>
    <row r="72" customFormat="false" ht="15" hidden="false" customHeight="false" outlineLevel="0" collapsed="false">
      <c r="A72" s="31"/>
      <c r="B72" s="21"/>
      <c r="C72" s="21"/>
    </row>
    <row r="73" customFormat="false" ht="15" hidden="false" customHeight="false" outlineLevel="0" collapsed="false">
      <c r="A73" s="31"/>
      <c r="B73" s="21"/>
      <c r="C73" s="21"/>
    </row>
    <row r="74" customFormat="false" ht="15" hidden="false" customHeight="false" outlineLevel="0" collapsed="false">
      <c r="A74" s="31"/>
      <c r="B74" s="21"/>
      <c r="C74" s="21"/>
    </row>
    <row r="75" customFormat="false" ht="15" hidden="false" customHeight="false" outlineLevel="0" collapsed="false">
      <c r="A75" s="31"/>
      <c r="B75" s="21"/>
      <c r="C75" s="21"/>
    </row>
    <row r="76" customFormat="false" ht="15" hidden="false" customHeight="false" outlineLevel="0" collapsed="false">
      <c r="A76" s="31"/>
      <c r="B76" s="21"/>
      <c r="C76" s="21"/>
    </row>
    <row r="77" customFormat="false" ht="15" hidden="false" customHeight="false" outlineLevel="0" collapsed="false">
      <c r="A77" s="31"/>
      <c r="B77" s="21"/>
      <c r="C77" s="21"/>
    </row>
    <row r="78" customFormat="false" ht="15" hidden="false" customHeight="false" outlineLevel="0" collapsed="false">
      <c r="A78" s="31"/>
      <c r="B78" s="21"/>
      <c r="C78" s="21"/>
    </row>
    <row r="79" customFormat="false" ht="15" hidden="false" customHeight="false" outlineLevel="0" collapsed="false">
      <c r="A79" s="31"/>
      <c r="B79" s="21"/>
      <c r="C79" s="21"/>
    </row>
    <row r="80" customFormat="false" ht="15" hidden="false" customHeight="false" outlineLevel="0" collapsed="false">
      <c r="A80" s="31"/>
      <c r="B80" s="21"/>
      <c r="C80" s="21"/>
    </row>
    <row r="81" customFormat="false" ht="15" hidden="false" customHeight="false" outlineLevel="0" collapsed="false">
      <c r="A81" s="31"/>
      <c r="B81" s="21"/>
      <c r="C81" s="21"/>
    </row>
    <row r="82" customFormat="false" ht="15" hidden="false" customHeight="false" outlineLevel="0" collapsed="false">
      <c r="A82" s="31"/>
      <c r="B82" s="21"/>
      <c r="C82" s="21"/>
    </row>
    <row r="83" customFormat="false" ht="15" hidden="false" customHeight="false" outlineLevel="0" collapsed="false">
      <c r="A83" s="31"/>
      <c r="B83" s="21"/>
      <c r="C83" s="21"/>
    </row>
    <row r="84" customFormat="false" ht="15" hidden="false" customHeight="false" outlineLevel="0" collapsed="false">
      <c r="A84" s="31"/>
      <c r="B84" s="21"/>
      <c r="C84" s="21"/>
    </row>
    <row r="85" customFormat="false" ht="15" hidden="false" customHeight="false" outlineLevel="0" collapsed="false">
      <c r="A85" s="31"/>
      <c r="B85" s="21"/>
      <c r="C85" s="21"/>
    </row>
    <row r="86" customFormat="false" ht="15" hidden="false" customHeight="false" outlineLevel="0" collapsed="false">
      <c r="A86" s="31"/>
      <c r="B86" s="21"/>
      <c r="C86" s="21"/>
    </row>
    <row r="87" customFormat="false" ht="15" hidden="false" customHeight="false" outlineLevel="0" collapsed="false">
      <c r="A87" s="31"/>
      <c r="B87" s="21"/>
      <c r="C87" s="21"/>
    </row>
    <row r="88" customFormat="false" ht="15" hidden="false" customHeight="false" outlineLevel="0" collapsed="false">
      <c r="A88" s="31"/>
      <c r="B88" s="21"/>
      <c r="C88" s="21"/>
    </row>
    <row r="89" customFormat="false" ht="15" hidden="false" customHeight="false" outlineLevel="0" collapsed="false">
      <c r="A89" s="31"/>
      <c r="B89" s="21"/>
      <c r="C89" s="21"/>
    </row>
    <row r="90" customFormat="false" ht="15" hidden="false" customHeight="false" outlineLevel="0" collapsed="false">
      <c r="A90" s="31"/>
      <c r="B90" s="21"/>
      <c r="C90" s="21"/>
    </row>
    <row r="91" customFormat="false" ht="15" hidden="false" customHeight="false" outlineLevel="0" collapsed="false">
      <c r="A91" s="31"/>
      <c r="B91" s="21"/>
      <c r="C91" s="21"/>
    </row>
    <row r="92" customFormat="false" ht="15" hidden="false" customHeight="false" outlineLevel="0" collapsed="false">
      <c r="A92" s="31"/>
      <c r="B92" s="21"/>
      <c r="C92" s="21"/>
    </row>
    <row r="93" customFormat="false" ht="15" hidden="false" customHeight="false" outlineLevel="0" collapsed="false">
      <c r="A93" s="31"/>
      <c r="B93" s="21"/>
      <c r="C93" s="21"/>
    </row>
    <row r="94" customFormat="false" ht="15" hidden="false" customHeight="false" outlineLevel="0" collapsed="false">
      <c r="A94" s="31"/>
      <c r="B94" s="21"/>
      <c r="C94" s="21"/>
    </row>
    <row r="95" customFormat="false" ht="15" hidden="false" customHeight="false" outlineLevel="0" collapsed="false">
      <c r="A95" s="31"/>
      <c r="B95" s="21"/>
      <c r="C95" s="21"/>
    </row>
    <row r="96" customFormat="false" ht="15" hidden="false" customHeight="false" outlineLevel="0" collapsed="false">
      <c r="A96" s="31"/>
      <c r="B96" s="21"/>
      <c r="C96" s="21"/>
    </row>
    <row r="97" customFormat="false" ht="15" hidden="false" customHeight="false" outlineLevel="0" collapsed="false">
      <c r="A97" s="31"/>
      <c r="B97" s="21"/>
      <c r="C97" s="21"/>
    </row>
    <row r="98" customFormat="false" ht="15" hidden="false" customHeight="false" outlineLevel="0" collapsed="false">
      <c r="A98" s="31"/>
      <c r="B98" s="21"/>
      <c r="C98" s="21"/>
    </row>
    <row r="99" customFormat="false" ht="15" hidden="false" customHeight="false" outlineLevel="0" collapsed="false">
      <c r="A99" s="31"/>
      <c r="B99" s="21"/>
      <c r="C99" s="21"/>
    </row>
    <row r="100" customFormat="false" ht="15" hidden="false" customHeight="false" outlineLevel="0" collapsed="false">
      <c r="A100" s="31"/>
      <c r="B100" s="21"/>
      <c r="C100" s="21"/>
    </row>
    <row r="101" customFormat="false" ht="15" hidden="false" customHeight="false" outlineLevel="0" collapsed="false">
      <c r="A101" s="31"/>
      <c r="B101" s="21"/>
      <c r="C101" s="21"/>
    </row>
    <row r="102" customFormat="false" ht="15" hidden="false" customHeight="false" outlineLevel="0" collapsed="false">
      <c r="A102" s="31"/>
      <c r="B102" s="21"/>
      <c r="C102" s="21"/>
    </row>
    <row r="103" customFormat="false" ht="15" hidden="false" customHeight="false" outlineLevel="0" collapsed="false">
      <c r="A103" s="31"/>
      <c r="B103" s="21"/>
      <c r="C103" s="21"/>
    </row>
    <row r="104" customFormat="false" ht="15" hidden="false" customHeight="false" outlineLevel="0" collapsed="false">
      <c r="A104" s="31"/>
      <c r="B104" s="21"/>
      <c r="C104" s="21"/>
    </row>
    <row r="105" customFormat="false" ht="15" hidden="false" customHeight="false" outlineLevel="0" collapsed="false">
      <c r="A105" s="31"/>
      <c r="B105" s="21"/>
      <c r="C105" s="21"/>
    </row>
    <row r="106" customFormat="false" ht="15" hidden="false" customHeight="false" outlineLevel="0" collapsed="false">
      <c r="A106" s="31"/>
      <c r="B106" s="21"/>
      <c r="C106" s="21"/>
    </row>
    <row r="107" customFormat="false" ht="15" hidden="false" customHeight="false" outlineLevel="0" collapsed="false">
      <c r="A107" s="31"/>
      <c r="B107" s="21"/>
      <c r="C107" s="21"/>
    </row>
    <row r="108" customFormat="false" ht="15" hidden="false" customHeight="false" outlineLevel="0" collapsed="false">
      <c r="A108" s="31"/>
      <c r="B108" s="21"/>
      <c r="C108" s="21"/>
    </row>
    <row r="109" customFormat="false" ht="15" hidden="false" customHeight="false" outlineLevel="0" collapsed="false">
      <c r="A109" s="31"/>
      <c r="B109" s="21"/>
      <c r="C109" s="21"/>
    </row>
    <row r="110" customFormat="false" ht="15" hidden="false" customHeight="false" outlineLevel="0" collapsed="false">
      <c r="A110" s="31"/>
      <c r="B110" s="21"/>
      <c r="C110" s="21"/>
    </row>
    <row r="111" customFormat="false" ht="15" hidden="false" customHeight="false" outlineLevel="0" collapsed="false">
      <c r="A111" s="31"/>
      <c r="B111" s="21"/>
      <c r="C111" s="21"/>
    </row>
    <row r="112" customFormat="false" ht="15" hidden="false" customHeight="false" outlineLevel="0" collapsed="false">
      <c r="A112" s="31"/>
      <c r="B112" s="21"/>
      <c r="C112" s="21"/>
    </row>
    <row r="113" customFormat="false" ht="15" hidden="false" customHeight="false" outlineLevel="0" collapsed="false">
      <c r="A113" s="31"/>
      <c r="B113" s="21"/>
      <c r="C113" s="21"/>
    </row>
    <row r="114" customFormat="false" ht="15" hidden="false" customHeight="false" outlineLevel="0" collapsed="false">
      <c r="A114" s="31"/>
      <c r="B114" s="21"/>
      <c r="C114" s="21"/>
    </row>
    <row r="115" customFormat="false" ht="15" hidden="false" customHeight="false" outlineLevel="0" collapsed="false">
      <c r="A115" s="31"/>
      <c r="B115" s="21"/>
      <c r="C115" s="21"/>
    </row>
    <row r="116" customFormat="false" ht="15" hidden="false" customHeight="false" outlineLevel="0" collapsed="false">
      <c r="A116" s="31"/>
      <c r="B116" s="21"/>
      <c r="C116" s="21"/>
    </row>
    <row r="117" customFormat="false" ht="15" hidden="false" customHeight="false" outlineLevel="0" collapsed="false">
      <c r="A117" s="31"/>
      <c r="B117" s="21"/>
      <c r="C117" s="21"/>
    </row>
    <row r="118" customFormat="false" ht="15" hidden="false" customHeight="false" outlineLevel="0" collapsed="false">
      <c r="A118" s="31"/>
      <c r="B118" s="21"/>
      <c r="C118" s="21"/>
    </row>
    <row r="119" customFormat="false" ht="15" hidden="false" customHeight="false" outlineLevel="0" collapsed="false">
      <c r="A119" s="31"/>
      <c r="B119" s="21"/>
      <c r="C119" s="21"/>
    </row>
    <row r="120" customFormat="false" ht="15" hidden="false" customHeight="false" outlineLevel="0" collapsed="false">
      <c r="A120" s="31"/>
      <c r="B120" s="21"/>
      <c r="C120" s="21"/>
    </row>
    <row r="121" customFormat="false" ht="15" hidden="false" customHeight="false" outlineLevel="0" collapsed="false">
      <c r="A121" s="31"/>
      <c r="B121" s="21"/>
      <c r="C121" s="21"/>
    </row>
    <row r="122" customFormat="false" ht="15" hidden="false" customHeight="false" outlineLevel="0" collapsed="false">
      <c r="A122" s="31"/>
      <c r="B122" s="21"/>
      <c r="C122" s="21"/>
    </row>
    <row r="123" customFormat="false" ht="15" hidden="false" customHeight="false" outlineLevel="0" collapsed="false">
      <c r="A123" s="31"/>
      <c r="B123" s="21"/>
      <c r="C123" s="21"/>
    </row>
    <row r="124" customFormat="false" ht="15" hidden="false" customHeight="false" outlineLevel="0" collapsed="false">
      <c r="A124" s="31"/>
      <c r="B124" s="21"/>
      <c r="C124" s="21"/>
    </row>
    <row r="125" customFormat="false" ht="15" hidden="false" customHeight="false" outlineLevel="0" collapsed="false">
      <c r="A125" s="31"/>
      <c r="B125" s="21"/>
      <c r="C125" s="21"/>
    </row>
    <row r="126" customFormat="false" ht="15" hidden="false" customHeight="false" outlineLevel="0" collapsed="false">
      <c r="A126" s="31"/>
      <c r="B126" s="21"/>
      <c r="C126" s="21"/>
    </row>
    <row r="127" customFormat="false" ht="15" hidden="false" customHeight="false" outlineLevel="0" collapsed="false">
      <c r="A127" s="31"/>
      <c r="B127" s="21"/>
      <c r="C127" s="21"/>
    </row>
    <row r="128" customFormat="false" ht="15" hidden="false" customHeight="false" outlineLevel="0" collapsed="false">
      <c r="A128" s="31"/>
      <c r="B128" s="21"/>
      <c r="C128" s="21"/>
    </row>
    <row r="129" customFormat="false" ht="15" hidden="false" customHeight="false" outlineLevel="0" collapsed="false">
      <c r="A129" s="31"/>
      <c r="B129" s="21"/>
      <c r="C129" s="21"/>
    </row>
    <row r="130" customFormat="false" ht="15" hidden="false" customHeight="false" outlineLevel="0" collapsed="false">
      <c r="A130" s="31"/>
      <c r="B130" s="21"/>
      <c r="C130" s="21"/>
    </row>
    <row r="131" customFormat="false" ht="15" hidden="false" customHeight="false" outlineLevel="0" collapsed="false">
      <c r="A131" s="31"/>
      <c r="B131" s="21"/>
      <c r="C131" s="21"/>
    </row>
    <row r="132" customFormat="false" ht="15" hidden="false" customHeight="false" outlineLevel="0" collapsed="false">
      <c r="A132" s="31"/>
      <c r="B132" s="21"/>
      <c r="C132" s="21"/>
    </row>
    <row r="133" customFormat="false" ht="15" hidden="false" customHeight="false" outlineLevel="0" collapsed="false">
      <c r="A133" s="31"/>
      <c r="B133" s="21"/>
      <c r="C133" s="21"/>
    </row>
    <row r="134" customFormat="false" ht="15" hidden="false" customHeight="false" outlineLevel="0" collapsed="false">
      <c r="A134" s="31"/>
      <c r="B134" s="21"/>
      <c r="C134" s="21"/>
    </row>
    <row r="135" customFormat="false" ht="15" hidden="false" customHeight="false" outlineLevel="0" collapsed="false">
      <c r="A135" s="31"/>
      <c r="B135" s="21"/>
      <c r="C135" s="21"/>
    </row>
    <row r="136" customFormat="false" ht="15" hidden="false" customHeight="false" outlineLevel="0" collapsed="false">
      <c r="A136" s="31"/>
      <c r="B136" s="21"/>
      <c r="C136" s="21"/>
    </row>
    <row r="137" customFormat="false" ht="15" hidden="false" customHeight="false" outlineLevel="0" collapsed="false">
      <c r="A137" s="31"/>
      <c r="B137" s="21"/>
      <c r="C137" s="21"/>
    </row>
    <row r="138" customFormat="false" ht="15" hidden="false" customHeight="false" outlineLevel="0" collapsed="false">
      <c r="A138" s="31"/>
      <c r="B138" s="21"/>
      <c r="C138" s="21"/>
    </row>
    <row r="139" customFormat="false" ht="15" hidden="false" customHeight="false" outlineLevel="0" collapsed="false">
      <c r="A139" s="31"/>
      <c r="B139" s="21"/>
      <c r="C139" s="21"/>
    </row>
    <row r="140" customFormat="false" ht="15" hidden="false" customHeight="false" outlineLevel="0" collapsed="false">
      <c r="A140" s="31"/>
      <c r="B140" s="21"/>
      <c r="C140" s="21"/>
    </row>
    <row r="141" customFormat="false" ht="15" hidden="false" customHeight="false" outlineLevel="0" collapsed="false">
      <c r="A141" s="31"/>
      <c r="B141" s="21"/>
      <c r="C141" s="21"/>
    </row>
    <row r="142" customFormat="false" ht="15" hidden="false" customHeight="false" outlineLevel="0" collapsed="false">
      <c r="A142" s="31"/>
      <c r="B142" s="21"/>
      <c r="C142" s="21"/>
    </row>
    <row r="143" customFormat="false" ht="15" hidden="false" customHeight="false" outlineLevel="0" collapsed="false">
      <c r="A143" s="31"/>
      <c r="B143" s="21"/>
      <c r="C143" s="21"/>
    </row>
    <row r="144" customFormat="false" ht="15" hidden="false" customHeight="false" outlineLevel="0" collapsed="false">
      <c r="A144" s="31"/>
      <c r="B144" s="21"/>
      <c r="C144" s="21"/>
    </row>
    <row r="145" customFormat="false" ht="15" hidden="false" customHeight="false" outlineLevel="0" collapsed="false">
      <c r="A145" s="31"/>
      <c r="B145" s="21"/>
      <c r="C145" s="21"/>
    </row>
    <row r="146" customFormat="false" ht="15" hidden="false" customHeight="false" outlineLevel="0" collapsed="false">
      <c r="A146" s="31"/>
      <c r="B146" s="21"/>
      <c r="C146" s="21"/>
    </row>
    <row r="147" customFormat="false" ht="15" hidden="false" customHeight="false" outlineLevel="0" collapsed="false">
      <c r="A147" s="31"/>
      <c r="B147" s="21"/>
      <c r="C147" s="21"/>
    </row>
    <row r="148" customFormat="false" ht="15" hidden="false" customHeight="false" outlineLevel="0" collapsed="false">
      <c r="A148" s="31"/>
      <c r="B148" s="21"/>
      <c r="C148" s="21"/>
    </row>
    <row r="149" customFormat="false" ht="15" hidden="false" customHeight="false" outlineLevel="0" collapsed="false">
      <c r="A149" s="31"/>
      <c r="B149" s="21"/>
      <c r="C149" s="21"/>
    </row>
    <row r="150" customFormat="false" ht="15" hidden="false" customHeight="false" outlineLevel="0" collapsed="false">
      <c r="A150" s="31"/>
      <c r="B150" s="21"/>
      <c r="C150" s="21"/>
    </row>
    <row r="151" customFormat="false" ht="15" hidden="false" customHeight="false" outlineLevel="0" collapsed="false">
      <c r="A151" s="31"/>
      <c r="B151" s="21"/>
      <c r="C151" s="21"/>
    </row>
    <row r="152" customFormat="false" ht="15" hidden="false" customHeight="false" outlineLevel="0" collapsed="false">
      <c r="A152" s="31"/>
      <c r="B152" s="21"/>
      <c r="C152" s="21"/>
    </row>
    <row r="153" customFormat="false" ht="15" hidden="false" customHeight="false" outlineLevel="0" collapsed="false">
      <c r="A153" s="31"/>
      <c r="B153" s="21"/>
      <c r="C153" s="21"/>
    </row>
    <row r="154" customFormat="false" ht="15" hidden="false" customHeight="false" outlineLevel="0" collapsed="false">
      <c r="A154" s="31"/>
      <c r="B154" s="21"/>
      <c r="C154" s="21"/>
    </row>
    <row r="155" customFormat="false" ht="15" hidden="false" customHeight="false" outlineLevel="0" collapsed="false">
      <c r="A155" s="31"/>
      <c r="B155" s="21"/>
      <c r="C155" s="21"/>
    </row>
    <row r="156" customFormat="false" ht="15" hidden="false" customHeight="false" outlineLevel="0" collapsed="false">
      <c r="A156" s="31"/>
      <c r="B156" s="21"/>
      <c r="C156" s="21"/>
    </row>
    <row r="157" customFormat="false" ht="15" hidden="false" customHeight="false" outlineLevel="0" collapsed="false">
      <c r="A157" s="31"/>
      <c r="B157" s="21"/>
      <c r="C157" s="21"/>
    </row>
    <row r="158" customFormat="false" ht="15" hidden="false" customHeight="false" outlineLevel="0" collapsed="false">
      <c r="A158" s="31"/>
      <c r="B158" s="21"/>
      <c r="C158" s="21"/>
    </row>
    <row r="159" customFormat="false" ht="15" hidden="false" customHeight="false" outlineLevel="0" collapsed="false">
      <c r="A159" s="31"/>
      <c r="B159" s="21"/>
      <c r="C159" s="21"/>
    </row>
    <row r="160" customFormat="false" ht="15" hidden="false" customHeight="false" outlineLevel="0" collapsed="false">
      <c r="A160" s="31"/>
      <c r="B160" s="21"/>
      <c r="C160" s="21"/>
    </row>
    <row r="161" customFormat="false" ht="15" hidden="false" customHeight="false" outlineLevel="0" collapsed="false">
      <c r="A161" s="31"/>
      <c r="B161" s="21"/>
      <c r="C161" s="21"/>
    </row>
    <row r="162" customFormat="false" ht="15" hidden="false" customHeight="false" outlineLevel="0" collapsed="false">
      <c r="A162" s="31"/>
      <c r="B162" s="21"/>
      <c r="C162" s="21"/>
    </row>
    <row r="163" customFormat="false" ht="15" hidden="false" customHeight="false" outlineLevel="0" collapsed="false">
      <c r="A163" s="31"/>
      <c r="B163" s="21"/>
      <c r="C163" s="21"/>
    </row>
    <row r="164" customFormat="false" ht="15" hidden="false" customHeight="false" outlineLevel="0" collapsed="false">
      <c r="A164" s="31"/>
      <c r="B164" s="21"/>
      <c r="C164" s="21"/>
    </row>
    <row r="165" customFormat="false" ht="15" hidden="false" customHeight="false" outlineLevel="0" collapsed="false">
      <c r="A165" s="31"/>
      <c r="B165" s="21"/>
      <c r="C165" s="21"/>
    </row>
    <row r="166" customFormat="false" ht="15" hidden="false" customHeight="false" outlineLevel="0" collapsed="false">
      <c r="A166" s="31"/>
      <c r="B166" s="21"/>
      <c r="C166" s="21"/>
    </row>
    <row r="167" customFormat="false" ht="15" hidden="false" customHeight="false" outlineLevel="0" collapsed="false">
      <c r="A167" s="31"/>
      <c r="B167" s="21"/>
      <c r="C167" s="21"/>
    </row>
    <row r="168" customFormat="false" ht="15" hidden="false" customHeight="false" outlineLevel="0" collapsed="false">
      <c r="A168" s="31"/>
      <c r="B168" s="21"/>
      <c r="C168" s="21"/>
    </row>
    <row r="169" customFormat="false" ht="15" hidden="false" customHeight="false" outlineLevel="0" collapsed="false">
      <c r="A169" s="31"/>
      <c r="B169" s="21"/>
      <c r="C169" s="21"/>
    </row>
    <row r="170" customFormat="false" ht="15" hidden="false" customHeight="false" outlineLevel="0" collapsed="false">
      <c r="A170" s="31"/>
      <c r="B170" s="21"/>
      <c r="C170" s="21"/>
    </row>
    <row r="171" customFormat="false" ht="15" hidden="false" customHeight="false" outlineLevel="0" collapsed="false">
      <c r="A171" s="31"/>
      <c r="B171" s="21"/>
      <c r="C171" s="21"/>
    </row>
    <row r="172" customFormat="false" ht="15" hidden="false" customHeight="false" outlineLevel="0" collapsed="false">
      <c r="A172" s="31"/>
      <c r="B172" s="21"/>
      <c r="C172" s="21"/>
    </row>
    <row r="173" customFormat="false" ht="15" hidden="false" customHeight="false" outlineLevel="0" collapsed="false">
      <c r="A173" s="31"/>
      <c r="B173" s="21"/>
      <c r="C173" s="21"/>
    </row>
    <row r="174" customFormat="false" ht="15" hidden="false" customHeight="false" outlineLevel="0" collapsed="false">
      <c r="A174" s="31"/>
      <c r="B174" s="21"/>
      <c r="C174" s="21"/>
    </row>
    <row r="175" customFormat="false" ht="15" hidden="false" customHeight="false" outlineLevel="0" collapsed="false">
      <c r="A175" s="31"/>
      <c r="B175" s="21"/>
      <c r="C175" s="21"/>
    </row>
    <row r="176" customFormat="false" ht="15" hidden="false" customHeight="false" outlineLevel="0" collapsed="false">
      <c r="A176" s="31"/>
      <c r="B176" s="21"/>
      <c r="C176" s="21"/>
    </row>
    <row r="177" customFormat="false" ht="15" hidden="false" customHeight="false" outlineLevel="0" collapsed="false">
      <c r="A177" s="31"/>
      <c r="B177" s="21"/>
      <c r="C177" s="21"/>
    </row>
    <row r="178" customFormat="false" ht="15" hidden="false" customHeight="false" outlineLevel="0" collapsed="false">
      <c r="A178" s="31"/>
      <c r="B178" s="21"/>
      <c r="C178" s="21"/>
    </row>
    <row r="179" customFormat="false" ht="15" hidden="false" customHeight="false" outlineLevel="0" collapsed="false">
      <c r="A179" s="31"/>
      <c r="B179" s="21"/>
      <c r="C179" s="21"/>
    </row>
    <row r="180" customFormat="false" ht="15" hidden="false" customHeight="false" outlineLevel="0" collapsed="false">
      <c r="A180" s="31"/>
      <c r="B180" s="21"/>
      <c r="C180" s="21"/>
    </row>
    <row r="181" customFormat="false" ht="15" hidden="false" customHeight="false" outlineLevel="0" collapsed="false">
      <c r="A181" s="31"/>
      <c r="B181" s="21"/>
      <c r="C181" s="21"/>
    </row>
    <row r="182" customFormat="false" ht="15" hidden="false" customHeight="false" outlineLevel="0" collapsed="false">
      <c r="A182" s="31"/>
      <c r="B182" s="21"/>
      <c r="C182" s="21"/>
    </row>
    <row r="183" customFormat="false" ht="15" hidden="false" customHeight="false" outlineLevel="0" collapsed="false">
      <c r="A183" s="31"/>
      <c r="B183" s="21"/>
      <c r="C183" s="21"/>
    </row>
    <row r="184" customFormat="false" ht="15" hidden="false" customHeight="false" outlineLevel="0" collapsed="false">
      <c r="A184" s="31"/>
      <c r="B184" s="21"/>
      <c r="C184" s="21"/>
    </row>
    <row r="185" customFormat="false" ht="15" hidden="false" customHeight="false" outlineLevel="0" collapsed="false">
      <c r="A185" s="31"/>
      <c r="B185" s="21"/>
      <c r="C185" s="21"/>
    </row>
    <row r="186" customFormat="false" ht="15" hidden="false" customHeight="false" outlineLevel="0" collapsed="false">
      <c r="A186" s="31"/>
      <c r="B186" s="21"/>
      <c r="C186" s="21"/>
    </row>
    <row r="187" customFormat="false" ht="15" hidden="false" customHeight="false" outlineLevel="0" collapsed="false">
      <c r="A187" s="31"/>
      <c r="B187" s="21"/>
      <c r="C187" s="21"/>
    </row>
    <row r="188" customFormat="false" ht="15" hidden="false" customHeight="false" outlineLevel="0" collapsed="false">
      <c r="A188" s="31"/>
      <c r="B188" s="21"/>
      <c r="C188" s="21"/>
    </row>
    <row r="189" customFormat="false" ht="15" hidden="false" customHeight="false" outlineLevel="0" collapsed="false">
      <c r="A189" s="31"/>
      <c r="B189" s="21"/>
      <c r="C189" s="21"/>
    </row>
    <row r="190" customFormat="false" ht="15" hidden="false" customHeight="false" outlineLevel="0" collapsed="false">
      <c r="A190" s="31"/>
      <c r="B190" s="21"/>
      <c r="C190" s="21"/>
    </row>
    <row r="191" customFormat="false" ht="15" hidden="false" customHeight="false" outlineLevel="0" collapsed="false">
      <c r="A191" s="31"/>
      <c r="B191" s="21"/>
      <c r="C191" s="21"/>
    </row>
    <row r="192" customFormat="false" ht="15" hidden="false" customHeight="false" outlineLevel="0" collapsed="false">
      <c r="A192" s="31"/>
      <c r="B192" s="21"/>
      <c r="C192" s="21"/>
    </row>
    <row r="193" customFormat="false" ht="15" hidden="false" customHeight="false" outlineLevel="0" collapsed="false">
      <c r="A193" s="31"/>
      <c r="B193" s="21"/>
      <c r="C193" s="21"/>
    </row>
    <row r="194" customFormat="false" ht="15" hidden="false" customHeight="false" outlineLevel="0" collapsed="false">
      <c r="A194" s="31"/>
      <c r="B194" s="21"/>
      <c r="C194" s="21"/>
    </row>
    <row r="195" customFormat="false" ht="15" hidden="false" customHeight="false" outlineLevel="0" collapsed="false">
      <c r="A195" s="31"/>
      <c r="B195" s="21"/>
      <c r="C195" s="21"/>
    </row>
    <row r="196" customFormat="false" ht="15" hidden="false" customHeight="false" outlineLevel="0" collapsed="false">
      <c r="A196" s="31"/>
      <c r="B196" s="21"/>
      <c r="C196" s="21"/>
    </row>
    <row r="197" customFormat="false" ht="15" hidden="false" customHeight="false" outlineLevel="0" collapsed="false">
      <c r="A197" s="31"/>
      <c r="B197" s="21"/>
      <c r="C197" s="21"/>
    </row>
    <row r="198" customFormat="false" ht="15" hidden="false" customHeight="false" outlineLevel="0" collapsed="false">
      <c r="A198" s="31"/>
      <c r="B198" s="21"/>
      <c r="C198" s="21"/>
    </row>
    <row r="199" customFormat="false" ht="15" hidden="false" customHeight="false" outlineLevel="0" collapsed="false">
      <c r="A199" s="31"/>
      <c r="B199" s="21"/>
      <c r="C199" s="21"/>
    </row>
    <row r="200" customFormat="false" ht="15" hidden="false" customHeight="false" outlineLevel="0" collapsed="false">
      <c r="A200" s="31"/>
      <c r="B200" s="21"/>
      <c r="C200" s="21"/>
    </row>
    <row r="201" customFormat="false" ht="15" hidden="false" customHeight="false" outlineLevel="0" collapsed="false">
      <c r="A201" s="31"/>
      <c r="B201" s="21"/>
      <c r="C201" s="21"/>
    </row>
    <row r="202" customFormat="false" ht="15" hidden="false" customHeight="false" outlineLevel="0" collapsed="false">
      <c r="A202" s="31"/>
      <c r="B202" s="21"/>
      <c r="C202" s="21"/>
    </row>
    <row r="203" customFormat="false" ht="15" hidden="false" customHeight="false" outlineLevel="0" collapsed="false">
      <c r="A203" s="31"/>
      <c r="B203" s="21"/>
      <c r="C203" s="21"/>
    </row>
    <row r="204" customFormat="false" ht="15" hidden="false" customHeight="false" outlineLevel="0" collapsed="false">
      <c r="A204" s="31"/>
      <c r="B204" s="21"/>
      <c r="C204" s="21"/>
    </row>
  </sheetData>
  <autoFilter ref="A4:C204"/>
  <conditionalFormatting sqref="A5:A204">
    <cfRule type="expression" priority="2" aboveAverage="0" equalAverage="0" bottom="0" percent="0" rank="0" text="" dxfId="5">
      <formula>AND(A5&lt;&gt;"",COUNTIF($A$5:$A$204,A5)&gt;1)</formula>
    </cfRule>
  </conditionalFormatting>
  <dataValidations count="1">
    <dataValidation allowBlank="true" error="اكتب تاريخ صحيح (مثال: 2026-01-15)" errorStyle="stop" errorTitle="تاريخ غير صحيح" operator="between" showDropDown="false" showErrorMessage="true" showInputMessage="false" sqref="A5:A204" type="date">
      <formula1>DATE(2020,1,1)</formula1>
      <formula2>DATE(2040,12,31)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5" hidden="false" customHeight="false" outlineLevel="0" collapsed="false">
      <c r="A1" s="37" t="s">
        <v>152</v>
      </c>
      <c r="B1" s="37" t="s">
        <v>126</v>
      </c>
    </row>
    <row r="2" customFormat="false" ht="15" hidden="false" customHeight="false" outlineLevel="0" collapsed="false">
      <c r="A2" s="38" t="s">
        <v>115</v>
      </c>
      <c r="B2" s="38" t="s">
        <v>135</v>
      </c>
    </row>
    <row r="3" customFormat="false" ht="15" hidden="false" customHeight="false" outlineLevel="0" collapsed="false">
      <c r="A3" s="38" t="s">
        <v>112</v>
      </c>
      <c r="B3" s="38" t="s">
        <v>137</v>
      </c>
    </row>
    <row r="4" customFormat="false" ht="15" hidden="false" customHeight="false" outlineLevel="0" collapsed="false">
      <c r="A4" s="38" t="s">
        <v>120</v>
      </c>
      <c r="B4" s="38" t="s">
        <v>136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2026-10-12T06:12:04Z</dcterms:created>
  <dc:creator>openpyxl</dc:creator>
  <dc:description/>
  <dc:language>en-US</dc:language>
  <cp:lastModifiedBy/>
  <dcterms:modified xsi:type="dcterms:W3CDTF">2026-10-12T06:12:07Z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